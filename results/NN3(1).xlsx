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weixiang/Desktop/金融/"/>
    </mc:Choice>
  </mc:AlternateContent>
  <xr:revisionPtr revIDLastSave="0" documentId="13_ncr:1_{D89B6940-E957-3C44-966B-ADB2181071E6}" xr6:coauthVersionLast="47" xr6:coauthVersionMax="47" xr10:uidLastSave="{00000000-0000-0000-0000-000000000000}"/>
  <bookViews>
    <workbookView xWindow="0" yWindow="760" windowWidth="30240" windowHeight="17900" activeTab="4" xr2:uid="{00000000-000D-0000-FFFF-FFFF00000000}"/>
  </bookViews>
  <sheets>
    <sheet name="預測IC" sheetId="1" r:id="rId1"/>
    <sheet name="夏普比率" sheetId="2" r:id="rId2"/>
    <sheet name="勝率" sheetId="3" r:id="rId3"/>
    <sheet name="累積報酬" sheetId="4" r:id="rId4"/>
    <sheet name="預測累積畫圖" sheetId="5" r:id="rId5"/>
    <sheet name="OLS樣本外R2" sheetId="6" r:id="rId6"/>
    <sheet name="NN3樣本外R2" sheetId="7" r:id="rId7"/>
    <sheet name="NN3再投資累積報酬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F25" i="8" l="1" a="1"/>
  <c r="EF25" i="8" s="1"/>
  <c r="EE25" i="8" a="1"/>
  <c r="EE25" i="8" s="1"/>
  <c r="ED25" i="8" a="1"/>
  <c r="ED25" i="8" s="1"/>
  <c r="EC25" i="8" a="1"/>
  <c r="EC25" i="8" s="1"/>
  <c r="EB25" i="8" a="1"/>
  <c r="EB25" i="8" s="1"/>
  <c r="EA25" i="8" a="1"/>
  <c r="EA25" i="8" s="1"/>
  <c r="DZ25" i="8" a="1"/>
  <c r="DZ25" i="8" s="1"/>
  <c r="DY25" i="8" a="1"/>
  <c r="DY25" i="8" s="1"/>
  <c r="DX25" i="8" a="1"/>
  <c r="DX25" i="8"/>
  <c r="DW25" i="8" a="1"/>
  <c r="DW25" i="8"/>
  <c r="DV25" i="8" a="1"/>
  <c r="DV25" i="8" s="1"/>
  <c r="DU25" i="8" a="1"/>
  <c r="DU25" i="8" s="1"/>
  <c r="DT25" i="8" a="1"/>
  <c r="DT25" i="8" s="1"/>
  <c r="DS25" i="8" a="1"/>
  <c r="DS25" i="8" s="1"/>
  <c r="DR25" i="8" a="1"/>
  <c r="DR25" i="8" s="1"/>
  <c r="DQ25" i="8" a="1"/>
  <c r="DQ25" i="8" s="1"/>
  <c r="DP25" i="8" a="1"/>
  <c r="DP25" i="8" s="1"/>
  <c r="DO25" i="8" a="1"/>
  <c r="DO25" i="8"/>
  <c r="DN25" i="8" a="1"/>
  <c r="DN25" i="8" s="1"/>
  <c r="DM25" i="8" a="1"/>
  <c r="DM25" i="8"/>
  <c r="DL25" i="8" a="1"/>
  <c r="DL25" i="8"/>
  <c r="DK25" i="8" a="1"/>
  <c r="DK25" i="8" s="1"/>
  <c r="DJ25" i="8" a="1"/>
  <c r="DJ25" i="8" s="1"/>
  <c r="DI25" i="8" a="1"/>
  <c r="DI25" i="8"/>
  <c r="DH25" i="8" a="1"/>
  <c r="DH25" i="8" s="1"/>
  <c r="DG25" i="8" a="1"/>
  <c r="DG25" i="8" s="1"/>
  <c r="DF25" i="8" a="1"/>
  <c r="DF25" i="8"/>
  <c r="DE25" i="8" a="1"/>
  <c r="DE25" i="8" s="1"/>
  <c r="DD25" i="8" a="1"/>
  <c r="DD25" i="8" s="1"/>
  <c r="DC25" i="8" a="1"/>
  <c r="DC25" i="8" s="1"/>
  <c r="DB25" i="8" a="1"/>
  <c r="DB25" i="8" s="1"/>
  <c r="DA25" i="8" a="1"/>
  <c r="DA25" i="8"/>
  <c r="CZ25" i="8" a="1"/>
  <c r="CZ25" i="8" s="1"/>
  <c r="CY25" i="8" a="1"/>
  <c r="CY25" i="8" s="1"/>
  <c r="CX25" i="8" a="1"/>
  <c r="CX25" i="8"/>
  <c r="CW25" i="8" a="1"/>
  <c r="CW25" i="8" s="1"/>
  <c r="CV25" i="8" a="1"/>
  <c r="CV25" i="8" s="1"/>
  <c r="CU25" i="8" a="1"/>
  <c r="CU25" i="8" s="1"/>
  <c r="CT25" i="8" a="1"/>
  <c r="CT25" i="8" s="1"/>
  <c r="CS25" i="8" a="1"/>
  <c r="CS25" i="8" s="1"/>
  <c r="CR25" i="8" a="1"/>
  <c r="CR25" i="8" s="1"/>
  <c r="CQ25" i="8" a="1"/>
  <c r="CQ25" i="8" s="1"/>
  <c r="CP25" i="8" a="1"/>
  <c r="CP25" i="8"/>
  <c r="CO25" i="8" a="1"/>
  <c r="CO25" i="8" s="1"/>
  <c r="CN25" i="8" a="1"/>
  <c r="CN25" i="8" s="1"/>
  <c r="CM25" i="8" a="1"/>
  <c r="CM25" i="8" s="1"/>
  <c r="CL25" i="8" a="1"/>
  <c r="CL25" i="8" s="1"/>
  <c r="CK25" i="8" a="1"/>
  <c r="CK25" i="8" s="1"/>
  <c r="CJ25" i="8" a="1"/>
  <c r="CJ25" i="8" s="1"/>
  <c r="CI25" i="8" a="1"/>
  <c r="CI25" i="8" s="1"/>
  <c r="CH25" i="8" a="1"/>
  <c r="CH25" i="8" s="1"/>
  <c r="CG25" i="8" a="1"/>
  <c r="CG25" i="8" s="1"/>
  <c r="CF25" i="8" a="1"/>
  <c r="CF25" i="8" s="1"/>
  <c r="CE25" i="8" a="1"/>
  <c r="CE25" i="8" s="1"/>
  <c r="CD25" i="8" a="1"/>
  <c r="CD25" i="8" s="1"/>
  <c r="CC25" i="8" a="1"/>
  <c r="CC25" i="8"/>
  <c r="CB25" i="8" a="1"/>
  <c r="CB25" i="8"/>
  <c r="CA25" i="8" a="1"/>
  <c r="CA25" i="8" s="1"/>
  <c r="BZ25" i="8" a="1"/>
  <c r="BZ25" i="8" s="1"/>
  <c r="BY25" i="8" a="1"/>
  <c r="BY25" i="8" s="1"/>
  <c r="BX25" i="8" a="1"/>
  <c r="BX25" i="8" s="1"/>
  <c r="BW25" i="8" a="1"/>
  <c r="BW25" i="8" s="1"/>
  <c r="BV25" i="8" a="1"/>
  <c r="BV25" i="8" s="1"/>
  <c r="BU25" i="8" a="1"/>
  <c r="BU25" i="8"/>
  <c r="BT25" i="8" a="1"/>
  <c r="BT25" i="8" s="1"/>
  <c r="BS25" i="8" a="1"/>
  <c r="BS25" i="8" s="1"/>
  <c r="BR25" i="8" a="1"/>
  <c r="BR25" i="8" s="1"/>
  <c r="BQ25" i="8" a="1"/>
  <c r="BQ25" i="8" s="1"/>
  <c r="BP25" i="8" a="1"/>
  <c r="BP25" i="8" s="1"/>
  <c r="BO25" i="8" a="1"/>
  <c r="BO25" i="8" s="1"/>
  <c r="BN25" i="8" a="1"/>
  <c r="BN25" i="8" s="1"/>
  <c r="BM25" i="8" a="1"/>
  <c r="BM25" i="8" s="1"/>
  <c r="BL25" i="8" a="1"/>
  <c r="BL25" i="8" s="1"/>
  <c r="BK25" i="8" a="1"/>
  <c r="BK25" i="8" s="1"/>
  <c r="BJ25" i="8" a="1"/>
  <c r="BJ25" i="8" s="1"/>
  <c r="BI25" i="8" a="1"/>
  <c r="BI25" i="8" s="1"/>
  <c r="BH25" i="8" a="1"/>
  <c r="BH25" i="8" s="1"/>
  <c r="BG25" i="8" a="1"/>
  <c r="BG25" i="8"/>
  <c r="BF25" i="8" a="1"/>
  <c r="BF25" i="8"/>
  <c r="BE25" i="8" a="1"/>
  <c r="BE25" i="8" s="1"/>
  <c r="BD25" i="8" a="1"/>
  <c r="BD25" i="8" s="1"/>
  <c r="BC25" i="8" a="1"/>
  <c r="BC25" i="8" s="1"/>
  <c r="BB25" i="8" a="1"/>
  <c r="BB25" i="8" s="1"/>
  <c r="BA25" i="8" a="1"/>
  <c r="BA25" i="8" s="1"/>
  <c r="AZ25" i="8" a="1"/>
  <c r="AZ25" i="8" s="1"/>
  <c r="AY25" i="8" a="1"/>
  <c r="AY25" i="8" s="1"/>
  <c r="AX25" i="8" a="1"/>
  <c r="AX25" i="8" s="1"/>
  <c r="AW25" i="8" a="1"/>
  <c r="AW25" i="8" s="1"/>
  <c r="AV25" i="8" a="1"/>
  <c r="AV25" i="8"/>
  <c r="AU25" i="8" a="1"/>
  <c r="AU25" i="8" s="1"/>
  <c r="AT25" i="8" a="1"/>
  <c r="AT25" i="8" s="1"/>
  <c r="AS25" i="8" a="1"/>
  <c r="AS25" i="8" s="1"/>
  <c r="AR25" i="8" a="1"/>
  <c r="AR25" i="8" s="1"/>
  <c r="AQ25" i="8" a="1"/>
  <c r="AQ25" i="8" s="1"/>
  <c r="AP25" i="8" a="1"/>
  <c r="AP25" i="8" s="1"/>
  <c r="AO25" i="8" a="1"/>
  <c r="AO25" i="8" s="1"/>
  <c r="AN25" i="8" a="1"/>
  <c r="AN25" i="8"/>
  <c r="AM25" i="8" a="1"/>
  <c r="AM25" i="8" s="1"/>
  <c r="AL25" i="8" a="1"/>
  <c r="AL25" i="8" s="1"/>
  <c r="AK25" i="8" a="1"/>
  <c r="AK25" i="8" s="1"/>
  <c r="AJ25" i="8" a="1"/>
  <c r="AJ25" i="8" s="1"/>
  <c r="AI25" i="8" a="1"/>
  <c r="AI25" i="8" s="1"/>
  <c r="AH25" i="8" a="1"/>
  <c r="AH25" i="8" s="1"/>
  <c r="AG25" i="8" a="1"/>
  <c r="AG25" i="8" s="1"/>
  <c r="AF25" i="8" a="1"/>
  <c r="AF25" i="8" s="1"/>
  <c r="AE25" i="8" a="1"/>
  <c r="AE25" i="8" s="1"/>
  <c r="AD25" i="8" a="1"/>
  <c r="AD25" i="8" s="1"/>
  <c r="AC25" i="8" a="1"/>
  <c r="AC25" i="8" s="1"/>
  <c r="AB25" i="8" a="1"/>
  <c r="AB25" i="8" s="1"/>
  <c r="AA25" i="8" a="1"/>
  <c r="AA25" i="8" s="1"/>
  <c r="Z25" i="8" a="1"/>
  <c r="Z25" i="8" s="1"/>
  <c r="Y25" i="8" a="1"/>
  <c r="Y25" i="8" s="1"/>
  <c r="X25" i="8" a="1"/>
  <c r="X25" i="8" s="1"/>
  <c r="W25" i="8" a="1"/>
  <c r="W25" i="8" s="1"/>
  <c r="V25" i="8" a="1"/>
  <c r="V25" i="8"/>
  <c r="U25" i="8" a="1"/>
  <c r="U25" i="8" s="1"/>
  <c r="T25" i="8" a="1"/>
  <c r="T25" i="8" s="1"/>
  <c r="S25" i="8" a="1"/>
  <c r="S25" i="8" s="1"/>
  <c r="R25" i="8" a="1"/>
  <c r="R25" i="8" s="1"/>
  <c r="Q25" i="8" a="1"/>
  <c r="Q25" i="8" s="1"/>
  <c r="P25" i="8" a="1"/>
  <c r="P25" i="8" s="1"/>
  <c r="O25" i="8" a="1"/>
  <c r="O25" i="8"/>
  <c r="N25" i="8" a="1"/>
  <c r="N25" i="8"/>
  <c r="M25" i="8" a="1"/>
  <c r="M25" i="8" s="1"/>
  <c r="L25" i="8" a="1"/>
  <c r="L25" i="8" s="1"/>
  <c r="K25" i="8" a="1"/>
  <c r="K25" i="8"/>
  <c r="J25" i="8" a="1"/>
  <c r="J25" i="8" s="1"/>
  <c r="I25" i="8" a="1"/>
  <c r="I25" i="8" s="1"/>
  <c r="H25" i="8" a="1"/>
  <c r="H25" i="8" s="1"/>
  <c r="G25" i="8" a="1"/>
  <c r="G25" i="8"/>
  <c r="F25" i="8" a="1"/>
  <c r="F25" i="8" s="1"/>
  <c r="E25" i="8" a="1"/>
  <c r="E25" i="8" s="1"/>
  <c r="D25" i="8" a="1"/>
  <c r="D25" i="8" s="1"/>
  <c r="C25" i="8" a="1"/>
  <c r="C25" i="8"/>
  <c r="EF24" i="8" a="1"/>
  <c r="EF24" i="8" s="1"/>
  <c r="EE24" i="8" a="1"/>
  <c r="EE24" i="8" s="1"/>
  <c r="ED24" i="8" a="1"/>
  <c r="ED24" i="8"/>
  <c r="EC24" i="8" a="1"/>
  <c r="EC24" i="8" s="1"/>
  <c r="EB24" i="8" a="1"/>
  <c r="EB24" i="8" s="1"/>
  <c r="EA24" i="8" a="1"/>
  <c r="EA24" i="8" s="1"/>
  <c r="DZ24" i="8" a="1"/>
  <c r="DZ24" i="8" s="1"/>
  <c r="DY24" i="8" a="1"/>
  <c r="DY24" i="8" s="1"/>
  <c r="DX24" i="8" a="1"/>
  <c r="DX24" i="8" s="1"/>
  <c r="DW24" i="8" a="1"/>
  <c r="DW24" i="8" s="1"/>
  <c r="DV24" i="8" a="1"/>
  <c r="DV24" i="8" s="1"/>
  <c r="DU24" i="8" a="1"/>
  <c r="DU24" i="8" s="1"/>
  <c r="DT24" i="8" a="1"/>
  <c r="DT24" i="8" s="1"/>
  <c r="DS24" i="8" a="1"/>
  <c r="DS24" i="8" s="1"/>
  <c r="DR24" i="8" a="1"/>
  <c r="DR24" i="8" s="1"/>
  <c r="DQ24" i="8" a="1"/>
  <c r="DQ24" i="8" s="1"/>
  <c r="DP24" i="8" a="1"/>
  <c r="DP24" i="8" s="1"/>
  <c r="DO24" i="8" a="1"/>
  <c r="DO24" i="8" s="1"/>
  <c r="DN24" i="8" a="1"/>
  <c r="DN24" i="8" s="1"/>
  <c r="DM24" i="8" a="1"/>
  <c r="DM24" i="8" s="1"/>
  <c r="DL24" i="8" a="1"/>
  <c r="DL24" i="8"/>
  <c r="DK24" i="8" a="1"/>
  <c r="DK24" i="8"/>
  <c r="DJ24" i="8" a="1"/>
  <c r="DJ24" i="8" s="1"/>
  <c r="DI24" i="8" a="1"/>
  <c r="DI24" i="8" s="1"/>
  <c r="DH24" i="8" a="1"/>
  <c r="DH24" i="8" s="1"/>
  <c r="DG24" i="8" a="1"/>
  <c r="DG24" i="8" s="1"/>
  <c r="DF24" i="8" a="1"/>
  <c r="DF24" i="8" s="1"/>
  <c r="DE24" i="8" a="1"/>
  <c r="DE24" i="8" s="1"/>
  <c r="DD24" i="8" a="1"/>
  <c r="DD24" i="8" s="1"/>
  <c r="DC24" i="8" a="1"/>
  <c r="DC24" i="8" s="1"/>
  <c r="DB24" i="8" a="1"/>
  <c r="DB24" i="8" s="1"/>
  <c r="DA24" i="8" a="1"/>
  <c r="DA24" i="8" s="1"/>
  <c r="CZ24" i="8" a="1"/>
  <c r="CZ24" i="8"/>
  <c r="CY24" i="8" a="1"/>
  <c r="CY24" i="8" s="1"/>
  <c r="CX24" i="8" a="1"/>
  <c r="CX24" i="8" s="1"/>
  <c r="CW24" i="8" a="1"/>
  <c r="CW24" i="8"/>
  <c r="CV24" i="8" a="1"/>
  <c r="CV24" i="8" s="1"/>
  <c r="CU24" i="8" a="1"/>
  <c r="CU24" i="8" s="1"/>
  <c r="CT24" i="8" a="1"/>
  <c r="CT24" i="8" s="1"/>
  <c r="CS24" i="8" a="1"/>
  <c r="CS24" i="8" s="1"/>
  <c r="CR24" i="8" a="1"/>
  <c r="CR24" i="8" s="1"/>
  <c r="CQ24" i="8" a="1"/>
  <c r="CQ24" i="8" s="1"/>
  <c r="CP24" i="8" a="1"/>
  <c r="CP24" i="8"/>
  <c r="CO24" i="8" a="1"/>
  <c r="CO24" i="8"/>
  <c r="CN24" i="8" a="1"/>
  <c r="CN24" i="8" s="1"/>
  <c r="CM24" i="8" a="1"/>
  <c r="CM24" i="8"/>
  <c r="CL24" i="8" a="1"/>
  <c r="CL24" i="8" s="1"/>
  <c r="CK24" i="8" a="1"/>
  <c r="CK24" i="8"/>
  <c r="CJ24" i="8" a="1"/>
  <c r="CJ24" i="8" s="1"/>
  <c r="CI24" i="8" a="1"/>
  <c r="CI24" i="8" s="1"/>
  <c r="CH24" i="8" a="1"/>
  <c r="CH24" i="8" s="1"/>
  <c r="CG24" i="8" a="1"/>
  <c r="CG24" i="8" s="1"/>
  <c r="CF24" i="8" a="1"/>
  <c r="CF24" i="8" s="1"/>
  <c r="CE24" i="8" a="1"/>
  <c r="CE24" i="8"/>
  <c r="CD24" i="8" a="1"/>
  <c r="CD24" i="8" s="1"/>
  <c r="CC24" i="8" a="1"/>
  <c r="CC24" i="8" s="1"/>
  <c r="CB24" i="8" a="1"/>
  <c r="CB24" i="8" s="1"/>
  <c r="CA24" i="8" a="1"/>
  <c r="CA24" i="8" s="1"/>
  <c r="BZ24" i="8" a="1"/>
  <c r="BZ24" i="8"/>
  <c r="BY24" i="8" a="1"/>
  <c r="BY24" i="8" s="1"/>
  <c r="BX24" i="8" a="1"/>
  <c r="BX24" i="8" s="1"/>
  <c r="BW24" i="8" a="1"/>
  <c r="BW24" i="8" s="1"/>
  <c r="BV24" i="8" a="1"/>
  <c r="BV24" i="8" s="1"/>
  <c r="BU24" i="8" a="1"/>
  <c r="BU24" i="8" s="1"/>
  <c r="BT24" i="8" a="1"/>
  <c r="BT24" i="8" s="1"/>
  <c r="BS24" i="8" a="1"/>
  <c r="BS24" i="8" s="1"/>
  <c r="BR24" i="8" a="1"/>
  <c r="BR24" i="8" s="1"/>
  <c r="BQ24" i="8" a="1"/>
  <c r="BQ24" i="8" s="1"/>
  <c r="BP24" i="8" a="1"/>
  <c r="BP24" i="8" s="1"/>
  <c r="BO24" i="8" a="1"/>
  <c r="BO24" i="8" s="1"/>
  <c r="BN24" i="8" a="1"/>
  <c r="BN24" i="8" s="1"/>
  <c r="BM24" i="8" a="1"/>
  <c r="BM24" i="8" s="1"/>
  <c r="BL24" i="8" a="1"/>
  <c r="BL24" i="8" s="1"/>
  <c r="BK24" i="8" a="1"/>
  <c r="BK24" i="8" s="1"/>
  <c r="BJ24" i="8" a="1"/>
  <c r="BJ24" i="8" s="1"/>
  <c r="BI24" i="8" a="1"/>
  <c r="BI24" i="8" s="1"/>
  <c r="BH24" i="8" a="1"/>
  <c r="BH24" i="8" s="1"/>
  <c r="BG24" i="8" a="1"/>
  <c r="BG24" i="8" s="1"/>
  <c r="BF24" i="8" a="1"/>
  <c r="BF24" i="8"/>
  <c r="BE24" i="8" a="1"/>
  <c r="BE24" i="8"/>
  <c r="BD24" i="8" a="1"/>
  <c r="BD24" i="8"/>
  <c r="BC24" i="8" a="1"/>
  <c r="BC24" i="8" s="1"/>
  <c r="BB24" i="8" a="1"/>
  <c r="BB24" i="8" s="1"/>
  <c r="BA24" i="8" a="1"/>
  <c r="BA24" i="8" s="1"/>
  <c r="AZ24" i="8" a="1"/>
  <c r="AZ24" i="8" s="1"/>
  <c r="AY24" i="8" a="1"/>
  <c r="AY24" i="8" s="1"/>
  <c r="AX24" i="8" a="1"/>
  <c r="AX24" i="8"/>
  <c r="AW24" i="8" a="1"/>
  <c r="AW24" i="8"/>
  <c r="AV24" i="8" a="1"/>
  <c r="AV24" i="8" s="1"/>
  <c r="AU24" i="8" a="1"/>
  <c r="AU24" i="8"/>
  <c r="AT24" i="8" a="1"/>
  <c r="AT24" i="8"/>
  <c r="AS24" i="8" a="1"/>
  <c r="AS24" i="8" s="1"/>
  <c r="AR24" i="8" a="1"/>
  <c r="AR24" i="8" s="1"/>
  <c r="AQ24" i="8" a="1"/>
  <c r="AQ24" i="8" s="1"/>
  <c r="AP24" i="8" a="1"/>
  <c r="AP24" i="8" s="1"/>
  <c r="AO24" i="8" a="1"/>
  <c r="AO24" i="8" s="1"/>
  <c r="AN24" i="8" a="1"/>
  <c r="AN24" i="8" s="1"/>
  <c r="AM24" i="8" a="1"/>
  <c r="AM24" i="8"/>
  <c r="AL24" i="8" a="1"/>
  <c r="AL24" i="8" s="1"/>
  <c r="AK24" i="8" a="1"/>
  <c r="AK24" i="8" s="1"/>
  <c r="AJ24" i="8" a="1"/>
  <c r="AJ24" i="8" s="1"/>
  <c r="AI24" i="8" a="1"/>
  <c r="AI24" i="8"/>
  <c r="AH24" i="8" a="1"/>
  <c r="AH24" i="8"/>
  <c r="AG24" i="8" a="1"/>
  <c r="AG24" i="8" s="1"/>
  <c r="AF24" i="8" a="1"/>
  <c r="AF24" i="8" s="1"/>
  <c r="AE24" i="8" a="1"/>
  <c r="AE24" i="8" s="1"/>
  <c r="AD24" i="8" a="1"/>
  <c r="AD24" i="8" s="1"/>
  <c r="AC24" i="8" a="1"/>
  <c r="AC24" i="8" s="1"/>
  <c r="AB24" i="8" a="1"/>
  <c r="AB24" i="8" s="1"/>
  <c r="AA24" i="8" a="1"/>
  <c r="AA24" i="8"/>
  <c r="Z24" i="8" a="1"/>
  <c r="Z24" i="8" s="1"/>
  <c r="Y24" i="8" a="1"/>
  <c r="Y24" i="8" s="1"/>
  <c r="X24" i="8" a="1"/>
  <c r="X24" i="8"/>
  <c r="W24" i="8" a="1"/>
  <c r="W24" i="8"/>
  <c r="V24" i="8" a="1"/>
  <c r="V24" i="8" s="1"/>
  <c r="U24" i="8" a="1"/>
  <c r="U24" i="8" s="1"/>
  <c r="T24" i="8" a="1"/>
  <c r="T24" i="8" s="1"/>
  <c r="S24" i="8" a="1"/>
  <c r="S24" i="8" s="1"/>
  <c r="R24" i="8" a="1"/>
  <c r="R24" i="8" s="1"/>
  <c r="Q24" i="8" a="1"/>
  <c r="Q24" i="8" s="1"/>
  <c r="P24" i="8" a="1"/>
  <c r="P24" i="8"/>
  <c r="O24" i="8" a="1"/>
  <c r="O24" i="8" s="1"/>
  <c r="N24" i="8" a="1"/>
  <c r="N24" i="8" s="1"/>
  <c r="M24" i="8" a="1"/>
  <c r="M24" i="8" s="1"/>
  <c r="L24" i="8" a="1"/>
  <c r="L24" i="8" s="1"/>
  <c r="K24" i="8" a="1"/>
  <c r="K24" i="8" s="1"/>
  <c r="J24" i="8" a="1"/>
  <c r="J24" i="8" s="1"/>
  <c r="I24" i="8" a="1"/>
  <c r="I24" i="8" s="1"/>
  <c r="H24" i="8" a="1"/>
  <c r="H24" i="8" s="1"/>
  <c r="G24" i="8" a="1"/>
  <c r="G24" i="8" s="1"/>
  <c r="F24" i="8" a="1"/>
  <c r="F24" i="8"/>
  <c r="E24" i="8" a="1"/>
  <c r="E24" i="8" s="1"/>
  <c r="D24" i="8" a="1"/>
  <c r="D24" i="8" s="1"/>
  <c r="C24" i="8" a="1"/>
  <c r="C24" i="8" s="1"/>
  <c r="EF23" i="8" a="1"/>
  <c r="EF23" i="8" s="1"/>
  <c r="EE23" i="8" a="1"/>
  <c r="EE23" i="8" s="1"/>
  <c r="ED23" i="8" a="1"/>
  <c r="ED23" i="8" s="1"/>
  <c r="EC23" i="8" a="1"/>
  <c r="EC23" i="8" s="1"/>
  <c r="EB23" i="8" a="1"/>
  <c r="EB23" i="8" s="1"/>
  <c r="EA23" i="8" a="1"/>
  <c r="EA23" i="8" s="1"/>
  <c r="DZ23" i="8" a="1"/>
  <c r="DZ23" i="8" s="1"/>
  <c r="DY23" i="8" a="1"/>
  <c r="DY23" i="8"/>
  <c r="DX23" i="8" a="1"/>
  <c r="DX23" i="8"/>
  <c r="DW23" i="8" a="1"/>
  <c r="DW23" i="8" s="1"/>
  <c r="DV23" i="8" a="1"/>
  <c r="DV23" i="8"/>
  <c r="DU23" i="8" a="1"/>
  <c r="DU23" i="8"/>
  <c r="DT23" i="8" a="1"/>
  <c r="DT23" i="8" s="1"/>
  <c r="DS23" i="8" a="1"/>
  <c r="DS23" i="8" s="1"/>
  <c r="DR23" i="8" a="1"/>
  <c r="DR23" i="8" s="1"/>
  <c r="DQ23" i="8" a="1"/>
  <c r="DQ23" i="8" s="1"/>
  <c r="DP23" i="8" a="1"/>
  <c r="DP23" i="8" s="1"/>
  <c r="DO23" i="8" a="1"/>
  <c r="DO23" i="8" s="1"/>
  <c r="DN23" i="8" a="1"/>
  <c r="DN23" i="8"/>
  <c r="DM23" i="8" a="1"/>
  <c r="DM23" i="8" s="1"/>
  <c r="DL23" i="8" a="1"/>
  <c r="DL23" i="8" s="1"/>
  <c r="DK23" i="8" a="1"/>
  <c r="DK23" i="8" s="1"/>
  <c r="DJ23" i="8" a="1"/>
  <c r="DJ23" i="8"/>
  <c r="DI23" i="8" a="1"/>
  <c r="DI23" i="8" s="1"/>
  <c r="DH23" i="8" a="1"/>
  <c r="DH23" i="8" s="1"/>
  <c r="DG23" i="8" a="1"/>
  <c r="DG23" i="8" s="1"/>
  <c r="DF23" i="8" a="1"/>
  <c r="DF23" i="8" s="1"/>
  <c r="DE23" i="8" a="1"/>
  <c r="DE23" i="8" s="1"/>
  <c r="DD23" i="8" a="1"/>
  <c r="DD23" i="8" s="1"/>
  <c r="DC23" i="8" a="1"/>
  <c r="DC23" i="8" s="1"/>
  <c r="DB23" i="8" a="1"/>
  <c r="DB23" i="8" s="1"/>
  <c r="DA23" i="8" a="1"/>
  <c r="DA23" i="8" s="1"/>
  <c r="CZ23" i="8" a="1"/>
  <c r="CZ23" i="8"/>
  <c r="CY23" i="8" a="1"/>
  <c r="CY23" i="8"/>
  <c r="CX23" i="8" a="1"/>
  <c r="CX23" i="8" s="1"/>
  <c r="CW23" i="8" a="1"/>
  <c r="CW23" i="8" s="1"/>
  <c r="CV23" i="8" a="1"/>
  <c r="CV23" i="8" s="1"/>
  <c r="CU23" i="8" a="1"/>
  <c r="CU23" i="8" s="1"/>
  <c r="CT23" i="8" a="1"/>
  <c r="CT23" i="8" s="1"/>
  <c r="CS23" i="8" a="1"/>
  <c r="CS23" i="8" s="1"/>
  <c r="CR23" i="8" a="1"/>
  <c r="CR23" i="8" s="1"/>
  <c r="CQ23" i="8" a="1"/>
  <c r="CQ23" i="8" s="1"/>
  <c r="CP23" i="8" a="1"/>
  <c r="CP23" i="8" s="1"/>
  <c r="CO23" i="8" a="1"/>
  <c r="CO23" i="8" s="1"/>
  <c r="CN23" i="8" a="1"/>
  <c r="CN23" i="8" s="1"/>
  <c r="CM23" i="8" a="1"/>
  <c r="CM23" i="8" s="1"/>
  <c r="CL23" i="8" a="1"/>
  <c r="CL23" i="8" s="1"/>
  <c r="CK23" i="8" a="1"/>
  <c r="CK23" i="8" s="1"/>
  <c r="CJ23" i="8" a="1"/>
  <c r="CJ23" i="8" s="1"/>
  <c r="CI23" i="8" a="1"/>
  <c r="CI23" i="8" s="1"/>
  <c r="CH23" i="8" a="1"/>
  <c r="CH23" i="8" s="1"/>
  <c r="CG23" i="8" a="1"/>
  <c r="CG23" i="8"/>
  <c r="CF23" i="8" a="1"/>
  <c r="CF23" i="8"/>
  <c r="CE23" i="8" a="1"/>
  <c r="CE23" i="8" s="1"/>
  <c r="CD23" i="8" a="1"/>
  <c r="CD23" i="8" s="1"/>
  <c r="CC23" i="8" a="1"/>
  <c r="CC23" i="8" s="1"/>
  <c r="CB23" i="8" a="1"/>
  <c r="CB23" i="8" s="1"/>
  <c r="CA23" i="8" a="1"/>
  <c r="CA23" i="8" s="1"/>
  <c r="BZ23" i="8" a="1"/>
  <c r="BZ23" i="8" s="1"/>
  <c r="BY23" i="8" a="1"/>
  <c r="BY23" i="8" s="1"/>
  <c r="BX23" i="8" a="1"/>
  <c r="BX23" i="8" s="1"/>
  <c r="BW23" i="8" a="1"/>
  <c r="BW23" i="8" s="1"/>
  <c r="BV23" i="8" a="1"/>
  <c r="BV23" i="8" s="1"/>
  <c r="BU23" i="8" a="1"/>
  <c r="BU23" i="8"/>
  <c r="BT23" i="8" a="1"/>
  <c r="BT23" i="8" s="1"/>
  <c r="BS23" i="8" a="1"/>
  <c r="BS23" i="8" s="1"/>
  <c r="BR23" i="8" a="1"/>
  <c r="BR23" i="8"/>
  <c r="BQ23" i="8" a="1"/>
  <c r="BQ23" i="8" s="1"/>
  <c r="BP23" i="8" a="1"/>
  <c r="BP23" i="8" s="1"/>
  <c r="BO23" i="8" a="1"/>
  <c r="BO23" i="8" s="1"/>
  <c r="BN23" i="8" a="1"/>
  <c r="BN23" i="8" s="1"/>
  <c r="BM23" i="8" a="1"/>
  <c r="BM23" i="8" s="1"/>
  <c r="BL23" i="8" a="1"/>
  <c r="BL23" i="8" s="1"/>
  <c r="BK23" i="8" a="1"/>
  <c r="BK23" i="8"/>
  <c r="BJ23" i="8" a="1"/>
  <c r="BJ23" i="8"/>
  <c r="BI23" i="8" a="1"/>
  <c r="BI23" i="8" s="1"/>
  <c r="BH23" i="8" a="1"/>
  <c r="BH23" i="8"/>
  <c r="BG23" i="8" a="1"/>
  <c r="BG23" i="8" s="1"/>
  <c r="BF23" i="8" a="1"/>
  <c r="BF23" i="8" s="1"/>
  <c r="BE23" i="8" a="1"/>
  <c r="BE23" i="8" s="1"/>
  <c r="BD23" i="8" a="1"/>
  <c r="BD23" i="8" s="1"/>
  <c r="BC23" i="8" a="1"/>
  <c r="BC23" i="8" s="1"/>
  <c r="BB23" i="8" a="1"/>
  <c r="BB23" i="8" s="1"/>
  <c r="BA23" i="8" a="1"/>
  <c r="BA23" i="8" s="1"/>
  <c r="AZ23" i="8" a="1"/>
  <c r="AZ23" i="8" s="1"/>
  <c r="AY23" i="8" a="1"/>
  <c r="AY23" i="8" s="1"/>
  <c r="AX23" i="8" a="1"/>
  <c r="AX23" i="8" s="1"/>
  <c r="AW23" i="8" a="1"/>
  <c r="AW23" i="8"/>
  <c r="AV23" i="8" a="1"/>
  <c r="AV23" i="8"/>
  <c r="AU23" i="8" a="1"/>
  <c r="AU23" i="8" s="1"/>
  <c r="AT23" i="8" a="1"/>
  <c r="AT23" i="8" s="1"/>
  <c r="AS23" i="8" a="1"/>
  <c r="AS23" i="8" s="1"/>
  <c r="AR23" i="8" a="1"/>
  <c r="AR23" i="8" s="1"/>
  <c r="AQ23" i="8" a="1"/>
  <c r="AQ23" i="8" s="1"/>
  <c r="AP23" i="8" a="1"/>
  <c r="AP23" i="8" s="1"/>
  <c r="AO23" i="8" a="1"/>
  <c r="AO23" i="8" s="1"/>
  <c r="AN23" i="8" a="1"/>
  <c r="AN23" i="8" s="1"/>
  <c r="AM23" i="8" a="1"/>
  <c r="AM23" i="8" s="1"/>
  <c r="AL23" i="8" a="1"/>
  <c r="AL23" i="8"/>
  <c r="AK23" i="8" a="1"/>
  <c r="AK23" i="8" s="1"/>
  <c r="AJ23" i="8" a="1"/>
  <c r="AJ23" i="8" s="1"/>
  <c r="AI23" i="8" a="1"/>
  <c r="AI23" i="8" s="1"/>
  <c r="AH23" i="8" a="1"/>
  <c r="AH23" i="8" s="1"/>
  <c r="AG23" i="8" a="1"/>
  <c r="AG23" i="8" s="1"/>
  <c r="AF23" i="8" a="1"/>
  <c r="AF23" i="8" s="1"/>
  <c r="AE23" i="8" a="1"/>
  <c r="AE23" i="8" s="1"/>
  <c r="AD23" i="8" a="1"/>
  <c r="AD23" i="8" s="1"/>
  <c r="AC23" i="8" a="1"/>
  <c r="AC23" i="8"/>
  <c r="AB23" i="8" a="1"/>
  <c r="AB23" i="8" s="1"/>
  <c r="AA23" i="8" a="1"/>
  <c r="AA23" i="8" s="1"/>
  <c r="Z23" i="8" a="1"/>
  <c r="Z23" i="8" s="1"/>
  <c r="Y23" i="8" a="1"/>
  <c r="Y23" i="8" s="1"/>
  <c r="X23" i="8" a="1"/>
  <c r="X23" i="8" s="1"/>
  <c r="W23" i="8" a="1"/>
  <c r="W23" i="8" s="1"/>
  <c r="V23" i="8" a="1"/>
  <c r="V23" i="8" s="1"/>
  <c r="U23" i="8" a="1"/>
  <c r="U23" i="8" s="1"/>
  <c r="T23" i="8" a="1"/>
  <c r="T23" i="8" s="1"/>
  <c r="S23" i="8" a="1"/>
  <c r="S23" i="8"/>
  <c r="R23" i="8" a="1"/>
  <c r="R23" i="8" s="1"/>
  <c r="Q23" i="8" a="1"/>
  <c r="Q23" i="8" s="1"/>
  <c r="P23" i="8" a="1"/>
  <c r="P23" i="8" s="1"/>
  <c r="O23" i="8" a="1"/>
  <c r="O23" i="8" s="1"/>
  <c r="N23" i="8" a="1"/>
  <c r="N23" i="8" s="1"/>
  <c r="M23" i="8" a="1"/>
  <c r="M23" i="8" s="1"/>
  <c r="L23" i="8" a="1"/>
  <c r="L23" i="8" s="1"/>
  <c r="K23" i="8" a="1"/>
  <c r="K23" i="8" s="1"/>
  <c r="J23" i="8" a="1"/>
  <c r="J23" i="8" s="1"/>
  <c r="I23" i="8" a="1"/>
  <c r="I23" i="8" s="1"/>
  <c r="H23" i="8" a="1"/>
  <c r="H23" i="8"/>
  <c r="G23" i="8" a="1"/>
  <c r="G23" i="8"/>
  <c r="F23" i="8" a="1"/>
  <c r="F23" i="8" s="1"/>
  <c r="E23" i="8" a="1"/>
  <c r="E23" i="8"/>
  <c r="D23" i="8" a="1"/>
  <c r="D23" i="8"/>
  <c r="C23" i="8" a="1"/>
  <c r="C23" i="8" s="1"/>
  <c r="EF22" i="8" a="1"/>
  <c r="EF22" i="8" s="1"/>
  <c r="EE22" i="8" a="1"/>
  <c r="EE22" i="8" s="1"/>
  <c r="ED22" i="8" a="1"/>
  <c r="ED22" i="8" s="1"/>
  <c r="EC22" i="8" a="1"/>
  <c r="EC22" i="8" s="1"/>
  <c r="EB22" i="8" a="1"/>
  <c r="EB22" i="8" s="1"/>
  <c r="EA22" i="8" a="1"/>
  <c r="EA22" i="8"/>
  <c r="DZ22" i="8" a="1"/>
  <c r="DZ22" i="8" s="1"/>
  <c r="DY22" i="8" a="1"/>
  <c r="DY22" i="8" s="1"/>
  <c r="DX22" i="8" a="1"/>
  <c r="DX22" i="8" s="1"/>
  <c r="DW22" i="8" a="1"/>
  <c r="DW22" i="8"/>
  <c r="DV22" i="8" a="1"/>
  <c r="DV22" i="8" s="1"/>
  <c r="DU22" i="8" a="1"/>
  <c r="DU22" i="8" s="1"/>
  <c r="DT22" i="8" a="1"/>
  <c r="DT22" i="8" s="1"/>
  <c r="DS22" i="8" a="1"/>
  <c r="DS22" i="8" s="1"/>
  <c r="DR22" i="8" a="1"/>
  <c r="DR22" i="8" s="1"/>
  <c r="DQ22" i="8" a="1"/>
  <c r="DQ22" i="8" s="1"/>
  <c r="DP22" i="8" a="1"/>
  <c r="DP22" i="8" s="1"/>
  <c r="DO22" i="8" a="1"/>
  <c r="DO22" i="8" s="1"/>
  <c r="DN22" i="8" a="1"/>
  <c r="DN22" i="8" s="1"/>
  <c r="DM22" i="8" a="1"/>
  <c r="DM22" i="8"/>
  <c r="DL22" i="8" a="1"/>
  <c r="DL22" i="8"/>
  <c r="DK22" i="8" a="1"/>
  <c r="DK22" i="8" s="1"/>
  <c r="DJ22" i="8" a="1"/>
  <c r="DJ22" i="8" s="1"/>
  <c r="DI22" i="8" a="1"/>
  <c r="DI22" i="8" s="1"/>
  <c r="DH22" i="8" a="1"/>
  <c r="DH22" i="8" s="1"/>
  <c r="DG22" i="8" a="1"/>
  <c r="DG22" i="8" s="1"/>
  <c r="DF22" i="8" a="1"/>
  <c r="DF22" i="8" s="1"/>
  <c r="DE22" i="8" a="1"/>
  <c r="DE22" i="8" s="1"/>
  <c r="DD22" i="8" a="1"/>
  <c r="DD22" i="8" s="1"/>
  <c r="DC22" i="8" a="1"/>
  <c r="DC22" i="8" s="1"/>
  <c r="DB22" i="8" a="1"/>
  <c r="DB22" i="8" s="1"/>
  <c r="DA22" i="8" a="1"/>
  <c r="DA22" i="8" s="1"/>
  <c r="CZ22" i="8" a="1"/>
  <c r="CZ22" i="8" s="1"/>
  <c r="CY22" i="8" a="1"/>
  <c r="CY22" i="8" s="1"/>
  <c r="CX22" i="8" a="1"/>
  <c r="CX22" i="8" s="1"/>
  <c r="CW22" i="8" a="1"/>
  <c r="CW22" i="8" s="1"/>
  <c r="CV22" i="8" a="1"/>
  <c r="CV22" i="8" s="1"/>
  <c r="CU22" i="8" a="1"/>
  <c r="CU22" i="8" s="1"/>
  <c r="CT22" i="8" a="1"/>
  <c r="CT22" i="8"/>
  <c r="CS22" i="8" a="1"/>
  <c r="CS22" i="8"/>
  <c r="CR22" i="8" a="1"/>
  <c r="CR22" i="8" s="1"/>
  <c r="CQ22" i="8" a="1"/>
  <c r="CQ22" i="8"/>
  <c r="CP22" i="8" a="1"/>
  <c r="CP22" i="8" s="1"/>
  <c r="CO22" i="8" a="1"/>
  <c r="CO22" i="8" s="1"/>
  <c r="CN22" i="8" a="1"/>
  <c r="CN22" i="8" s="1"/>
  <c r="CM22" i="8" a="1"/>
  <c r="CM22" i="8" s="1"/>
  <c r="CL22" i="8" a="1"/>
  <c r="CL22" i="8" s="1"/>
  <c r="CK22" i="8" a="1"/>
  <c r="CK22" i="8" s="1"/>
  <c r="CJ22" i="8" a="1"/>
  <c r="CJ22" i="8" s="1"/>
  <c r="CI22" i="8" a="1"/>
  <c r="CI22" i="8" s="1"/>
  <c r="CH22" i="8" a="1"/>
  <c r="CH22" i="8"/>
  <c r="CG22" i="8" a="1"/>
  <c r="CG22" i="8" s="1"/>
  <c r="CF22" i="8" a="1"/>
  <c r="CF22" i="8" s="1"/>
  <c r="CE22" i="8" a="1"/>
  <c r="CE22" i="8"/>
  <c r="CD22" i="8" a="1"/>
  <c r="CD22" i="8" s="1"/>
  <c r="CC22" i="8" a="1"/>
  <c r="CC22" i="8" s="1"/>
  <c r="CB22" i="8" a="1"/>
  <c r="CB22" i="8" s="1"/>
  <c r="CA22" i="8" a="1"/>
  <c r="CA22" i="8" s="1"/>
  <c r="BZ22" i="8" a="1"/>
  <c r="BZ22" i="8" s="1"/>
  <c r="BY22" i="8" a="1"/>
  <c r="BY22" i="8" s="1"/>
  <c r="BX22" i="8" a="1"/>
  <c r="BX22" i="8"/>
  <c r="BW22" i="8" a="1"/>
  <c r="BW22" i="8"/>
  <c r="BV22" i="8" a="1"/>
  <c r="BV22" i="8" s="1"/>
  <c r="BU22" i="8" a="1"/>
  <c r="BU22" i="8"/>
  <c r="BT22" i="8" a="1"/>
  <c r="BT22" i="8" s="1"/>
  <c r="BS22" i="8" a="1"/>
  <c r="BS22" i="8" s="1"/>
  <c r="BR22" i="8" a="1"/>
  <c r="BR22" i="8" s="1"/>
  <c r="BQ22" i="8" a="1"/>
  <c r="BQ22" i="8" s="1"/>
  <c r="BP22" i="8" a="1"/>
  <c r="BP22" i="8" s="1"/>
  <c r="BO22" i="8" a="1"/>
  <c r="BO22" i="8" s="1"/>
  <c r="BN22" i="8" a="1"/>
  <c r="BN22" i="8" s="1"/>
  <c r="BM22" i="8" a="1"/>
  <c r="BM22" i="8" s="1"/>
  <c r="BL22" i="8" a="1"/>
  <c r="BL22" i="8" s="1"/>
  <c r="BK22" i="8" a="1"/>
  <c r="BK22" i="8" s="1"/>
  <c r="BJ22" i="8" a="1"/>
  <c r="BJ22" i="8"/>
  <c r="BI22" i="8" a="1"/>
  <c r="BI22" i="8"/>
  <c r="BH22" i="8" a="1"/>
  <c r="BH22" i="8" s="1"/>
  <c r="BG22" i="8" a="1"/>
  <c r="BG22" i="8" s="1"/>
  <c r="BF22" i="8" a="1"/>
  <c r="BF22" i="8" s="1"/>
  <c r="BE22" i="8" a="1"/>
  <c r="BE22" i="8" s="1"/>
  <c r="BD22" i="8" a="1"/>
  <c r="BD22" i="8" s="1"/>
  <c r="BC22" i="8" a="1"/>
  <c r="BC22" i="8" s="1"/>
  <c r="BB22" i="8" a="1"/>
  <c r="BB22" i="8"/>
  <c r="BA22" i="8" a="1"/>
  <c r="BA22" i="8" s="1"/>
  <c r="AZ22" i="8" a="1"/>
  <c r="AZ22" i="8" s="1"/>
  <c r="AY22" i="8" a="1"/>
  <c r="AY22" i="8"/>
  <c r="AX22" i="8" a="1"/>
  <c r="AX22" i="8" s="1"/>
  <c r="AW22" i="8" a="1"/>
  <c r="AW22" i="8" s="1"/>
  <c r="AV22" i="8" a="1"/>
  <c r="AV22" i="8" s="1"/>
  <c r="AU22" i="8" a="1"/>
  <c r="AU22" i="8" s="1"/>
  <c r="AT22" i="8" a="1"/>
  <c r="AT22" i="8" s="1"/>
  <c r="AS22" i="8" a="1"/>
  <c r="AS22" i="8" s="1"/>
  <c r="AR22" i="8" a="1"/>
  <c r="AR22" i="8" s="1"/>
  <c r="AQ22" i="8" a="1"/>
  <c r="AQ22" i="8" s="1"/>
  <c r="AP22" i="8" a="1"/>
  <c r="AP22" i="8"/>
  <c r="AO22" i="8" a="1"/>
  <c r="AO22" i="8" s="1"/>
  <c r="AN22" i="8" a="1"/>
  <c r="AN22" i="8" s="1"/>
  <c r="AM22" i="8" a="1"/>
  <c r="AM22" i="8"/>
  <c r="AL22" i="8" a="1"/>
  <c r="AL22" i="8" s="1"/>
  <c r="AK22" i="8" a="1"/>
  <c r="AK22" i="8" s="1"/>
  <c r="AJ22" i="8" a="1"/>
  <c r="AJ22" i="8" s="1"/>
  <c r="AI22" i="8" a="1"/>
  <c r="AI22" i="8" s="1"/>
  <c r="AH22" i="8" a="1"/>
  <c r="AH22" i="8" s="1"/>
  <c r="AG22" i="8" a="1"/>
  <c r="AG22" i="8" s="1"/>
  <c r="AF22" i="8" a="1"/>
  <c r="AF22" i="8" s="1"/>
  <c r="AE22" i="8" a="1"/>
  <c r="AE22" i="8"/>
  <c r="AD22" i="8" a="1"/>
  <c r="AD22" i="8" s="1"/>
  <c r="AC22" i="8" a="1"/>
  <c r="AC22" i="8"/>
  <c r="AB22" i="8" a="1"/>
  <c r="AB22" i="8"/>
  <c r="AA22" i="8" a="1"/>
  <c r="AA22" i="8" s="1"/>
  <c r="Z22" i="8" a="1"/>
  <c r="Z22" i="8" s="1"/>
  <c r="Y22" i="8" a="1"/>
  <c r="Y22" i="8" s="1"/>
  <c r="X22" i="8" a="1"/>
  <c r="X22" i="8" s="1"/>
  <c r="W22" i="8" a="1"/>
  <c r="W22" i="8" s="1"/>
  <c r="V22" i="8" a="1"/>
  <c r="V22" i="8" s="1"/>
  <c r="U22" i="8" a="1"/>
  <c r="U22" i="8" s="1"/>
  <c r="T22" i="8" a="1"/>
  <c r="T22" i="8" s="1"/>
  <c r="S22" i="8" a="1"/>
  <c r="S22" i="8" s="1"/>
  <c r="R22" i="8" a="1"/>
  <c r="R22" i="8" s="1"/>
  <c r="Q22" i="8" a="1"/>
  <c r="Q22" i="8" s="1"/>
  <c r="P22" i="8" a="1"/>
  <c r="P22" i="8" s="1"/>
  <c r="O22" i="8" a="1"/>
  <c r="O22" i="8" s="1"/>
  <c r="N22" i="8" a="1"/>
  <c r="N22" i="8" s="1"/>
  <c r="M22" i="8" a="1"/>
  <c r="M22" i="8" s="1"/>
  <c r="L22" i="8" a="1"/>
  <c r="L22" i="8" s="1"/>
  <c r="K22" i="8" a="1"/>
  <c r="K22" i="8" s="1"/>
  <c r="J22" i="8" a="1"/>
  <c r="J22" i="8" s="1"/>
  <c r="I22" i="8" a="1"/>
  <c r="I22" i="8" s="1"/>
  <c r="H22" i="8" a="1"/>
  <c r="H22" i="8" s="1"/>
  <c r="G22" i="8" a="1"/>
  <c r="G22" i="8"/>
  <c r="F22" i="8" a="1"/>
  <c r="F22" i="8"/>
  <c r="E22" i="8" a="1"/>
  <c r="E22" i="8" s="1"/>
  <c r="D22" i="8" a="1"/>
  <c r="D22" i="8" s="1"/>
  <c r="C22" i="8" a="1"/>
  <c r="C22" i="8" s="1"/>
  <c r="EF21" i="8" a="1"/>
  <c r="EF21" i="8" s="1"/>
  <c r="EE21" i="8" a="1"/>
  <c r="EE21" i="8" s="1"/>
  <c r="ED21" i="8" a="1"/>
  <c r="ED21" i="8" s="1"/>
  <c r="EC21" i="8" a="1"/>
  <c r="EC21" i="8"/>
  <c r="EB21" i="8" a="1"/>
  <c r="EB21" i="8"/>
  <c r="EA21" i="8" a="1"/>
  <c r="EA21" i="8" s="1"/>
  <c r="DZ21" i="8" a="1"/>
  <c r="DZ21" i="8"/>
  <c r="DY21" i="8" a="1"/>
  <c r="DY21" i="8"/>
  <c r="DX21" i="8" a="1"/>
  <c r="DX21" i="8" s="1"/>
  <c r="DW21" i="8" a="1"/>
  <c r="DW21" i="8" s="1"/>
  <c r="DV21" i="8" a="1"/>
  <c r="DV21" i="8" s="1"/>
  <c r="DU21" i="8" a="1"/>
  <c r="DU21" i="8" s="1"/>
  <c r="DT21" i="8" a="1"/>
  <c r="DT21" i="8" s="1"/>
  <c r="DS21" i="8" a="1"/>
  <c r="DS21" i="8" s="1"/>
  <c r="DR21" i="8" a="1"/>
  <c r="DR21" i="8"/>
  <c r="DQ21" i="8" a="1"/>
  <c r="DQ21" i="8"/>
  <c r="DP21" i="8" a="1"/>
  <c r="DP21" i="8" s="1"/>
  <c r="DO21" i="8" a="1"/>
  <c r="DO21" i="8" s="1"/>
  <c r="DN21" i="8" a="1"/>
  <c r="DN21" i="8"/>
  <c r="DM21" i="8" a="1"/>
  <c r="DM21" i="8" s="1"/>
  <c r="DL21" i="8" a="1"/>
  <c r="DL21" i="8" s="1"/>
  <c r="DK21" i="8" a="1"/>
  <c r="DK21" i="8" s="1"/>
  <c r="DJ21" i="8" a="1"/>
  <c r="DJ21" i="8" s="1"/>
  <c r="DI21" i="8" a="1"/>
  <c r="DI21" i="8" s="1"/>
  <c r="DH21" i="8" a="1"/>
  <c r="DH21" i="8" s="1"/>
  <c r="DG21" i="8" a="1"/>
  <c r="DG21" i="8"/>
  <c r="DF21" i="8" a="1"/>
  <c r="DF21" i="8" s="1"/>
  <c r="DE21" i="8" a="1"/>
  <c r="DE21" i="8" s="1"/>
  <c r="DD21" i="8" a="1"/>
  <c r="DD21" i="8"/>
  <c r="DC21" i="8" a="1"/>
  <c r="DC21" i="8"/>
  <c r="DB21" i="8" a="1"/>
  <c r="DB21" i="8" s="1"/>
  <c r="DA21" i="8" a="1"/>
  <c r="DA21" i="8" s="1"/>
  <c r="CZ21" i="8" a="1"/>
  <c r="CZ21" i="8" s="1"/>
  <c r="CY21" i="8" a="1"/>
  <c r="CY21" i="8" s="1"/>
  <c r="CX21" i="8" a="1"/>
  <c r="CX21" i="8" s="1"/>
  <c r="CW21" i="8" a="1"/>
  <c r="CW21" i="8" s="1"/>
  <c r="CV21" i="8" a="1"/>
  <c r="CV21" i="8"/>
  <c r="CU21" i="8" a="1"/>
  <c r="CU21" i="8"/>
  <c r="CT21" i="8" a="1"/>
  <c r="CT21" i="8" s="1"/>
  <c r="CS21" i="8" a="1"/>
  <c r="CS21" i="8"/>
  <c r="CR21" i="8" a="1"/>
  <c r="CR21" i="8" s="1"/>
  <c r="CQ21" i="8" a="1"/>
  <c r="CQ21" i="8" s="1"/>
  <c r="CP21" i="8" a="1"/>
  <c r="CP21" i="8" s="1"/>
  <c r="CO21" i="8" a="1"/>
  <c r="CO21" i="8" s="1"/>
  <c r="CN21" i="8" a="1"/>
  <c r="CN21" i="8" s="1"/>
  <c r="CM21" i="8" a="1"/>
  <c r="CM21" i="8" s="1"/>
  <c r="CL21" i="8" a="1"/>
  <c r="CL21" i="8" s="1"/>
  <c r="CK21" i="8" a="1"/>
  <c r="CK21" i="8" s="1"/>
  <c r="CJ21" i="8" a="1"/>
  <c r="CJ21" i="8" s="1"/>
  <c r="CI21" i="8" a="1"/>
  <c r="CI21" i="8" s="1"/>
  <c r="CH21" i="8" a="1"/>
  <c r="CH21" i="8" s="1"/>
  <c r="CG21" i="8" a="1"/>
  <c r="CG21" i="8"/>
  <c r="CF21" i="8" a="1"/>
  <c r="CF21" i="8" s="1"/>
  <c r="CE21" i="8" a="1"/>
  <c r="CE21" i="8" s="1"/>
  <c r="CD21" i="8" a="1"/>
  <c r="CD21" i="8" s="1"/>
  <c r="CC21" i="8" a="1"/>
  <c r="CC21" i="8" s="1"/>
  <c r="CB21" i="8" a="1"/>
  <c r="CB21" i="8" s="1"/>
  <c r="CA21" i="8" a="1"/>
  <c r="CA21" i="8" s="1"/>
  <c r="BZ21" i="8" a="1"/>
  <c r="BZ21" i="8"/>
  <c r="BY21" i="8" a="1"/>
  <c r="BY21" i="8"/>
  <c r="BX21" i="8" a="1"/>
  <c r="BX21" i="8" s="1"/>
  <c r="BW21" i="8" a="1"/>
  <c r="BW21" i="8"/>
  <c r="BV21" i="8" a="1"/>
  <c r="BV21" i="8" s="1"/>
  <c r="BU21" i="8" a="1"/>
  <c r="BU21" i="8" s="1"/>
  <c r="BT21" i="8" a="1"/>
  <c r="BT21" i="8" s="1"/>
  <c r="BS21" i="8" a="1"/>
  <c r="BS21" i="8"/>
  <c r="BR21" i="8" a="1"/>
  <c r="BR21" i="8" s="1"/>
  <c r="BQ21" i="8" a="1"/>
  <c r="BQ21" i="8" s="1"/>
  <c r="BP21" i="8" a="1"/>
  <c r="BP21" i="8" s="1"/>
  <c r="BO21" i="8" a="1"/>
  <c r="BO21" i="8"/>
  <c r="BN21" i="8" a="1"/>
  <c r="BN21" i="8" s="1"/>
  <c r="BM21" i="8" a="1"/>
  <c r="BM21" i="8" s="1"/>
  <c r="BL21" i="8" a="1"/>
  <c r="BL21" i="8" s="1"/>
  <c r="BK21" i="8" a="1"/>
  <c r="BK21" i="8" s="1"/>
  <c r="BJ21" i="8" a="1"/>
  <c r="BJ21" i="8" s="1"/>
  <c r="BI21" i="8" a="1"/>
  <c r="BI21" i="8" s="1"/>
  <c r="BH21" i="8" a="1"/>
  <c r="BH21" i="8"/>
  <c r="BG21" i="8" a="1"/>
  <c r="BG21" i="8" s="1"/>
  <c r="BF21" i="8" a="1"/>
  <c r="BF21" i="8" s="1"/>
  <c r="BE21" i="8" a="1"/>
  <c r="BE21" i="8" s="1"/>
  <c r="BD21" i="8" a="1"/>
  <c r="BD21" i="8" s="1"/>
  <c r="BC21" i="8" a="1"/>
  <c r="BC21" i="8" s="1"/>
  <c r="BB21" i="8" a="1"/>
  <c r="BB21" i="8"/>
  <c r="BA21" i="8" a="1"/>
  <c r="BA21" i="8"/>
  <c r="AZ21" i="8" a="1"/>
  <c r="AZ21" i="8" s="1"/>
  <c r="AY21" i="8" a="1"/>
  <c r="AY21" i="8" s="1"/>
  <c r="AX21" i="8" a="1"/>
  <c r="AX21" i="8" s="1"/>
  <c r="AW21" i="8" a="1"/>
  <c r="AW21" i="8"/>
  <c r="AV21" i="8" a="1"/>
  <c r="AV21" i="8" s="1"/>
  <c r="AU21" i="8" a="1"/>
  <c r="AU21" i="8" s="1"/>
  <c r="AT21" i="8" a="1"/>
  <c r="AT21" i="8" s="1"/>
  <c r="AS21" i="8" a="1"/>
  <c r="AS21" i="8"/>
  <c r="AR21" i="8" a="1"/>
  <c r="AR21" i="8" s="1"/>
  <c r="AQ21" i="8" a="1"/>
  <c r="AQ21" i="8" s="1"/>
  <c r="AP21" i="8" a="1"/>
  <c r="AP21" i="8" s="1"/>
  <c r="AO21" i="8" a="1"/>
  <c r="AO21" i="8" s="1"/>
  <c r="AN21" i="8" a="1"/>
  <c r="AN21" i="8" s="1"/>
  <c r="AM21" i="8" a="1"/>
  <c r="AM21" i="8" s="1"/>
  <c r="AL21" i="8" a="1"/>
  <c r="AL21" i="8"/>
  <c r="AK21" i="8" a="1"/>
  <c r="AK21" i="8" s="1"/>
  <c r="AJ21" i="8" a="1"/>
  <c r="AJ21" i="8" s="1"/>
  <c r="AI21" i="8" a="1"/>
  <c r="AI21" i="8" s="1"/>
  <c r="AH21" i="8" a="1"/>
  <c r="AH21" i="8" s="1"/>
  <c r="AG21" i="8" a="1"/>
  <c r="AG21" i="8" s="1"/>
  <c r="AF21" i="8" a="1"/>
  <c r="AF21" i="8" s="1"/>
  <c r="AE21" i="8" a="1"/>
  <c r="AE21" i="8" s="1"/>
  <c r="AD21" i="8" a="1"/>
  <c r="AD21" i="8" s="1"/>
  <c r="AC21" i="8" a="1"/>
  <c r="AC21" i="8" s="1"/>
  <c r="AB21" i="8" a="1"/>
  <c r="AB21" i="8" s="1"/>
  <c r="AA21" i="8" a="1"/>
  <c r="AA21" i="8" s="1"/>
  <c r="Z21" i="8" a="1"/>
  <c r="Z21" i="8" s="1"/>
  <c r="Y21" i="8" a="1"/>
  <c r="Y21" i="8" s="1"/>
  <c r="X21" i="8" a="1"/>
  <c r="X21" i="8" s="1"/>
  <c r="W21" i="8" a="1"/>
  <c r="W21" i="8"/>
  <c r="V21" i="8" a="1"/>
  <c r="V21" i="8"/>
  <c r="U21" i="8" a="1"/>
  <c r="U21" i="8" s="1"/>
  <c r="T21" i="8" a="1"/>
  <c r="T21" i="8" s="1"/>
  <c r="S21" i="8" a="1"/>
  <c r="S21" i="8"/>
  <c r="R21" i="8" a="1"/>
  <c r="R21" i="8" s="1"/>
  <c r="Q21" i="8" a="1"/>
  <c r="Q21" i="8" s="1"/>
  <c r="P21" i="8" a="1"/>
  <c r="P21" i="8" s="1"/>
  <c r="O21" i="8" a="1"/>
  <c r="O21" i="8" s="1"/>
  <c r="N21" i="8" a="1"/>
  <c r="N21" i="8" s="1"/>
  <c r="M21" i="8" a="1"/>
  <c r="M21" i="8" s="1"/>
  <c r="L21" i="8" a="1"/>
  <c r="L21" i="8"/>
  <c r="K21" i="8" a="1"/>
  <c r="K21" i="8" s="1"/>
  <c r="J21" i="8" a="1"/>
  <c r="J21" i="8" s="1"/>
  <c r="I21" i="8" a="1"/>
  <c r="I21" i="8"/>
  <c r="H21" i="8" a="1"/>
  <c r="H21" i="8"/>
  <c r="G21" i="8" a="1"/>
  <c r="G21" i="8" s="1"/>
  <c r="F21" i="8" a="1"/>
  <c r="F21" i="8" s="1"/>
  <c r="E21" i="8" a="1"/>
  <c r="E21" i="8" s="1"/>
  <c r="D21" i="8" a="1"/>
  <c r="D21" i="8" s="1"/>
  <c r="C21" i="8" a="1"/>
  <c r="C21" i="8" s="1"/>
  <c r="EF20" i="8" a="1"/>
  <c r="EF20" i="8" s="1"/>
  <c r="EE20" i="8" a="1"/>
  <c r="EE20" i="8"/>
  <c r="ED20" i="8" a="1"/>
  <c r="ED20" i="8" s="1"/>
  <c r="EC20" i="8" a="1"/>
  <c r="EC20" i="8" s="1"/>
  <c r="EB20" i="8" a="1"/>
  <c r="EB20" i="8"/>
  <c r="EA20" i="8" a="1"/>
  <c r="EA20" i="8" s="1"/>
  <c r="DZ20" i="8" a="1"/>
  <c r="DZ20" i="8" s="1"/>
  <c r="DY20" i="8" a="1"/>
  <c r="DY20" i="8" s="1"/>
  <c r="DX20" i="8" a="1"/>
  <c r="DX20" i="8" s="1"/>
  <c r="DW20" i="8" a="1"/>
  <c r="DW20" i="8" s="1"/>
  <c r="DV20" i="8" a="1"/>
  <c r="DV20" i="8" s="1"/>
  <c r="DU20" i="8" a="1"/>
  <c r="DU20" i="8" s="1"/>
  <c r="DT20" i="8" a="1"/>
  <c r="DT20" i="8" s="1"/>
  <c r="DS20" i="8" a="1"/>
  <c r="DS20" i="8" s="1"/>
  <c r="DR20" i="8" a="1"/>
  <c r="DR20" i="8"/>
  <c r="DQ20" i="8" a="1"/>
  <c r="DQ20" i="8"/>
  <c r="DP20" i="8" a="1"/>
  <c r="DP20" i="8" s="1"/>
  <c r="DO20" i="8" a="1"/>
  <c r="DO20" i="8" s="1"/>
  <c r="DN20" i="8" a="1"/>
  <c r="DN20" i="8" s="1"/>
  <c r="DM20" i="8" a="1"/>
  <c r="DM20" i="8"/>
  <c r="DL20" i="8" a="1"/>
  <c r="DL20" i="8" s="1"/>
  <c r="DK20" i="8" a="1"/>
  <c r="DK20" i="8" s="1"/>
  <c r="DJ20" i="8" a="1"/>
  <c r="DJ20" i="8" s="1"/>
  <c r="DI20" i="8" a="1"/>
  <c r="DI20" i="8"/>
  <c r="DH20" i="8" a="1"/>
  <c r="DH20" i="8" s="1"/>
  <c r="DG20" i="8" a="1"/>
  <c r="DG20" i="8" s="1"/>
  <c r="DF20" i="8" a="1"/>
  <c r="DF20" i="8" s="1"/>
  <c r="DE20" i="8" a="1"/>
  <c r="DE20" i="8" s="1"/>
  <c r="DD20" i="8" a="1"/>
  <c r="DD20" i="8" s="1"/>
  <c r="DC20" i="8" a="1"/>
  <c r="DC20" i="8" s="1"/>
  <c r="DB20" i="8" a="1"/>
  <c r="DB20" i="8" s="1"/>
  <c r="DA20" i="8" a="1"/>
  <c r="DA20" i="8" s="1"/>
  <c r="CZ20" i="8" a="1"/>
  <c r="CZ20" i="8" s="1"/>
  <c r="CY20" i="8" a="1"/>
  <c r="CY20" i="8" s="1"/>
  <c r="CX20" i="8" a="1"/>
  <c r="CX20" i="8" s="1"/>
  <c r="CW20" i="8" a="1"/>
  <c r="CW20" i="8"/>
  <c r="CV20" i="8" a="1"/>
  <c r="CV20" i="8" s="1"/>
  <c r="CU20" i="8" a="1"/>
  <c r="CU20" i="8" s="1"/>
  <c r="CT20" i="8" a="1"/>
  <c r="CT20" i="8"/>
  <c r="CS20" i="8" a="1"/>
  <c r="CS20" i="8" s="1"/>
  <c r="CR20" i="8" a="1"/>
  <c r="CR20" i="8" s="1"/>
  <c r="CQ20" i="8" a="1"/>
  <c r="CQ20" i="8" s="1"/>
  <c r="CP20" i="8" a="1"/>
  <c r="CP20" i="8" s="1"/>
  <c r="CO20" i="8" a="1"/>
  <c r="CO20" i="8" s="1"/>
  <c r="CN20" i="8" a="1"/>
  <c r="CN20" i="8" s="1"/>
  <c r="CM20" i="8" a="1"/>
  <c r="CM20" i="8"/>
  <c r="CL20" i="8" a="1"/>
  <c r="CL20" i="8" s="1"/>
  <c r="CK20" i="8" a="1"/>
  <c r="CK20" i="8" s="1"/>
  <c r="CJ20" i="8" a="1"/>
  <c r="CJ20" i="8" s="1"/>
  <c r="CI20" i="8" a="1"/>
  <c r="CI20" i="8" s="1"/>
  <c r="CH20" i="8" a="1"/>
  <c r="CH20" i="8" s="1"/>
  <c r="CG20" i="8" a="1"/>
  <c r="CG20" i="8" s="1"/>
  <c r="CF20" i="8" a="1"/>
  <c r="CF20" i="8"/>
  <c r="CE20" i="8" a="1"/>
  <c r="CE20" i="8" s="1"/>
  <c r="CD20" i="8" a="1"/>
  <c r="CD20" i="8" s="1"/>
  <c r="CC20" i="8" a="1"/>
  <c r="CC20" i="8" s="1"/>
  <c r="CB20" i="8" a="1"/>
  <c r="CB20" i="8" s="1"/>
  <c r="CA20" i="8" a="1"/>
  <c r="CA20" i="8" s="1"/>
  <c r="BZ20" i="8" a="1"/>
  <c r="BZ20" i="8" s="1"/>
  <c r="BY20" i="8" a="1"/>
  <c r="BY20" i="8" s="1"/>
  <c r="BX20" i="8" a="1"/>
  <c r="BX20" i="8" s="1"/>
  <c r="BW20" i="8" a="1"/>
  <c r="BW20" i="8" s="1"/>
  <c r="BV20" i="8" a="1"/>
  <c r="BV20" i="8" s="1"/>
  <c r="BU20" i="8" a="1"/>
  <c r="BU20" i="8" s="1"/>
  <c r="BT20" i="8" a="1"/>
  <c r="BT20" i="8" s="1"/>
  <c r="BS20" i="8" a="1"/>
  <c r="BS20" i="8" s="1"/>
  <c r="BR20" i="8" a="1"/>
  <c r="BR20" i="8" s="1"/>
  <c r="BQ20" i="8" a="1"/>
  <c r="BQ20" i="8" s="1"/>
  <c r="BP20" i="8" a="1"/>
  <c r="BP20" i="8" s="1"/>
  <c r="BO20" i="8" a="1"/>
  <c r="BO20" i="8"/>
  <c r="BN20" i="8" a="1"/>
  <c r="BN20" i="8" s="1"/>
  <c r="BM20" i="8" a="1"/>
  <c r="BM20" i="8" s="1"/>
  <c r="BL20" i="8" a="1"/>
  <c r="BL20" i="8" s="1"/>
  <c r="BK20" i="8" a="1"/>
  <c r="BK20" i="8" s="1"/>
  <c r="BJ20" i="8" a="1"/>
  <c r="BJ20" i="8"/>
  <c r="BI20" i="8" a="1"/>
  <c r="BI20" i="8" s="1"/>
  <c r="BH20" i="8" a="1"/>
  <c r="BH20" i="8" s="1"/>
  <c r="BG20" i="8" a="1"/>
  <c r="BG20" i="8" s="1"/>
  <c r="BF20" i="8" a="1"/>
  <c r="BF20" i="8" s="1"/>
  <c r="BE20" i="8" a="1"/>
  <c r="BE20" i="8" s="1"/>
  <c r="BD20" i="8" a="1"/>
  <c r="BD20" i="8" s="1"/>
  <c r="BC20" i="8" a="1"/>
  <c r="BC20" i="8" s="1"/>
  <c r="BB20" i="8" a="1"/>
  <c r="BB20" i="8" s="1"/>
  <c r="BA20" i="8" a="1"/>
  <c r="BA20" i="8" s="1"/>
  <c r="AZ20" i="8" a="1"/>
  <c r="AZ20" i="8" s="1"/>
  <c r="AY20" i="8" a="1"/>
  <c r="AY20" i="8" s="1"/>
  <c r="AX20" i="8" a="1"/>
  <c r="AX20" i="8" s="1"/>
  <c r="AW20" i="8" a="1"/>
  <c r="AW20" i="8" s="1"/>
  <c r="AV20" i="8" a="1"/>
  <c r="AV20" i="8" s="1"/>
  <c r="AU20" i="8" a="1"/>
  <c r="AU20" i="8" s="1"/>
  <c r="AT20" i="8" a="1"/>
  <c r="AT20" i="8" s="1"/>
  <c r="AS20" i="8" a="1"/>
  <c r="AS20" i="8" s="1"/>
  <c r="AR20" i="8" a="1"/>
  <c r="AR20" i="8"/>
  <c r="AQ20" i="8" a="1"/>
  <c r="AQ20" i="8"/>
  <c r="AP20" i="8" a="1"/>
  <c r="AP20" i="8" s="1"/>
  <c r="AO20" i="8" a="1"/>
  <c r="AO20" i="8" s="1"/>
  <c r="AN20" i="8" a="1"/>
  <c r="AN20" i="8" s="1"/>
  <c r="AM20" i="8" a="1"/>
  <c r="AM20" i="8" s="1"/>
  <c r="AL20" i="8" a="1"/>
  <c r="AL20" i="8" s="1"/>
  <c r="AK20" i="8" a="1"/>
  <c r="AK20" i="8" s="1"/>
  <c r="AJ20" i="8" a="1"/>
  <c r="AJ20" i="8"/>
  <c r="AI20" i="8" a="1"/>
  <c r="AI20" i="8" s="1"/>
  <c r="AH20" i="8" a="1"/>
  <c r="AH20" i="8" s="1"/>
  <c r="AG20" i="8" a="1"/>
  <c r="AG20" i="8"/>
  <c r="AF20" i="8" a="1"/>
  <c r="AF20" i="8"/>
  <c r="AE20" i="8" a="1"/>
  <c r="AE20" i="8" s="1"/>
  <c r="AD20" i="8" a="1"/>
  <c r="AD20" i="8" s="1"/>
  <c r="AC20" i="8" a="1"/>
  <c r="AC20" i="8" s="1"/>
  <c r="AB20" i="8" a="1"/>
  <c r="AB20" i="8" s="1"/>
  <c r="AA20" i="8" a="1"/>
  <c r="AA20" i="8" s="1"/>
  <c r="Z20" i="8" a="1"/>
  <c r="Z20" i="8" s="1"/>
  <c r="Y20" i="8" a="1"/>
  <c r="Y20" i="8" s="1"/>
  <c r="X20" i="8" a="1"/>
  <c r="X20" i="8" s="1"/>
  <c r="W20" i="8" a="1"/>
  <c r="W20" i="8" s="1"/>
  <c r="V20" i="8" a="1"/>
  <c r="V20" i="8"/>
  <c r="U20" i="8" a="1"/>
  <c r="U20" i="8" s="1"/>
  <c r="T20" i="8" a="1"/>
  <c r="T20" i="8" s="1"/>
  <c r="S20" i="8" a="1"/>
  <c r="S20" i="8" s="1"/>
  <c r="R20" i="8" a="1"/>
  <c r="R20" i="8" s="1"/>
  <c r="Q20" i="8" a="1"/>
  <c r="Q20" i="8" s="1"/>
  <c r="P20" i="8" a="1"/>
  <c r="P20" i="8" s="1"/>
  <c r="O20" i="8" a="1"/>
  <c r="O20" i="8" s="1"/>
  <c r="N20" i="8" a="1"/>
  <c r="N20" i="8"/>
  <c r="M20" i="8" a="1"/>
  <c r="M20" i="8" s="1"/>
  <c r="L20" i="8" a="1"/>
  <c r="L20" i="8" s="1"/>
  <c r="K20" i="8" a="1"/>
  <c r="K20" i="8" s="1"/>
  <c r="J20" i="8" a="1"/>
  <c r="J20" i="8" s="1"/>
  <c r="I20" i="8" a="1"/>
  <c r="I20" i="8" s="1"/>
  <c r="H20" i="8" a="1"/>
  <c r="H20" i="8" s="1"/>
  <c r="G20" i="8" a="1"/>
  <c r="G20" i="8" s="1"/>
  <c r="F20" i="8" a="1"/>
  <c r="F20" i="8" s="1"/>
  <c r="E20" i="8" a="1"/>
  <c r="E20" i="8" s="1"/>
  <c r="D20" i="8" a="1"/>
  <c r="D20" i="8" s="1"/>
  <c r="C20" i="8" a="1"/>
  <c r="C20" i="8" s="1"/>
  <c r="EF19" i="8" a="1"/>
  <c r="EF19" i="8"/>
  <c r="EE19" i="8" a="1"/>
  <c r="EE19" i="8" s="1"/>
  <c r="ED19" i="8" a="1"/>
  <c r="ED19" i="8" s="1"/>
  <c r="EC19" i="8" a="1"/>
  <c r="EC19" i="8"/>
  <c r="EB19" i="8" a="1"/>
  <c r="EB19" i="8" s="1"/>
  <c r="EA19" i="8" a="1"/>
  <c r="EA19" i="8" s="1"/>
  <c r="DZ19" i="8" a="1"/>
  <c r="DZ19" i="8" s="1"/>
  <c r="DY19" i="8" a="1"/>
  <c r="DY19" i="8" s="1"/>
  <c r="DX19" i="8" a="1"/>
  <c r="DX19" i="8" s="1"/>
  <c r="DW19" i="8" a="1"/>
  <c r="DW19" i="8" s="1"/>
  <c r="DV19" i="8" a="1"/>
  <c r="DV19" i="8" s="1"/>
  <c r="DU19" i="8" a="1"/>
  <c r="DU19" i="8"/>
  <c r="DT19" i="8" a="1"/>
  <c r="DT19" i="8" s="1"/>
  <c r="DS19" i="8" a="1"/>
  <c r="DS19" i="8"/>
  <c r="DR19" i="8" a="1"/>
  <c r="DR19" i="8" s="1"/>
  <c r="DQ19" i="8" a="1"/>
  <c r="DQ19" i="8" s="1"/>
  <c r="DP19" i="8" a="1"/>
  <c r="DP19" i="8" s="1"/>
  <c r="DO19" i="8" a="1"/>
  <c r="DO19" i="8" s="1"/>
  <c r="DN19" i="8" a="1"/>
  <c r="DN19" i="8" s="1"/>
  <c r="DM19" i="8" a="1"/>
  <c r="DM19" i="8" s="1"/>
  <c r="DL19" i="8" a="1"/>
  <c r="DL19" i="8"/>
  <c r="DK19" i="8" a="1"/>
  <c r="DK19" i="8"/>
  <c r="DJ19" i="8" a="1"/>
  <c r="DJ19" i="8" s="1"/>
  <c r="DI19" i="8" a="1"/>
  <c r="DI19" i="8" s="1"/>
  <c r="DH19" i="8" a="1"/>
  <c r="DH19" i="8" s="1"/>
  <c r="DG19" i="8" a="1"/>
  <c r="DG19" i="8"/>
  <c r="DF19" i="8" a="1"/>
  <c r="DF19" i="8" s="1"/>
  <c r="DE19" i="8" a="1"/>
  <c r="DE19" i="8" s="1"/>
  <c r="DD19" i="8" a="1"/>
  <c r="DD19" i="8" s="1"/>
  <c r="DC19" i="8" a="1"/>
  <c r="DC19" i="8" s="1"/>
  <c r="DB19" i="8" a="1"/>
  <c r="DB19" i="8" s="1"/>
  <c r="DA19" i="8" a="1"/>
  <c r="DA19" i="8" s="1"/>
  <c r="CZ19" i="8" a="1"/>
  <c r="CZ19" i="8"/>
  <c r="CY19" i="8" a="1"/>
  <c r="CY19" i="8" s="1"/>
  <c r="CX19" i="8" a="1"/>
  <c r="CX19" i="8" s="1"/>
  <c r="CW19" i="8" a="1"/>
  <c r="CW19" i="8" s="1"/>
  <c r="CV19" i="8" a="1"/>
  <c r="CV19" i="8" s="1"/>
  <c r="CU19" i="8" a="1"/>
  <c r="CU19" i="8" s="1"/>
  <c r="CT19" i="8" a="1"/>
  <c r="CT19" i="8" s="1"/>
  <c r="CS19" i="8" a="1"/>
  <c r="CS19" i="8" s="1"/>
  <c r="CR19" i="8" a="1"/>
  <c r="CR19" i="8" s="1"/>
  <c r="CQ19" i="8" a="1"/>
  <c r="CQ19" i="8" s="1"/>
  <c r="CP19" i="8" a="1"/>
  <c r="CP19" i="8" s="1"/>
  <c r="CO19" i="8" a="1"/>
  <c r="CO19" i="8"/>
  <c r="CN19" i="8" a="1"/>
  <c r="CN19" i="8"/>
  <c r="CM19" i="8" a="1"/>
  <c r="CM19" i="8" s="1"/>
  <c r="CL19" i="8" a="1"/>
  <c r="CL19" i="8"/>
  <c r="CK19" i="8" a="1"/>
  <c r="CK19" i="8"/>
  <c r="CJ19" i="8" a="1"/>
  <c r="CJ19" i="8" s="1"/>
  <c r="CI19" i="8" a="1"/>
  <c r="CI19" i="8" s="1"/>
  <c r="CH19" i="8" a="1"/>
  <c r="CH19" i="8"/>
  <c r="CG19" i="8" a="1"/>
  <c r="CG19" i="8" s="1"/>
  <c r="CF19" i="8" a="1"/>
  <c r="CF19" i="8" s="1"/>
  <c r="CE19" i="8" a="1"/>
  <c r="CE19" i="8" s="1"/>
  <c r="CD19" i="8" a="1"/>
  <c r="CD19" i="8"/>
  <c r="CC19" i="8" a="1"/>
  <c r="CC19" i="8"/>
  <c r="CB19" i="8" a="1"/>
  <c r="CB19" i="8" s="1"/>
  <c r="CA19" i="8" a="1"/>
  <c r="CA19" i="8"/>
  <c r="BZ19" i="8" a="1"/>
  <c r="BZ19" i="8"/>
  <c r="BY19" i="8" a="1"/>
  <c r="BY19" i="8" s="1"/>
  <c r="BX19" i="8" a="1"/>
  <c r="BX19" i="8" s="1"/>
  <c r="BW19" i="8" a="1"/>
  <c r="BW19" i="8" s="1"/>
  <c r="BV19" i="8" a="1"/>
  <c r="BV19" i="8" s="1"/>
  <c r="BU19" i="8" a="1"/>
  <c r="BU19" i="8" s="1"/>
  <c r="BT19" i="8" a="1"/>
  <c r="BT19" i="8" s="1"/>
  <c r="BS19" i="8" a="1"/>
  <c r="BS19" i="8"/>
  <c r="BR19" i="8" a="1"/>
  <c r="BR19" i="8"/>
  <c r="BQ19" i="8" a="1"/>
  <c r="BQ19" i="8" s="1"/>
  <c r="BP19" i="8" a="1"/>
  <c r="BP19" i="8" s="1"/>
  <c r="BO19" i="8" a="1"/>
  <c r="BO19" i="8" s="1"/>
  <c r="BN19" i="8" a="1"/>
  <c r="BN19" i="8" s="1"/>
  <c r="BM19" i="8" a="1"/>
  <c r="BM19" i="8" s="1"/>
  <c r="BL19" i="8" a="1"/>
  <c r="BL19" i="8" s="1"/>
  <c r="BK19" i="8" a="1"/>
  <c r="BK19" i="8" s="1"/>
  <c r="BJ19" i="8" a="1"/>
  <c r="BJ19" i="8" s="1"/>
  <c r="BI19" i="8" a="1"/>
  <c r="BI19" i="8" s="1"/>
  <c r="BH19" i="8" a="1"/>
  <c r="BH19" i="8"/>
  <c r="BG19" i="8" a="1"/>
  <c r="BG19" i="8"/>
  <c r="BF19" i="8" a="1"/>
  <c r="BF19" i="8" s="1"/>
  <c r="BE19" i="8" a="1"/>
  <c r="BE19" i="8"/>
  <c r="BD19" i="8" a="1"/>
  <c r="BD19" i="8" s="1"/>
  <c r="BC19" i="8" a="1"/>
  <c r="BC19" i="8" s="1"/>
  <c r="BB19" i="8" a="1"/>
  <c r="BB19" i="8" s="1"/>
  <c r="BA19" i="8" a="1"/>
  <c r="BA19" i="8"/>
  <c r="AZ19" i="8" a="1"/>
  <c r="AZ19" i="8" s="1"/>
  <c r="AY19" i="8" a="1"/>
  <c r="AY19" i="8" s="1"/>
  <c r="AX19" i="8" a="1"/>
  <c r="AX19" i="8" s="1"/>
  <c r="AW19" i="8" a="1"/>
  <c r="AW19" i="8"/>
  <c r="AV19" i="8" a="1"/>
  <c r="AV19" i="8" s="1"/>
  <c r="AU19" i="8" a="1"/>
  <c r="AU19" i="8" s="1"/>
  <c r="AT19" i="8" a="1"/>
  <c r="AT19" i="8" s="1"/>
  <c r="AS19" i="8" a="1"/>
  <c r="AS19" i="8" s="1"/>
  <c r="AR19" i="8" a="1"/>
  <c r="AR19" i="8" s="1"/>
  <c r="AQ19" i="8" a="1"/>
  <c r="AQ19" i="8" s="1"/>
  <c r="AP19" i="8" a="1"/>
  <c r="AP19" i="8"/>
  <c r="AO19" i="8" a="1"/>
  <c r="AO19" i="8" s="1"/>
  <c r="AN19" i="8" a="1"/>
  <c r="AN19" i="8" s="1"/>
  <c r="AM19" i="8" a="1"/>
  <c r="AM19" i="8" s="1"/>
  <c r="AL19" i="8" a="1"/>
  <c r="AL19" i="8"/>
  <c r="AK19" i="8" a="1"/>
  <c r="AK19" i="8"/>
  <c r="AJ19" i="8" a="1"/>
  <c r="AJ19" i="8" s="1"/>
  <c r="AI19" i="8" a="1"/>
  <c r="AI19" i="8"/>
  <c r="AH19" i="8" a="1"/>
  <c r="AH19" i="8"/>
  <c r="AG19" i="8" a="1"/>
  <c r="AG19" i="8" s="1"/>
  <c r="AF19" i="8" a="1"/>
  <c r="AF19" i="8" s="1"/>
  <c r="AE19" i="8" a="1"/>
  <c r="AE19" i="8" s="1"/>
  <c r="AD19" i="8" a="1"/>
  <c r="AD19" i="8" s="1"/>
  <c r="AC19" i="8" a="1"/>
  <c r="AC19" i="8" s="1"/>
  <c r="AB19" i="8" a="1"/>
  <c r="AB19" i="8" s="1"/>
  <c r="AA19" i="8" a="1"/>
  <c r="AA19" i="8"/>
  <c r="Z19" i="8" a="1"/>
  <c r="Z19" i="8" s="1"/>
  <c r="Y19" i="8" a="1"/>
  <c r="Y19" i="8" s="1"/>
  <c r="X19" i="8" a="1"/>
  <c r="X19" i="8" s="1"/>
  <c r="W19" i="8" a="1"/>
  <c r="W19" i="8"/>
  <c r="V19" i="8" a="1"/>
  <c r="V19" i="8" s="1"/>
  <c r="U19" i="8" a="1"/>
  <c r="U19" i="8" s="1"/>
  <c r="T19" i="8" a="1"/>
  <c r="T19" i="8" s="1"/>
  <c r="S19" i="8" a="1"/>
  <c r="S19" i="8" s="1"/>
  <c r="R19" i="8" a="1"/>
  <c r="R19" i="8" s="1"/>
  <c r="Q19" i="8" a="1"/>
  <c r="Q19" i="8" s="1"/>
  <c r="P19" i="8" a="1"/>
  <c r="P19" i="8" s="1"/>
  <c r="O19" i="8" a="1"/>
  <c r="O19" i="8"/>
  <c r="N19" i="8" a="1"/>
  <c r="N19" i="8"/>
  <c r="M19" i="8" a="1"/>
  <c r="M19" i="8" s="1"/>
  <c r="L19" i="8" a="1"/>
  <c r="L19" i="8"/>
  <c r="K19" i="8" a="1"/>
  <c r="K19" i="8" s="1"/>
  <c r="J19" i="8" a="1"/>
  <c r="J19" i="8" s="1"/>
  <c r="I19" i="8" a="1"/>
  <c r="I19" i="8" s="1"/>
  <c r="H19" i="8" a="1"/>
  <c r="H19" i="8" s="1"/>
  <c r="G19" i="8" a="1"/>
  <c r="G19" i="8" s="1"/>
  <c r="F19" i="8" a="1"/>
  <c r="F19" i="8" s="1"/>
  <c r="E19" i="8" a="1"/>
  <c r="E19" i="8"/>
  <c r="D19" i="8" a="1"/>
  <c r="D19" i="8" s="1"/>
  <c r="C19" i="8" a="1"/>
  <c r="C19" i="8" s="1"/>
  <c r="EF18" i="8" a="1"/>
  <c r="EF18" i="8" s="1"/>
  <c r="EE18" i="8" a="1"/>
  <c r="EE18" i="8"/>
  <c r="ED18" i="8" a="1"/>
  <c r="ED18" i="8" s="1"/>
  <c r="EC18" i="8" a="1"/>
  <c r="EC18" i="8" s="1"/>
  <c r="EB18" i="8" a="1"/>
  <c r="EB18" i="8" s="1"/>
  <c r="EA18" i="8" a="1"/>
  <c r="EA18" i="8"/>
  <c r="DZ18" i="8" a="1"/>
  <c r="DZ18" i="8" s="1"/>
  <c r="DY18" i="8" a="1"/>
  <c r="DY18" i="8" s="1"/>
  <c r="DX18" i="8" a="1"/>
  <c r="DX18" i="8"/>
  <c r="DW18" i="8" a="1"/>
  <c r="DW18" i="8"/>
  <c r="DV18" i="8" a="1"/>
  <c r="DV18" i="8" s="1"/>
  <c r="DU18" i="8" a="1"/>
  <c r="DU18" i="8" s="1"/>
  <c r="DT18" i="8" a="1"/>
  <c r="DT18" i="8" s="1"/>
  <c r="DS18" i="8" a="1"/>
  <c r="DS18" i="8" s="1"/>
  <c r="DR18" i="8" a="1"/>
  <c r="DR18" i="8" s="1"/>
  <c r="DQ18" i="8" a="1"/>
  <c r="DQ18" i="8" s="1"/>
  <c r="DP18" i="8" a="1"/>
  <c r="DP18" i="8" s="1"/>
  <c r="DO18" i="8" a="1"/>
  <c r="DO18" i="8" s="1"/>
  <c r="DN18" i="8" a="1"/>
  <c r="DN18" i="8" s="1"/>
  <c r="DM18" i="8" a="1"/>
  <c r="DM18" i="8" s="1"/>
  <c r="DL18" i="8" a="1"/>
  <c r="DL18" i="8"/>
  <c r="DK18" i="8" a="1"/>
  <c r="DK18" i="8" s="1"/>
  <c r="DJ18" i="8" a="1"/>
  <c r="DJ18" i="8" s="1"/>
  <c r="DI18" i="8" a="1"/>
  <c r="DI18" i="8" s="1"/>
  <c r="DH18" i="8" a="1"/>
  <c r="DH18" i="8"/>
  <c r="DG18" i="8" a="1"/>
  <c r="DG18" i="8"/>
  <c r="DF18" i="8" a="1"/>
  <c r="DF18" i="8" s="1"/>
  <c r="DE18" i="8" a="1"/>
  <c r="DE18" i="8" s="1"/>
  <c r="DD18" i="8" a="1"/>
  <c r="DD18" i="8" s="1"/>
  <c r="DC18" i="8" a="1"/>
  <c r="DC18" i="8"/>
  <c r="DB18" i="8" a="1"/>
  <c r="DB18" i="8" s="1"/>
  <c r="DA18" i="8" a="1"/>
  <c r="DA18" i="8"/>
  <c r="CZ18" i="8" a="1"/>
  <c r="CZ18" i="8" s="1"/>
  <c r="CY18" i="8" a="1"/>
  <c r="CY18" i="8" s="1"/>
  <c r="CX18" i="8" a="1"/>
  <c r="CX18" i="8" s="1"/>
  <c r="CW18" i="8" a="1"/>
  <c r="CW18" i="8" s="1"/>
  <c r="CV18" i="8" a="1"/>
  <c r="CV18" i="8" s="1"/>
  <c r="CU18" i="8" a="1"/>
  <c r="CU18" i="8" s="1"/>
  <c r="CT18" i="8" a="1"/>
  <c r="CT18" i="8" s="1"/>
  <c r="CS18" i="8" a="1"/>
  <c r="CS18" i="8" s="1"/>
  <c r="CR18" i="8" a="1"/>
  <c r="CR18" i="8" s="1"/>
  <c r="CQ18" i="8" a="1"/>
  <c r="CQ18" i="8" s="1"/>
  <c r="CP18" i="8" a="1"/>
  <c r="CP18" i="8" s="1"/>
  <c r="CO18" i="8" a="1"/>
  <c r="CO18" i="8"/>
  <c r="CN18" i="8" a="1"/>
  <c r="CN18" i="8" s="1"/>
  <c r="CM18" i="8" a="1"/>
  <c r="CM18" i="8" s="1"/>
  <c r="CL18" i="8" a="1"/>
  <c r="CL18" i="8" s="1"/>
  <c r="CK18" i="8" a="1"/>
  <c r="CK18" i="8"/>
  <c r="CJ18" i="8" a="1"/>
  <c r="CJ18" i="8"/>
  <c r="CI18" i="8" a="1"/>
  <c r="CI18" i="8" s="1"/>
  <c r="CH18" i="8" a="1"/>
  <c r="CH18" i="8" s="1"/>
  <c r="CG18" i="8" a="1"/>
  <c r="CG18" i="8" s="1"/>
  <c r="CF18" i="8" a="1"/>
  <c r="CF18" i="8" s="1"/>
  <c r="CE18" i="8" a="1"/>
  <c r="CE18" i="8" s="1"/>
  <c r="CD18" i="8" a="1"/>
  <c r="CD18" i="8"/>
  <c r="CC18" i="8" a="1"/>
  <c r="CC18" i="8" s="1"/>
  <c r="CB18" i="8" a="1"/>
  <c r="CB18" i="8"/>
  <c r="CA18" i="8" a="1"/>
  <c r="CA18" i="8" s="1"/>
  <c r="BZ18" i="8" a="1"/>
  <c r="BZ18" i="8" s="1"/>
  <c r="BY18" i="8" a="1"/>
  <c r="BY18" i="8" s="1"/>
  <c r="BX18" i="8" a="1"/>
  <c r="BX18" i="8" s="1"/>
  <c r="BW18" i="8" a="1"/>
  <c r="BW18" i="8" s="1"/>
  <c r="BV18" i="8" a="1"/>
  <c r="BV18" i="8" s="1"/>
  <c r="BU18" i="8" a="1"/>
  <c r="BU18" i="8" s="1"/>
  <c r="BT18" i="8" a="1"/>
  <c r="BT18" i="8"/>
  <c r="BS18" i="8" a="1"/>
  <c r="BS18" i="8" s="1"/>
  <c r="BR18" i="8" a="1"/>
  <c r="BR18" i="8" s="1"/>
  <c r="BQ18" i="8" a="1"/>
  <c r="BQ18" i="8" s="1"/>
  <c r="BP18" i="8" a="1"/>
  <c r="BP18" i="8" s="1"/>
  <c r="BO18" i="8" a="1"/>
  <c r="BO18" i="8" s="1"/>
  <c r="BN18" i="8" a="1"/>
  <c r="BN18" i="8" s="1"/>
  <c r="BM18" i="8" a="1"/>
  <c r="BM18" i="8" s="1"/>
  <c r="BL18" i="8" a="1"/>
  <c r="BL18" i="8" s="1"/>
  <c r="BK18" i="8" a="1"/>
  <c r="BK18" i="8" s="1"/>
  <c r="BJ18" i="8" a="1"/>
  <c r="BJ18" i="8" s="1"/>
  <c r="BI18" i="8" a="1"/>
  <c r="BI18" i="8" s="1"/>
  <c r="BH18" i="8" a="1"/>
  <c r="BH18" i="8" s="1"/>
  <c r="BG18" i="8" a="1"/>
  <c r="BG18" i="8" s="1"/>
  <c r="BF18" i="8" a="1"/>
  <c r="BF18" i="8" s="1"/>
  <c r="BE18" i="8" a="1"/>
  <c r="BE18" i="8" s="1"/>
  <c r="BD18" i="8" a="1"/>
  <c r="BD18" i="8" s="1"/>
  <c r="BC18" i="8" a="1"/>
  <c r="BC18" i="8" s="1"/>
  <c r="BB18" i="8" a="1"/>
  <c r="BB18" i="8"/>
  <c r="BA18" i="8" a="1"/>
  <c r="BA18" i="8" s="1"/>
  <c r="AZ18" i="8" a="1"/>
  <c r="AZ18" i="8" s="1"/>
  <c r="AY18" i="8" a="1"/>
  <c r="AY18" i="8" s="1"/>
  <c r="AX18" i="8" a="1"/>
  <c r="AX18" i="8"/>
  <c r="AW18" i="8" a="1"/>
  <c r="AW18" i="8" s="1"/>
  <c r="AV18" i="8" a="1"/>
  <c r="AV18" i="8" s="1"/>
  <c r="AU18" i="8" a="1"/>
  <c r="AU18" i="8" s="1"/>
  <c r="AT18" i="8" a="1"/>
  <c r="AT18" i="8"/>
  <c r="AS18" i="8" a="1"/>
  <c r="AS18" i="8" s="1"/>
  <c r="AR18" i="8" a="1"/>
  <c r="AR18" i="8" s="1"/>
  <c r="AQ18" i="8" a="1"/>
  <c r="AQ18" i="8" s="1"/>
  <c r="AP18" i="8" a="1"/>
  <c r="AP18" i="8" s="1"/>
  <c r="AO18" i="8" a="1"/>
  <c r="AO18" i="8" s="1"/>
  <c r="AN18" i="8" a="1"/>
  <c r="AN18" i="8"/>
  <c r="AM18" i="8" a="1"/>
  <c r="AM18" i="8" s="1"/>
  <c r="AL18" i="8" a="1"/>
  <c r="AL18" i="8" s="1"/>
  <c r="AK18" i="8" a="1"/>
  <c r="AK18" i="8" s="1"/>
  <c r="AJ18" i="8" a="1"/>
  <c r="AJ18" i="8" s="1"/>
  <c r="AI18" i="8" a="1"/>
  <c r="AI18" i="8"/>
  <c r="AH18" i="8" a="1"/>
  <c r="AH18" i="8" s="1"/>
  <c r="AG18" i="8" a="1"/>
  <c r="AG18" i="8" s="1"/>
  <c r="AF18" i="8" a="1"/>
  <c r="AF18" i="8" s="1"/>
  <c r="AE18" i="8" a="1"/>
  <c r="AE18" i="8" s="1"/>
  <c r="AD18" i="8" a="1"/>
  <c r="AD18" i="8" s="1"/>
  <c r="AC18" i="8" a="1"/>
  <c r="AC18" i="8"/>
  <c r="AB18" i="8" a="1"/>
  <c r="AB18" i="8" s="1"/>
  <c r="AA18" i="8" a="1"/>
  <c r="AA18" i="8"/>
  <c r="Z18" i="8" a="1"/>
  <c r="Z18" i="8" s="1"/>
  <c r="Y18" i="8" a="1"/>
  <c r="Y18" i="8" s="1"/>
  <c r="X18" i="8" a="1"/>
  <c r="X18" i="8" s="1"/>
  <c r="W18" i="8" a="1"/>
  <c r="W18" i="8" s="1"/>
  <c r="V18" i="8" a="1"/>
  <c r="V18" i="8" s="1"/>
  <c r="U18" i="8" a="1"/>
  <c r="U18" i="8" s="1"/>
  <c r="T18" i="8" a="1"/>
  <c r="T18" i="8" s="1"/>
  <c r="S18" i="8" a="1"/>
  <c r="S18" i="8" s="1"/>
  <c r="R18" i="8" a="1"/>
  <c r="R18" i="8" s="1"/>
  <c r="Q18" i="8" a="1"/>
  <c r="Q18" i="8" s="1"/>
  <c r="P18" i="8" a="1"/>
  <c r="P18" i="8"/>
  <c r="O18" i="8" a="1"/>
  <c r="O18" i="8" s="1"/>
  <c r="N18" i="8" a="1"/>
  <c r="N18" i="8" s="1"/>
  <c r="M18" i="8" a="1"/>
  <c r="M18" i="8" s="1"/>
  <c r="L18" i="8" a="1"/>
  <c r="L18" i="8" s="1"/>
  <c r="K18" i="8" a="1"/>
  <c r="K18" i="8" s="1"/>
  <c r="J18" i="8" a="1"/>
  <c r="J18" i="8"/>
  <c r="I18" i="8" a="1"/>
  <c r="I18" i="8" s="1"/>
  <c r="H18" i="8" a="1"/>
  <c r="H18" i="8" s="1"/>
  <c r="G18" i="8" a="1"/>
  <c r="G18" i="8" s="1"/>
  <c r="F18" i="8" a="1"/>
  <c r="F18" i="8" s="1"/>
  <c r="E18" i="8" a="1"/>
  <c r="E18" i="8"/>
  <c r="D18" i="8" a="1"/>
  <c r="D18" i="8" s="1"/>
  <c r="C18" i="8" a="1"/>
  <c r="C18" i="8" s="1"/>
  <c r="EF17" i="8" a="1"/>
  <c r="EF17" i="8" s="1"/>
  <c r="EE17" i="8" a="1"/>
  <c r="EE17" i="8" s="1"/>
  <c r="ED17" i="8" a="1"/>
  <c r="ED17" i="8" s="1"/>
  <c r="EC17" i="8" a="1"/>
  <c r="EC17" i="8"/>
  <c r="EB17" i="8" a="1"/>
  <c r="EB17" i="8" s="1"/>
  <c r="EA17" i="8" a="1"/>
  <c r="EA17" i="8" s="1"/>
  <c r="DZ17" i="8" a="1"/>
  <c r="DZ17" i="8"/>
  <c r="DY17" i="8" a="1"/>
  <c r="DY17" i="8"/>
  <c r="DX17" i="8" a="1"/>
  <c r="DX17" i="8" s="1"/>
  <c r="DW17" i="8" a="1"/>
  <c r="DW17" i="8" s="1"/>
  <c r="DV17" i="8" a="1"/>
  <c r="DV17" i="8" s="1"/>
  <c r="DU17" i="8" a="1"/>
  <c r="DU17" i="8"/>
  <c r="DT17" i="8" a="1"/>
  <c r="DT17" i="8" s="1"/>
  <c r="DS17" i="8" a="1"/>
  <c r="DS17" i="8" s="1"/>
  <c r="DR17" i="8" a="1"/>
  <c r="DR17" i="8" s="1"/>
  <c r="DQ17" i="8" a="1"/>
  <c r="DQ17" i="8" s="1"/>
  <c r="DP17" i="8" a="1"/>
  <c r="DP17" i="8" s="1"/>
  <c r="DO17" i="8" a="1"/>
  <c r="DO17" i="8" s="1"/>
  <c r="DN17" i="8" a="1"/>
  <c r="DN17" i="8"/>
  <c r="DM17" i="8" a="1"/>
  <c r="DM17" i="8"/>
  <c r="DL17" i="8" a="1"/>
  <c r="DL17" i="8" s="1"/>
  <c r="DK17" i="8" a="1"/>
  <c r="DK17" i="8" s="1"/>
  <c r="DJ17" i="8" a="1"/>
  <c r="DJ17" i="8" s="1"/>
  <c r="DI17" i="8" a="1"/>
  <c r="DI17" i="8" s="1"/>
  <c r="DH17" i="8" a="1"/>
  <c r="DH17" i="8" s="1"/>
  <c r="DG17" i="8" a="1"/>
  <c r="DG17" i="8"/>
  <c r="DF17" i="8" a="1"/>
  <c r="DF17" i="8" s="1"/>
  <c r="DE17" i="8" a="1"/>
  <c r="DE17" i="8"/>
  <c r="DD17" i="8" a="1"/>
  <c r="DD17" i="8" s="1"/>
  <c r="DC17" i="8" a="1"/>
  <c r="DC17" i="8" s="1"/>
  <c r="DB17" i="8" a="1"/>
  <c r="DB17" i="8"/>
  <c r="DA17" i="8" a="1"/>
  <c r="DA17" i="8" s="1"/>
  <c r="CZ17" i="8" a="1"/>
  <c r="CZ17" i="8" s="1"/>
  <c r="CY17" i="8" a="1"/>
  <c r="CY17" i="8" s="1"/>
  <c r="CX17" i="8" a="1"/>
  <c r="CX17" i="8" s="1"/>
  <c r="CW17" i="8" a="1"/>
  <c r="CW17" i="8" s="1"/>
  <c r="CV17" i="8" a="1"/>
  <c r="CV17" i="8"/>
  <c r="CU17" i="8" a="1"/>
  <c r="CU17" i="8" s="1"/>
  <c r="CT17" i="8" a="1"/>
  <c r="CT17" i="8"/>
  <c r="CS17" i="8" a="1"/>
  <c r="CS17" i="8"/>
  <c r="CR17" i="8" a="1"/>
  <c r="CR17" i="8" s="1"/>
  <c r="CQ17" i="8" a="1"/>
  <c r="CQ17" i="8"/>
  <c r="CP17" i="8" a="1"/>
  <c r="CP17" i="8" s="1"/>
  <c r="CO17" i="8" a="1"/>
  <c r="CO17" i="8" s="1"/>
  <c r="CN17" i="8" a="1"/>
  <c r="CN17" i="8" s="1"/>
  <c r="CM17" i="8" a="1"/>
  <c r="CM17" i="8" s="1"/>
  <c r="CL17" i="8" a="1"/>
  <c r="CL17" i="8" s="1"/>
  <c r="CK17" i="8" a="1"/>
  <c r="CK17" i="8" s="1"/>
  <c r="CJ17" i="8" a="1"/>
  <c r="CJ17" i="8" s="1"/>
  <c r="CI17" i="8" a="1"/>
  <c r="CI17" i="8"/>
  <c r="CH17" i="8" a="1"/>
  <c r="CH17" i="8"/>
  <c r="CG17" i="8" a="1"/>
  <c r="CG17" i="8" s="1"/>
  <c r="CF17" i="8" a="1"/>
  <c r="CF17" i="8" s="1"/>
  <c r="CE17" i="8" a="1"/>
  <c r="CE17" i="8" s="1"/>
  <c r="CD17" i="8" a="1"/>
  <c r="CD17" i="8" s="1"/>
  <c r="CC17" i="8" a="1"/>
  <c r="CC17" i="8"/>
  <c r="CB17" i="8" a="1"/>
  <c r="CB17" i="8" s="1"/>
  <c r="CA17" i="8" a="1"/>
  <c r="CA17" i="8" s="1"/>
  <c r="BZ17" i="8" a="1"/>
  <c r="BZ17" i="8" s="1"/>
  <c r="BY17" i="8" a="1"/>
  <c r="BY17" i="8" s="1"/>
  <c r="BX17" i="8" a="1"/>
  <c r="BX17" i="8" s="1"/>
  <c r="BW17" i="8" a="1"/>
  <c r="BW17" i="8" s="1"/>
  <c r="BV17" i="8" a="1"/>
  <c r="BV17" i="8"/>
  <c r="BU17" i="8" a="1"/>
  <c r="BU17" i="8" s="1"/>
  <c r="BT17" i="8" a="1"/>
  <c r="BT17" i="8" s="1"/>
  <c r="BS17" i="8" a="1"/>
  <c r="BS17" i="8" s="1"/>
  <c r="BR17" i="8" a="1"/>
  <c r="BR17" i="8"/>
  <c r="BQ17" i="8" a="1"/>
  <c r="BQ17" i="8" s="1"/>
  <c r="BP17" i="8" a="1"/>
  <c r="BP17" i="8" s="1"/>
  <c r="BO17" i="8" a="1"/>
  <c r="BO17" i="8" s="1"/>
  <c r="BN17" i="8" a="1"/>
  <c r="BN17" i="8" s="1"/>
  <c r="BM17" i="8" a="1"/>
  <c r="BM17" i="8" s="1"/>
  <c r="BL17" i="8" a="1"/>
  <c r="BL17" i="8" s="1"/>
  <c r="BK17" i="8" a="1"/>
  <c r="BK17" i="8"/>
  <c r="BJ17" i="8" a="1"/>
  <c r="BJ17" i="8"/>
  <c r="BI17" i="8" a="1"/>
  <c r="BI17" i="8" s="1"/>
  <c r="BH17" i="8" a="1"/>
  <c r="BH17" i="8" s="1"/>
  <c r="BG17" i="8" a="1"/>
  <c r="BG17" i="8"/>
  <c r="BF17" i="8" a="1"/>
  <c r="BF17" i="8" s="1"/>
  <c r="BE17" i="8" a="1"/>
  <c r="BE17" i="8" s="1"/>
  <c r="BD17" i="8" a="1"/>
  <c r="BD17" i="8" s="1"/>
  <c r="BC17" i="8" a="1"/>
  <c r="BC17" i="8" s="1"/>
  <c r="BB17" i="8" a="1"/>
  <c r="BB17" i="8"/>
  <c r="BA17" i="8" a="1"/>
  <c r="BA17" i="8" s="1"/>
  <c r="AZ17" i="8" a="1"/>
  <c r="AZ17" i="8"/>
  <c r="AY17" i="8" a="1"/>
  <c r="AY17" i="8"/>
  <c r="AX17" i="8" a="1"/>
  <c r="AX17" i="8" s="1"/>
  <c r="AW17" i="8" a="1"/>
  <c r="AW17" i="8" s="1"/>
  <c r="AV17" i="8" a="1"/>
  <c r="AV17" i="8"/>
  <c r="AU17" i="8" a="1"/>
  <c r="AU17" i="8" s="1"/>
  <c r="AT17" i="8" a="1"/>
  <c r="AT17" i="8" s="1"/>
  <c r="AS17" i="8" a="1"/>
  <c r="AS17" i="8"/>
  <c r="AR17" i="8" a="1"/>
  <c r="AR17" i="8" s="1"/>
  <c r="AQ17" i="8" a="1"/>
  <c r="AQ17" i="8"/>
  <c r="AP17" i="8" a="1"/>
  <c r="AP17" i="8" s="1"/>
  <c r="AO17" i="8" a="1"/>
  <c r="AO17" i="8"/>
  <c r="AN17" i="8" a="1"/>
  <c r="AN17" i="8" s="1"/>
  <c r="AM17" i="8" a="1"/>
  <c r="AM17" i="8" s="1"/>
  <c r="AL17" i="8" a="1"/>
  <c r="AL17" i="8" s="1"/>
  <c r="AK17" i="8" a="1"/>
  <c r="AK17" i="8" s="1"/>
  <c r="AJ17" i="8" a="1"/>
  <c r="AJ17" i="8" s="1"/>
  <c r="AI17" i="8" a="1"/>
  <c r="AI17" i="8" s="1"/>
  <c r="AH17" i="8" a="1"/>
  <c r="AH17" i="8"/>
  <c r="AG17" i="8" a="1"/>
  <c r="AG17" i="8"/>
  <c r="AF17" i="8" a="1"/>
  <c r="AF17" i="8" s="1"/>
  <c r="AE17" i="8" a="1"/>
  <c r="AE17" i="8"/>
  <c r="AD17" i="8" a="1"/>
  <c r="AD17" i="8"/>
  <c r="AC17" i="8" a="1"/>
  <c r="AC17" i="8" s="1"/>
  <c r="AB17" i="8" a="1"/>
  <c r="AB17" i="8" s="1"/>
  <c r="AA17" i="8" a="1"/>
  <c r="AA17" i="8" s="1"/>
  <c r="Z17" i="8" a="1"/>
  <c r="Z17" i="8"/>
  <c r="Y17" i="8" a="1"/>
  <c r="Y17" i="8" s="1"/>
  <c r="X17" i="8" a="1"/>
  <c r="X17" i="8" s="1"/>
  <c r="W17" i="8" a="1"/>
  <c r="W17" i="8" s="1"/>
  <c r="V17" i="8" a="1"/>
  <c r="V17" i="8" s="1"/>
  <c r="U17" i="8" a="1"/>
  <c r="U17" i="8"/>
  <c r="T17" i="8" a="1"/>
  <c r="T17" i="8"/>
  <c r="S17" i="8" a="1"/>
  <c r="S17" i="8" s="1"/>
  <c r="R17" i="8" a="1"/>
  <c r="R17" i="8"/>
  <c r="Q17" i="8" a="1"/>
  <c r="Q17" i="8" s="1"/>
  <c r="P17" i="8" a="1"/>
  <c r="P17" i="8" s="1"/>
  <c r="O17" i="8" a="1"/>
  <c r="O17" i="8" s="1"/>
  <c r="N17" i="8" a="1"/>
  <c r="N17" i="8" s="1"/>
  <c r="M17" i="8" a="1"/>
  <c r="M17" i="8" s="1"/>
  <c r="L17" i="8" a="1"/>
  <c r="L17" i="8"/>
  <c r="K17" i="8" a="1"/>
  <c r="K17" i="8"/>
  <c r="J17" i="8" a="1"/>
  <c r="J17" i="8" s="1"/>
  <c r="I17" i="8" a="1"/>
  <c r="I17" i="8" s="1"/>
  <c r="H17" i="8" a="1"/>
  <c r="H17" i="8"/>
  <c r="G17" i="8" a="1"/>
  <c r="G17" i="8" s="1"/>
  <c r="F17" i="8" a="1"/>
  <c r="F17" i="8" s="1"/>
  <c r="E17" i="8" a="1"/>
  <c r="E17" i="8" s="1"/>
  <c r="D17" i="8" a="1"/>
  <c r="D17" i="8"/>
  <c r="C17" i="8" a="1"/>
  <c r="C17" i="8" s="1"/>
  <c r="EF16" i="8" a="1"/>
  <c r="EF16" i="8" s="1"/>
  <c r="EE16" i="8" a="1"/>
  <c r="EE16" i="8" s="1"/>
  <c r="ED16" i="8" a="1"/>
  <c r="ED16" i="8"/>
  <c r="EC16" i="8" a="1"/>
  <c r="EC16" i="8" s="1"/>
  <c r="EB16" i="8" a="1"/>
  <c r="EB16" i="8"/>
  <c r="EA16" i="8" a="1"/>
  <c r="EA16" i="8" s="1"/>
  <c r="DZ16" i="8" a="1"/>
  <c r="DZ16" i="8" s="1"/>
  <c r="DY16" i="8" a="1"/>
  <c r="DY16" i="8" s="1"/>
  <c r="DX16" i="8" a="1"/>
  <c r="DX16" i="8" s="1"/>
  <c r="DW16" i="8" a="1"/>
  <c r="DW16" i="8"/>
  <c r="DV16" i="8" a="1"/>
  <c r="DV16" i="8" s="1"/>
  <c r="DU16" i="8" a="1"/>
  <c r="DU16" i="8" s="1"/>
  <c r="DT16" i="8" a="1"/>
  <c r="DT16" i="8"/>
  <c r="DS16" i="8" a="1"/>
  <c r="DS16" i="8"/>
  <c r="DR16" i="8" a="1"/>
  <c r="DR16" i="8" s="1"/>
  <c r="DQ16" i="8" a="1"/>
  <c r="DQ16" i="8" s="1"/>
  <c r="DP16" i="8" a="1"/>
  <c r="DP16" i="8" s="1"/>
  <c r="DO16" i="8" a="1"/>
  <c r="DO16" i="8"/>
  <c r="DN16" i="8" a="1"/>
  <c r="DN16" i="8" s="1"/>
  <c r="DM16" i="8" a="1"/>
  <c r="DM16" i="8" s="1"/>
  <c r="DL16" i="8" a="1"/>
  <c r="DL16" i="8" s="1"/>
  <c r="DK16" i="8" a="1"/>
  <c r="DK16" i="8" s="1"/>
  <c r="DJ16" i="8" a="1"/>
  <c r="DJ16" i="8" s="1"/>
  <c r="DI16" i="8" a="1"/>
  <c r="DI16" i="8" s="1"/>
  <c r="DH16" i="8" a="1"/>
  <c r="DH16" i="8" s="1"/>
  <c r="DG16" i="8" a="1"/>
  <c r="DG16" i="8"/>
  <c r="DF16" i="8" a="1"/>
  <c r="DF16" i="8"/>
  <c r="DE16" i="8" a="1"/>
  <c r="DE16" i="8" s="1"/>
  <c r="DD16" i="8" a="1"/>
  <c r="DD16" i="8"/>
  <c r="DC16" i="8" a="1"/>
  <c r="DC16" i="8" s="1"/>
  <c r="DB16" i="8" a="1"/>
  <c r="DB16" i="8" s="1"/>
  <c r="DA16" i="8" a="1"/>
  <c r="DA16" i="8"/>
  <c r="CZ16" i="8" a="1"/>
  <c r="CZ16" i="8" s="1"/>
  <c r="CY16" i="8" a="1"/>
  <c r="CY16" i="8" s="1"/>
  <c r="CX16" i="8" a="1"/>
  <c r="CX16" i="8" s="1"/>
  <c r="CW16" i="8" a="1"/>
  <c r="CW16" i="8"/>
  <c r="CV16" i="8" a="1"/>
  <c r="CV16" i="8" s="1"/>
  <c r="CU16" i="8" a="1"/>
  <c r="CU16" i="8" s="1"/>
  <c r="CT16" i="8" a="1"/>
  <c r="CT16" i="8"/>
  <c r="CS16" i="8" a="1"/>
  <c r="CS16" i="8"/>
  <c r="CR16" i="8" a="1"/>
  <c r="CR16" i="8" s="1"/>
  <c r="CQ16" i="8" a="1"/>
  <c r="CQ16" i="8" s="1"/>
  <c r="CP16" i="8" a="1"/>
  <c r="CP16" i="8"/>
  <c r="CO16" i="8" a="1"/>
  <c r="CO16" i="8" s="1"/>
  <c r="CN16" i="8" a="1"/>
  <c r="CN16" i="8" s="1"/>
  <c r="CM16" i="8" a="1"/>
  <c r="CM16" i="8"/>
  <c r="CL16" i="8" a="1"/>
  <c r="CL16" i="8" s="1"/>
  <c r="CK16" i="8" a="1"/>
  <c r="CK16" i="8" s="1"/>
  <c r="CJ16" i="8" a="1"/>
  <c r="CJ16" i="8"/>
  <c r="CI16" i="8" a="1"/>
  <c r="CI16" i="8" s="1"/>
  <c r="CH16" i="8" a="1"/>
  <c r="CH16" i="8" s="1"/>
  <c r="CG16" i="8" a="1"/>
  <c r="CG16" i="8" s="1"/>
  <c r="CF16" i="8" a="1"/>
  <c r="CF16" i="8" s="1"/>
  <c r="CE16" i="8" a="1"/>
  <c r="CE16" i="8"/>
  <c r="CD16" i="8" a="1"/>
  <c r="CD16" i="8" s="1"/>
  <c r="CC16" i="8" a="1"/>
  <c r="CC16" i="8" s="1"/>
  <c r="CB16" i="8" a="1"/>
  <c r="CB16" i="8"/>
  <c r="CA16" i="8" a="1"/>
  <c r="CA16" i="8" s="1"/>
  <c r="BZ16" i="8" a="1"/>
  <c r="BZ16" i="8"/>
  <c r="BY16" i="8" a="1"/>
  <c r="BY16" i="8" s="1"/>
  <c r="BX16" i="8" a="1"/>
  <c r="BX16" i="8" s="1"/>
  <c r="BW16" i="8" a="1"/>
  <c r="BW16" i="8"/>
  <c r="BV16" i="8" a="1"/>
  <c r="BV16" i="8" s="1"/>
  <c r="BU16" i="8" a="1"/>
  <c r="BU16" i="8" s="1"/>
  <c r="BT16" i="8" a="1"/>
  <c r="BT16" i="8" s="1"/>
  <c r="BS16" i="8" a="1"/>
  <c r="BS16" i="8" s="1"/>
  <c r="BR16" i="8" a="1"/>
  <c r="BR16" i="8" s="1"/>
  <c r="BQ16" i="8" a="1"/>
  <c r="BQ16" i="8"/>
  <c r="BP16" i="8" a="1"/>
  <c r="BP16" i="8" s="1"/>
  <c r="BO16" i="8" a="1"/>
  <c r="BO16" i="8"/>
  <c r="BN16" i="8" a="1"/>
  <c r="BN16" i="8"/>
  <c r="BM16" i="8" a="1"/>
  <c r="BM16" i="8"/>
  <c r="BL16" i="8" a="1"/>
  <c r="BL16" i="8" s="1"/>
  <c r="BK16" i="8" a="1"/>
  <c r="BK16" i="8" s="1"/>
  <c r="BJ16" i="8" a="1"/>
  <c r="BJ16" i="8" s="1"/>
  <c r="BI16" i="8" a="1"/>
  <c r="BI16" i="8"/>
  <c r="BH16" i="8" a="1"/>
  <c r="BH16" i="8" s="1"/>
  <c r="BG16" i="8" a="1"/>
  <c r="BG16" i="8" s="1"/>
  <c r="BF16" i="8" a="1"/>
  <c r="BF16" i="8" s="1"/>
  <c r="BE16" i="8" a="1"/>
  <c r="BE16" i="8"/>
  <c r="BD16" i="8" a="1"/>
  <c r="BD16" i="8"/>
  <c r="BC16" i="8" a="1"/>
  <c r="BC16" i="8" s="1"/>
  <c r="BB16" i="8" a="1"/>
  <c r="BB16" i="8" s="1"/>
  <c r="BA16" i="8" a="1"/>
  <c r="BA16" i="8"/>
  <c r="AZ16" i="8" a="1"/>
  <c r="AZ16" i="8" s="1"/>
  <c r="AY16" i="8" a="1"/>
  <c r="AY16" i="8" s="1"/>
  <c r="AX16" i="8" a="1"/>
  <c r="AX16" i="8" s="1"/>
  <c r="AW16" i="8" a="1"/>
  <c r="AW16" i="8" s="1"/>
  <c r="AV16" i="8" a="1"/>
  <c r="AV16" i="8" s="1"/>
  <c r="AU16" i="8" a="1"/>
  <c r="AU16" i="8"/>
  <c r="AT16" i="8" a="1"/>
  <c r="AT16" i="8" s="1"/>
  <c r="AS16" i="8" a="1"/>
  <c r="AS16" i="8" s="1"/>
  <c r="AR16" i="8" a="1"/>
  <c r="AR16" i="8"/>
  <c r="AQ16" i="8" a="1"/>
  <c r="AQ16" i="8"/>
  <c r="AP16" i="8" a="1"/>
  <c r="AP16" i="8" s="1"/>
  <c r="AO16" i="8" a="1"/>
  <c r="AO16" i="8" s="1"/>
  <c r="AN16" i="8" a="1"/>
  <c r="AN16" i="8" s="1"/>
  <c r="AM16" i="8" a="1"/>
  <c r="AM16" i="8"/>
  <c r="AL16" i="8" a="1"/>
  <c r="AL16" i="8" s="1"/>
  <c r="AK16" i="8" a="1"/>
  <c r="AK16" i="8" s="1"/>
  <c r="AJ16" i="8" a="1"/>
  <c r="AJ16" i="8" s="1"/>
  <c r="AI16" i="8" a="1"/>
  <c r="AI16" i="8" s="1"/>
  <c r="AH16" i="8" a="1"/>
  <c r="AH16" i="8"/>
  <c r="AG16" i="8" a="1"/>
  <c r="AG16" i="8"/>
  <c r="AF16" i="8" a="1"/>
  <c r="AF16" i="8" s="1"/>
  <c r="AE16" i="8" a="1"/>
  <c r="AE16" i="8"/>
  <c r="AD16" i="8" a="1"/>
  <c r="AD16" i="8" s="1"/>
  <c r="AC16" i="8" a="1"/>
  <c r="AC16" i="8" s="1"/>
  <c r="AB16" i="8" a="1"/>
  <c r="AB16" i="8" s="1"/>
  <c r="AA16" i="8" a="1"/>
  <c r="AA16" i="8" s="1"/>
  <c r="Z16" i="8" a="1"/>
  <c r="Z16" i="8" s="1"/>
  <c r="Y16" i="8" a="1"/>
  <c r="Y16" i="8" s="1"/>
  <c r="X16" i="8" a="1"/>
  <c r="X16" i="8"/>
  <c r="W16" i="8" a="1"/>
  <c r="W16" i="8" s="1"/>
  <c r="V16" i="8" a="1"/>
  <c r="V16" i="8" s="1"/>
  <c r="U16" i="8" a="1"/>
  <c r="U16" i="8"/>
  <c r="T16" i="8" a="1"/>
  <c r="T16" i="8"/>
  <c r="S16" i="8" a="1"/>
  <c r="S16" i="8" s="1"/>
  <c r="R16" i="8" a="1"/>
  <c r="R16" i="8" s="1"/>
  <c r="Q16" i="8" a="1"/>
  <c r="Q16" i="8"/>
  <c r="P16" i="8" a="1"/>
  <c r="P16" i="8" s="1"/>
  <c r="O16" i="8" a="1"/>
  <c r="O16" i="8" s="1"/>
  <c r="N16" i="8" a="1"/>
  <c r="N16" i="8" s="1"/>
  <c r="M16" i="8" a="1"/>
  <c r="M16" i="8"/>
  <c r="L16" i="8" a="1"/>
  <c r="L16" i="8"/>
  <c r="K16" i="8" a="1"/>
  <c r="K16" i="8"/>
  <c r="J16" i="8" a="1"/>
  <c r="J16" i="8" s="1"/>
  <c r="I16" i="8" a="1"/>
  <c r="I16" i="8" s="1"/>
  <c r="H16" i="8" a="1"/>
  <c r="H16" i="8" s="1"/>
  <c r="G16" i="8" a="1"/>
  <c r="G16" i="8" s="1"/>
  <c r="F16" i="8" a="1"/>
  <c r="F16" i="8" s="1"/>
  <c r="E16" i="8" a="1"/>
  <c r="E16" i="8" s="1"/>
  <c r="D16" i="8" a="1"/>
  <c r="D16" i="8" s="1"/>
  <c r="C16" i="8" a="1"/>
  <c r="C16" i="8"/>
  <c r="EF15" i="8" a="1"/>
  <c r="EF15" i="8"/>
  <c r="EE15" i="8" a="1"/>
  <c r="EE15" i="8" s="1"/>
  <c r="ED15" i="8" a="1"/>
  <c r="ED15" i="8" s="1"/>
  <c r="EC15" i="8" a="1"/>
  <c r="EC15" i="8" s="1"/>
  <c r="EB15" i="8" a="1"/>
  <c r="EB15" i="8"/>
  <c r="EA15" i="8" a="1"/>
  <c r="EA15" i="8" s="1"/>
  <c r="DZ15" i="8" a="1"/>
  <c r="DZ15" i="8" s="1"/>
  <c r="DY15" i="8" a="1"/>
  <c r="DY15" i="8" s="1"/>
  <c r="DX15" i="8" a="1"/>
  <c r="DX15" i="8" s="1"/>
  <c r="DW15" i="8" a="1"/>
  <c r="DW15" i="8" s="1"/>
  <c r="DV15" i="8" a="1"/>
  <c r="DV15" i="8" s="1"/>
  <c r="DU15" i="8" a="1"/>
  <c r="DU15" i="8" s="1"/>
  <c r="DT15" i="8" a="1"/>
  <c r="DT15" i="8"/>
  <c r="DS15" i="8" a="1"/>
  <c r="DS15" i="8"/>
  <c r="DR15" i="8" a="1"/>
  <c r="DR15" i="8" s="1"/>
  <c r="DQ15" i="8" a="1"/>
  <c r="DQ15" i="8" s="1"/>
  <c r="DP15" i="8" a="1"/>
  <c r="DP15" i="8" s="1"/>
  <c r="DO15" i="8" a="1"/>
  <c r="DO15" i="8" s="1"/>
  <c r="DN15" i="8" a="1"/>
  <c r="DN15" i="8"/>
  <c r="DM15" i="8" a="1"/>
  <c r="DM15" i="8" s="1"/>
  <c r="DL15" i="8" a="1"/>
  <c r="DL15" i="8" s="1"/>
  <c r="DK15" i="8" a="1"/>
  <c r="DK15" i="8" s="1"/>
  <c r="DJ15" i="8" a="1"/>
  <c r="DJ15" i="8"/>
  <c r="DI15" i="8" a="1"/>
  <c r="DI15" i="8" s="1"/>
  <c r="DH15" i="8" a="1"/>
  <c r="DH15" i="8"/>
  <c r="DG15" i="8" a="1"/>
  <c r="DG15" i="8"/>
  <c r="DF15" i="8" a="1"/>
  <c r="DF15" i="8" s="1"/>
  <c r="DE15" i="8" a="1"/>
  <c r="DE15" i="8" s="1"/>
  <c r="DD15" i="8" a="1"/>
  <c r="DD15" i="8" s="1"/>
  <c r="DC15" i="8" a="1"/>
  <c r="DC15" i="8"/>
  <c r="DB15" i="8" a="1"/>
  <c r="DB15" i="8" s="1"/>
  <c r="DA15" i="8" a="1"/>
  <c r="DA15" i="8" s="1"/>
  <c r="CZ15" i="8" a="1"/>
  <c r="CZ15" i="8"/>
  <c r="CY15" i="8" a="1"/>
  <c r="CY15" i="8" s="1"/>
  <c r="CX15" i="8" a="1"/>
  <c r="CX15" i="8" s="1"/>
  <c r="CW15" i="8" a="1"/>
  <c r="CW15" i="8" s="1"/>
  <c r="CV15" i="8" a="1"/>
  <c r="CV15" i="8"/>
  <c r="CU15" i="8" a="1"/>
  <c r="CU15" i="8"/>
  <c r="CT15" i="8" a="1"/>
  <c r="CT15" i="8" s="1"/>
  <c r="CS15" i="8" a="1"/>
  <c r="CS15" i="8"/>
  <c r="CR15" i="8" a="1"/>
  <c r="CR15" i="8"/>
  <c r="CQ15" i="8" a="1"/>
  <c r="CQ15" i="8" s="1"/>
  <c r="CP15" i="8" a="1"/>
  <c r="CP15" i="8" s="1"/>
  <c r="CO15" i="8" a="1"/>
  <c r="CO15" i="8" s="1"/>
  <c r="CN15" i="8" a="1"/>
  <c r="CN15" i="8"/>
  <c r="CM15" i="8" a="1"/>
  <c r="CM15" i="8" s="1"/>
  <c r="CL15" i="8" a="1"/>
  <c r="CL15" i="8"/>
  <c r="CK15" i="8" a="1"/>
  <c r="CK15" i="8"/>
  <c r="CJ15" i="8" a="1"/>
  <c r="CJ15" i="8" s="1"/>
  <c r="CI15" i="8" a="1"/>
  <c r="CI15" i="8" s="1"/>
  <c r="CH15" i="8" a="1"/>
  <c r="CH15" i="8" s="1"/>
  <c r="CG15" i="8" a="1"/>
  <c r="CG15" i="8"/>
  <c r="CF15" i="8" a="1"/>
  <c r="CF15" i="8" s="1"/>
  <c r="CE15" i="8" a="1"/>
  <c r="CE15" i="8" s="1"/>
  <c r="CD15" i="8" a="1"/>
  <c r="CD15" i="8" s="1"/>
  <c r="CC15" i="8" a="1"/>
  <c r="CC15" i="8" s="1"/>
  <c r="CB15" i="8" a="1"/>
  <c r="CB15" i="8" s="1"/>
  <c r="CA15" i="8" a="1"/>
  <c r="CA15" i="8" s="1"/>
  <c r="BZ15" i="8" a="1"/>
  <c r="BZ15" i="8" s="1"/>
  <c r="BY15" i="8" a="1"/>
  <c r="BY15" i="8"/>
  <c r="BX15" i="8" a="1"/>
  <c r="BX15" i="8" s="1"/>
  <c r="BW15" i="8" a="1"/>
  <c r="BW15" i="8" s="1"/>
  <c r="BV15" i="8" a="1"/>
  <c r="BV15" i="8" s="1"/>
  <c r="BU15" i="8" a="1"/>
  <c r="BU15" i="8" s="1"/>
  <c r="BT15" i="8" a="1"/>
  <c r="BT15" i="8" s="1"/>
  <c r="BS15" i="8" a="1"/>
  <c r="BS15" i="8" s="1"/>
  <c r="BR15" i="8" a="1"/>
  <c r="BR15" i="8" s="1"/>
  <c r="BQ15" i="8" a="1"/>
  <c r="BQ15" i="8" s="1"/>
  <c r="BP15" i="8" a="1"/>
  <c r="BP15" i="8" s="1"/>
  <c r="BO15" i="8" a="1"/>
  <c r="BO15" i="8" s="1"/>
  <c r="BN15" i="8" a="1"/>
  <c r="BN15" i="8"/>
  <c r="BM15" i="8" a="1"/>
  <c r="BM15" i="8" s="1"/>
  <c r="BL15" i="8" a="1"/>
  <c r="BL15" i="8" s="1"/>
  <c r="BK15" i="8" a="1"/>
  <c r="BK15" i="8" s="1"/>
  <c r="BJ15" i="8" a="1"/>
  <c r="BJ15" i="8" s="1"/>
  <c r="BI15" i="8" a="1"/>
  <c r="BI15" i="8" s="1"/>
  <c r="BH15" i="8" a="1"/>
  <c r="BH15" i="8"/>
  <c r="BG15" i="8" a="1"/>
  <c r="BG15" i="8" s="1"/>
  <c r="BF15" i="8" a="1"/>
  <c r="BF15" i="8" s="1"/>
  <c r="BE15" i="8" a="1"/>
  <c r="BE15" i="8" s="1"/>
  <c r="BD15" i="8" a="1"/>
  <c r="BD15" i="8" s="1"/>
  <c r="BC15" i="8" a="1"/>
  <c r="BC15" i="8"/>
  <c r="BB15" i="8" a="1"/>
  <c r="BB15" i="8" s="1"/>
  <c r="BA15" i="8" a="1"/>
  <c r="BA15" i="8" s="1"/>
  <c r="AZ15" i="8" a="1"/>
  <c r="AZ15" i="8"/>
  <c r="AY15" i="8" a="1"/>
  <c r="AY15" i="8" s="1"/>
  <c r="AX15" i="8" a="1"/>
  <c r="AX15" i="8" s="1"/>
  <c r="AW15" i="8" a="1"/>
  <c r="AW15" i="8" s="1"/>
  <c r="AV15" i="8" a="1"/>
  <c r="AV15" i="8"/>
  <c r="AU15" i="8" a="1"/>
  <c r="AU15" i="8" s="1"/>
  <c r="AT15" i="8" a="1"/>
  <c r="AT15" i="8" s="1"/>
  <c r="AS15" i="8" a="1"/>
  <c r="AS15" i="8"/>
  <c r="AR15" i="8" a="1"/>
  <c r="AR15" i="8" s="1"/>
  <c r="AQ15" i="8" a="1"/>
  <c r="AQ15" i="8" s="1"/>
  <c r="AP15" i="8" a="1"/>
  <c r="AP15" i="8"/>
  <c r="AO15" i="8" a="1"/>
  <c r="AO15" i="8" s="1"/>
  <c r="AN15" i="8" a="1"/>
  <c r="AN15" i="8" s="1"/>
  <c r="AM15" i="8" a="1"/>
  <c r="AM15" i="8" s="1"/>
  <c r="AL15" i="8" a="1"/>
  <c r="AL15" i="8"/>
  <c r="AK15" i="8" a="1"/>
  <c r="AK15" i="8"/>
  <c r="AJ15" i="8" a="1"/>
  <c r="AJ15" i="8" s="1"/>
  <c r="AI15" i="8" a="1"/>
  <c r="AI15" i="8"/>
  <c r="AH15" i="8" a="1"/>
  <c r="AH15" i="8" s="1"/>
  <c r="AG15" i="8" a="1"/>
  <c r="AG15" i="8" s="1"/>
  <c r="AF15" i="8" a="1"/>
  <c r="AF15" i="8" s="1"/>
  <c r="AE15" i="8" a="1"/>
  <c r="AE15" i="8"/>
  <c r="AD15" i="8" a="1"/>
  <c r="AD15" i="8" s="1"/>
  <c r="AC15" i="8" a="1"/>
  <c r="AC15" i="8" s="1"/>
  <c r="AB15" i="8" a="1"/>
  <c r="AB15" i="8" s="1"/>
  <c r="AA15" i="8" a="1"/>
  <c r="AA15" i="8" s="1"/>
  <c r="Z15" i="8" a="1"/>
  <c r="Z15" i="8" s="1"/>
  <c r="Y15" i="8" a="1"/>
  <c r="Y15" i="8" s="1"/>
  <c r="X15" i="8" a="1"/>
  <c r="X15" i="8"/>
  <c r="W15" i="8" a="1"/>
  <c r="W15" i="8"/>
  <c r="V15" i="8" a="1"/>
  <c r="V15" i="8"/>
  <c r="U15" i="8" a="1"/>
  <c r="U15" i="8" s="1"/>
  <c r="T15" i="8" a="1"/>
  <c r="T15" i="8"/>
  <c r="S15" i="8" a="1"/>
  <c r="S15" i="8" s="1"/>
  <c r="R15" i="8" a="1"/>
  <c r="R15" i="8" s="1"/>
  <c r="Q15" i="8" a="1"/>
  <c r="Q15" i="8" s="1"/>
  <c r="P15" i="8" a="1"/>
  <c r="P15" i="8" s="1"/>
  <c r="O15" i="8" a="1"/>
  <c r="O15" i="8"/>
  <c r="N15" i="8" a="1"/>
  <c r="N15" i="8" s="1"/>
  <c r="M15" i="8" a="1"/>
  <c r="M15" i="8"/>
  <c r="L15" i="8" a="1"/>
  <c r="L15" i="8" s="1"/>
  <c r="K15" i="8" a="1"/>
  <c r="K15" i="8"/>
  <c r="J15" i="8" a="1"/>
  <c r="J15" i="8" s="1"/>
  <c r="I15" i="8" a="1"/>
  <c r="I15" i="8" s="1"/>
  <c r="H15" i="8" a="1"/>
  <c r="H15" i="8"/>
  <c r="G15" i="8" a="1"/>
  <c r="G15" i="8" s="1"/>
  <c r="F15" i="8" a="1"/>
  <c r="F15" i="8" s="1"/>
  <c r="E15" i="8" a="1"/>
  <c r="E15" i="8" s="1"/>
  <c r="D15" i="8" a="1"/>
  <c r="D15" i="8"/>
  <c r="C15" i="8" a="1"/>
  <c r="C15" i="8" s="1"/>
  <c r="EF14" i="8" a="1"/>
  <c r="EF14" i="8" s="1"/>
  <c r="EE14" i="8" a="1"/>
  <c r="EE14" i="8"/>
  <c r="ED14" i="8" a="1"/>
  <c r="ED14" i="8" s="1"/>
  <c r="EC14" i="8" a="1"/>
  <c r="EC14" i="8" s="1"/>
  <c r="EB14" i="8" a="1"/>
  <c r="EB14" i="8" s="1"/>
  <c r="EA14" i="8" a="1"/>
  <c r="EA14" i="8"/>
  <c r="DZ14" i="8" a="1"/>
  <c r="DZ14" i="8" s="1"/>
  <c r="DY14" i="8" a="1"/>
  <c r="DY14" i="8" s="1"/>
  <c r="DX14" i="8" a="1"/>
  <c r="DX14" i="8" s="1"/>
  <c r="DW14" i="8" a="1"/>
  <c r="DW14" i="8"/>
  <c r="DV14" i="8" a="1"/>
  <c r="DV14" i="8" s="1"/>
  <c r="DU14" i="8" a="1"/>
  <c r="DU14" i="8" s="1"/>
  <c r="DT14" i="8" a="1"/>
  <c r="DT14" i="8"/>
  <c r="DS14" i="8" a="1"/>
  <c r="DS14" i="8" s="1"/>
  <c r="DR14" i="8" a="1"/>
  <c r="DR14" i="8" s="1"/>
  <c r="DQ14" i="8" a="1"/>
  <c r="DQ14" i="8" s="1"/>
  <c r="DP14" i="8" a="1"/>
  <c r="DP14" i="8"/>
  <c r="DO14" i="8" a="1"/>
  <c r="DO14" i="8" s="1"/>
  <c r="DN14" i="8" a="1"/>
  <c r="DN14" i="8" s="1"/>
  <c r="DM14" i="8" a="1"/>
  <c r="DM14" i="8" s="1"/>
  <c r="DL14" i="8" a="1"/>
  <c r="DL14" i="8" s="1"/>
  <c r="DK14" i="8" a="1"/>
  <c r="DK14" i="8" s="1"/>
  <c r="DJ14" i="8" a="1"/>
  <c r="DJ14" i="8" s="1"/>
  <c r="DI14" i="8" a="1"/>
  <c r="DI14" i="8"/>
  <c r="DH14" i="8" a="1"/>
  <c r="DH14" i="8"/>
  <c r="DG14" i="8" a="1"/>
  <c r="DG14" i="8" s="1"/>
  <c r="DF14" i="8" a="1"/>
  <c r="DF14" i="8" s="1"/>
  <c r="DE14" i="8" a="1"/>
  <c r="DE14" i="8" s="1"/>
  <c r="DD14" i="8" a="1"/>
  <c r="DD14" i="8" s="1"/>
  <c r="DC14" i="8" a="1"/>
  <c r="DC14" i="8" s="1"/>
  <c r="DB14" i="8" a="1"/>
  <c r="DB14" i="8"/>
  <c r="DA14" i="8" a="1"/>
  <c r="DA14" i="8" s="1"/>
  <c r="CZ14" i="8" a="1"/>
  <c r="CZ14" i="8" s="1"/>
  <c r="CY14" i="8" a="1"/>
  <c r="CY14" i="8" s="1"/>
  <c r="CX14" i="8" a="1"/>
  <c r="CX14" i="8" s="1"/>
  <c r="CW14" i="8" a="1"/>
  <c r="CW14" i="8" s="1"/>
  <c r="CV14" i="8" a="1"/>
  <c r="CV14" i="8" s="1"/>
  <c r="CU14" i="8" a="1"/>
  <c r="CU14" i="8" s="1"/>
  <c r="CT14" i="8" a="1"/>
  <c r="CT14" i="8" s="1"/>
  <c r="CS14" i="8" a="1"/>
  <c r="CS14" i="8" s="1"/>
  <c r="CR14" i="8" a="1"/>
  <c r="CR14" i="8" s="1"/>
  <c r="CQ14" i="8" a="1"/>
  <c r="CQ14" i="8"/>
  <c r="CP14" i="8" a="1"/>
  <c r="CP14" i="8" s="1"/>
  <c r="CO14" i="8" a="1"/>
  <c r="CO14" i="8" s="1"/>
  <c r="CN14" i="8" a="1"/>
  <c r="CN14" i="8"/>
  <c r="CM14" i="8" a="1"/>
  <c r="CM14" i="8" s="1"/>
  <c r="CL14" i="8" a="1"/>
  <c r="CL14" i="8" s="1"/>
  <c r="CK14" i="8" a="1"/>
  <c r="CK14" i="8" s="1"/>
  <c r="CJ14" i="8" a="1"/>
  <c r="CJ14" i="8" s="1"/>
  <c r="CI14" i="8" a="1"/>
  <c r="CI14" i="8" s="1"/>
  <c r="CH14" i="8" a="1"/>
  <c r="CH14" i="8" s="1"/>
  <c r="CG14" i="8" a="1"/>
  <c r="CG14" i="8" s="1"/>
  <c r="CF14" i="8" a="1"/>
  <c r="CF14" i="8"/>
  <c r="CE14" i="8" a="1"/>
  <c r="CE14" i="8"/>
  <c r="CD14" i="8" a="1"/>
  <c r="CD14" i="8" s="1"/>
  <c r="CC14" i="8" a="1"/>
  <c r="CC14" i="8"/>
  <c r="CB14" i="8" a="1"/>
  <c r="CB14" i="8" s="1"/>
  <c r="CA14" i="8" a="1"/>
  <c r="CA14" i="8" s="1"/>
  <c r="BZ14" i="8" a="1"/>
  <c r="BZ14" i="8" s="1"/>
  <c r="BY14" i="8" a="1"/>
  <c r="BY14" i="8" s="1"/>
  <c r="BX14" i="8" a="1"/>
  <c r="BX14" i="8"/>
  <c r="BW14" i="8" a="1"/>
  <c r="BW14" i="8" s="1"/>
  <c r="BV14" i="8" a="1"/>
  <c r="BV14" i="8" s="1"/>
  <c r="BU14" i="8" a="1"/>
  <c r="BU14" i="8"/>
  <c r="BT14" i="8" a="1"/>
  <c r="BT14" i="8" s="1"/>
  <c r="BS14" i="8" a="1"/>
  <c r="BS14" i="8" s="1"/>
  <c r="BR14" i="8" a="1"/>
  <c r="BR14" i="8"/>
  <c r="BQ14" i="8" a="1"/>
  <c r="BQ14" i="8"/>
  <c r="BP14" i="8" a="1"/>
  <c r="BP14" i="8" s="1"/>
  <c r="BO14" i="8" a="1"/>
  <c r="BO14" i="8" s="1"/>
  <c r="BN14" i="8" a="1"/>
  <c r="BN14" i="8" s="1"/>
  <c r="BM14" i="8" a="1"/>
  <c r="BM14" i="8"/>
  <c r="BL14" i="8" a="1"/>
  <c r="BL14" i="8" s="1"/>
  <c r="BK14" i="8" a="1"/>
  <c r="BK14" i="8" s="1"/>
  <c r="BJ14" i="8" a="1"/>
  <c r="BJ14" i="8" s="1"/>
  <c r="BI14" i="8" a="1"/>
  <c r="BI14" i="8" s="1"/>
  <c r="BH14" i="8" a="1"/>
  <c r="BH14" i="8" s="1"/>
  <c r="BG14" i="8" a="1"/>
  <c r="BG14" i="8"/>
  <c r="BF14" i="8" a="1"/>
  <c r="BF14" i="8"/>
  <c r="BE14" i="8" a="1"/>
  <c r="BE14" i="8"/>
  <c r="BD14" i="8" a="1"/>
  <c r="BD14" i="8" s="1"/>
  <c r="BC14" i="8" a="1"/>
  <c r="BC14" i="8"/>
  <c r="BB14" i="8" a="1"/>
  <c r="BB14" i="8" s="1"/>
  <c r="BA14" i="8" a="1"/>
  <c r="BA14" i="8" s="1"/>
  <c r="AZ14" i="8" a="1"/>
  <c r="AZ14" i="8" s="1"/>
  <c r="AY14" i="8" a="1"/>
  <c r="AY14" i="8" s="1"/>
  <c r="AX14" i="8" a="1"/>
  <c r="AX14" i="8"/>
  <c r="AW14" i="8" a="1"/>
  <c r="AW14" i="8" s="1"/>
  <c r="AV14" i="8" a="1"/>
  <c r="AV14" i="8"/>
  <c r="AU14" i="8" a="1"/>
  <c r="AU14" i="8" s="1"/>
  <c r="AT14" i="8" a="1"/>
  <c r="AT14" i="8" s="1"/>
  <c r="AS14" i="8" a="1"/>
  <c r="AS14" i="8" s="1"/>
  <c r="AR14" i="8" a="1"/>
  <c r="AR14" i="8" s="1"/>
  <c r="AQ14" i="8" a="1"/>
  <c r="AQ14" i="8"/>
  <c r="AP14" i="8" a="1"/>
  <c r="AP14" i="8" s="1"/>
  <c r="AO14" i="8" a="1"/>
  <c r="AO14" i="8" s="1"/>
  <c r="AN14" i="8" a="1"/>
  <c r="AN14" i="8" s="1"/>
  <c r="AM14" i="8" a="1"/>
  <c r="AM14" i="8" s="1"/>
  <c r="AL14" i="8" a="1"/>
  <c r="AL14" i="8" s="1"/>
  <c r="AK14" i="8" a="1"/>
  <c r="AK14" i="8" s="1"/>
  <c r="AJ14" i="8" a="1"/>
  <c r="AJ14" i="8"/>
  <c r="AI14" i="8" a="1"/>
  <c r="AI14" i="8"/>
  <c r="AH14" i="8" a="1"/>
  <c r="AH14" i="8" s="1"/>
  <c r="AG14" i="8" a="1"/>
  <c r="AG14" i="8"/>
  <c r="AF14" i="8" a="1"/>
  <c r="AF14" i="8" s="1"/>
  <c r="AE14" i="8" a="1"/>
  <c r="AE14" i="8" s="1"/>
  <c r="AD14" i="8" a="1"/>
  <c r="AD14" i="8" s="1"/>
  <c r="AC14" i="8" a="1"/>
  <c r="AC14" i="8" s="1"/>
  <c r="AB14" i="8" a="1"/>
  <c r="AB14" i="8" s="1"/>
  <c r="AA14" i="8" a="1"/>
  <c r="AA14" i="8" s="1"/>
  <c r="Z14" i="8" a="1"/>
  <c r="Z14" i="8" s="1"/>
  <c r="Y14" i="8" a="1"/>
  <c r="Y14" i="8"/>
  <c r="X14" i="8" a="1"/>
  <c r="X14" i="8"/>
  <c r="W14" i="8" a="1"/>
  <c r="W14" i="8" s="1"/>
  <c r="V14" i="8" a="1"/>
  <c r="V14" i="8" s="1"/>
  <c r="U14" i="8" a="1"/>
  <c r="U14" i="8" s="1"/>
  <c r="T14" i="8" a="1"/>
  <c r="T14" i="8" s="1"/>
  <c r="S14" i="8" a="1"/>
  <c r="S14" i="8" s="1"/>
  <c r="R14" i="8" a="1"/>
  <c r="R14" i="8" s="1"/>
  <c r="Q14" i="8" a="1"/>
  <c r="Q14" i="8"/>
  <c r="P14" i="8" a="1"/>
  <c r="P14" i="8" s="1"/>
  <c r="O14" i="8" a="1"/>
  <c r="O14" i="8" s="1"/>
  <c r="N14" i="8" a="1"/>
  <c r="N14" i="8"/>
  <c r="M14" i="8" a="1"/>
  <c r="M14" i="8"/>
  <c r="L14" i="8" a="1"/>
  <c r="L14" i="8" s="1"/>
  <c r="K14" i="8" a="1"/>
  <c r="K14" i="8" s="1"/>
  <c r="J14" i="8" a="1"/>
  <c r="J14" i="8"/>
  <c r="I14" i="8" a="1"/>
  <c r="I14" i="8" s="1"/>
  <c r="H14" i="8" a="1"/>
  <c r="H14" i="8" s="1"/>
  <c r="G14" i="8" a="1"/>
  <c r="G14" i="8" s="1"/>
  <c r="F14" i="8" a="1"/>
  <c r="F14" i="8"/>
  <c r="E14" i="8" a="1"/>
  <c r="E14" i="8" s="1"/>
  <c r="D14" i="8" a="1"/>
  <c r="D14" i="8" s="1"/>
  <c r="C14" i="8" a="1"/>
  <c r="C14" i="8"/>
  <c r="EF13" i="8" a="1"/>
  <c r="EF13" i="8"/>
  <c r="EE13" i="8" a="1"/>
  <c r="EE13" i="8" s="1"/>
  <c r="ED13" i="8" a="1"/>
  <c r="ED13" i="8" s="1"/>
  <c r="EC13" i="8" a="1"/>
  <c r="EC13" i="8"/>
  <c r="EB13" i="8" a="1"/>
  <c r="EB13" i="8" s="1"/>
  <c r="EA13" i="8" a="1"/>
  <c r="EA13" i="8" s="1"/>
  <c r="DZ13" i="8" a="1"/>
  <c r="DZ13" i="8" s="1"/>
  <c r="DY13" i="8" a="1"/>
  <c r="DY13" i="8"/>
  <c r="DX13" i="8" a="1"/>
  <c r="DX13" i="8" s="1"/>
  <c r="DW13" i="8" a="1"/>
  <c r="DW13" i="8"/>
  <c r="DV13" i="8" a="1"/>
  <c r="DV13" i="8"/>
  <c r="DU13" i="8" a="1"/>
  <c r="DU13" i="8" s="1"/>
  <c r="DT13" i="8" a="1"/>
  <c r="DT13" i="8" s="1"/>
  <c r="DS13" i="8" a="1"/>
  <c r="DS13" i="8" s="1"/>
  <c r="DR13" i="8" a="1"/>
  <c r="DR13" i="8"/>
  <c r="DQ13" i="8" a="1"/>
  <c r="DQ13" i="8" s="1"/>
  <c r="DP13" i="8" a="1"/>
  <c r="DP13" i="8" s="1"/>
  <c r="DO13" i="8" a="1"/>
  <c r="DO13" i="8" s="1"/>
  <c r="DN13" i="8" a="1"/>
  <c r="DN13" i="8"/>
  <c r="DM13" i="8" a="1"/>
  <c r="DM13" i="8" s="1"/>
  <c r="DL13" i="8" a="1"/>
  <c r="DL13" i="8"/>
  <c r="DK13" i="8" a="1"/>
  <c r="DK13" i="8" s="1"/>
  <c r="DJ13" i="8" a="1"/>
  <c r="DJ13" i="8" s="1"/>
  <c r="DI13" i="8" a="1"/>
  <c r="DI13" i="8" s="1"/>
  <c r="DH13" i="8" a="1"/>
  <c r="DH13" i="8" s="1"/>
  <c r="DG13" i="8" a="1"/>
  <c r="DG13" i="8"/>
  <c r="DF13" i="8" a="1"/>
  <c r="DF13" i="8" s="1"/>
  <c r="DE13" i="8" a="1"/>
  <c r="DE13" i="8" s="1"/>
  <c r="DD13" i="8" a="1"/>
  <c r="DD13" i="8" s="1"/>
  <c r="DC13" i="8" a="1"/>
  <c r="DC13" i="8" s="1"/>
  <c r="DB13" i="8" a="1"/>
  <c r="DB13" i="8" s="1"/>
  <c r="DA13" i="8" a="1"/>
  <c r="DA13" i="8" s="1"/>
  <c r="CZ13" i="8" a="1"/>
  <c r="CZ13" i="8" s="1"/>
  <c r="CY13" i="8" a="1"/>
  <c r="CY13" i="8" s="1"/>
  <c r="CX13" i="8" a="1"/>
  <c r="CX13" i="8" s="1"/>
  <c r="CW13" i="8" a="1"/>
  <c r="CW13" i="8" s="1"/>
  <c r="CV13" i="8" a="1"/>
  <c r="CV13" i="8"/>
  <c r="CU13" i="8" a="1"/>
  <c r="CU13" i="8" s="1"/>
  <c r="CT13" i="8" a="1"/>
  <c r="CT13" i="8" s="1"/>
  <c r="CS13" i="8" a="1"/>
  <c r="CS13" i="8" s="1"/>
  <c r="CR13" i="8" a="1"/>
  <c r="CR13" i="8" s="1"/>
  <c r="CQ13" i="8" a="1"/>
  <c r="CQ13" i="8" s="1"/>
  <c r="CP13" i="8" a="1"/>
  <c r="CP13" i="8"/>
  <c r="CO13" i="8" a="1"/>
  <c r="CO13" i="8" s="1"/>
  <c r="CN13" i="8" a="1"/>
  <c r="CN13" i="8"/>
  <c r="CM13" i="8" a="1"/>
  <c r="CM13" i="8" s="1"/>
  <c r="CL13" i="8" a="1"/>
  <c r="CL13" i="8" s="1"/>
  <c r="CK13" i="8" a="1"/>
  <c r="CK13" i="8"/>
  <c r="CJ13" i="8" a="1"/>
  <c r="CJ13" i="8" s="1"/>
  <c r="CI13" i="8" a="1"/>
  <c r="CI13" i="8" s="1"/>
  <c r="CH13" i="8" a="1"/>
  <c r="CH13" i="8" s="1"/>
  <c r="CG13" i="8" a="1"/>
  <c r="CG13" i="8" s="1"/>
  <c r="CF13" i="8" a="1"/>
  <c r="CF13" i="8" s="1"/>
  <c r="CE13" i="8" a="1"/>
  <c r="CE13" i="8" s="1"/>
  <c r="CD13" i="8" a="1"/>
  <c r="CD13" i="8" s="1"/>
  <c r="CC13" i="8" a="1"/>
  <c r="CC13" i="8" s="1"/>
  <c r="CB13" i="8" a="1"/>
  <c r="CB13" i="8" s="1"/>
  <c r="CA13" i="8" a="1"/>
  <c r="CA13" i="8"/>
  <c r="BZ13" i="8" a="1"/>
  <c r="BZ13" i="8" s="1"/>
  <c r="BY13" i="8" a="1"/>
  <c r="BY13" i="8"/>
  <c r="BX13" i="8" a="1"/>
  <c r="BX13" i="8" s="1"/>
  <c r="BW13" i="8" a="1"/>
  <c r="BW13" i="8" s="1"/>
  <c r="BV13" i="8" a="1"/>
  <c r="BV13" i="8" s="1"/>
  <c r="BU13" i="8" a="1"/>
  <c r="BU13" i="8" s="1"/>
  <c r="BT13" i="8" a="1"/>
  <c r="BT13" i="8" s="1"/>
  <c r="BS13" i="8" a="1"/>
  <c r="BS13" i="8" s="1"/>
  <c r="BR13" i="8" a="1"/>
  <c r="BR13" i="8"/>
  <c r="BQ13" i="8" a="1"/>
  <c r="BQ13" i="8" s="1"/>
  <c r="BP13" i="8" a="1"/>
  <c r="BP13" i="8"/>
  <c r="BO13" i="8" a="1"/>
  <c r="BO13" i="8"/>
  <c r="BN13" i="8" a="1"/>
  <c r="BN13" i="8" s="1"/>
  <c r="BM13" i="8" a="1"/>
  <c r="BM13" i="8" s="1"/>
  <c r="BL13" i="8" a="1"/>
  <c r="BL13" i="8"/>
  <c r="BK13" i="8" a="1"/>
  <c r="BK13" i="8"/>
  <c r="BJ13" i="8" a="1"/>
  <c r="BJ13" i="8" s="1"/>
  <c r="BI13" i="8" a="1"/>
  <c r="BI13" i="8" s="1"/>
  <c r="BH13" i="8" a="1"/>
  <c r="BH13" i="8" s="1"/>
  <c r="BG13" i="8" a="1"/>
  <c r="BG13" i="8" s="1"/>
  <c r="BF13" i="8" a="1"/>
  <c r="BF13" i="8" s="1"/>
  <c r="BE13" i="8" a="1"/>
  <c r="BE13" i="8"/>
  <c r="BD13" i="8" a="1"/>
  <c r="BD13" i="8"/>
  <c r="BC13" i="8" a="1"/>
  <c r="BC13" i="8" s="1"/>
  <c r="BB13" i="8" a="1"/>
  <c r="BB13" i="8" s="1"/>
  <c r="BA13" i="8" a="1"/>
  <c r="BA13" i="8" s="1"/>
  <c r="AZ13" i="8" a="1"/>
  <c r="AZ13" i="8"/>
  <c r="AY13" i="8" a="1"/>
  <c r="AY13" i="8" s="1"/>
  <c r="AX13" i="8" a="1"/>
  <c r="AX13" i="8" s="1"/>
  <c r="AW13" i="8" a="1"/>
  <c r="AW13" i="8"/>
  <c r="AV13" i="8" a="1"/>
  <c r="AV13" i="8"/>
  <c r="AU13" i="8" a="1"/>
  <c r="AU13" i="8" s="1"/>
  <c r="AT13" i="8" a="1"/>
  <c r="AT13" i="8" s="1"/>
  <c r="AS13" i="8" a="1"/>
  <c r="AS13" i="8" s="1"/>
  <c r="AR13" i="8" a="1"/>
  <c r="AR13" i="8" s="1"/>
  <c r="AQ13" i="8" a="1"/>
  <c r="AQ13" i="8" s="1"/>
  <c r="AP13" i="8" a="1"/>
  <c r="AP13" i="8" s="1"/>
  <c r="AO13" i="8" a="1"/>
  <c r="AO13" i="8"/>
  <c r="AN13" i="8" a="1"/>
  <c r="AN13" i="8" s="1"/>
  <c r="AM13" i="8" a="1"/>
  <c r="AM13" i="8" s="1"/>
  <c r="AL13" i="8" a="1"/>
  <c r="AL13" i="8" s="1"/>
  <c r="AK13" i="8" a="1"/>
  <c r="AK13" i="8"/>
  <c r="AJ13" i="8" a="1"/>
  <c r="AJ13" i="8" s="1"/>
  <c r="AI13" i="8" a="1"/>
  <c r="AI13" i="8" s="1"/>
  <c r="AH13" i="8" a="1"/>
  <c r="AH13" i="8"/>
  <c r="AG13" i="8" a="1"/>
  <c r="AG13" i="8" s="1"/>
  <c r="AF13" i="8" a="1"/>
  <c r="AF13" i="8" s="1"/>
  <c r="AE13" i="8" a="1"/>
  <c r="AE13" i="8" s="1"/>
  <c r="AD13" i="8" a="1"/>
  <c r="AD13" i="8" s="1"/>
  <c r="AC13" i="8" a="1"/>
  <c r="AC13" i="8" s="1"/>
  <c r="AB13" i="8" a="1"/>
  <c r="AB13" i="8"/>
  <c r="AA13" i="8" a="1"/>
  <c r="AA13" i="8" s="1"/>
  <c r="Z13" i="8" a="1"/>
  <c r="Z13" i="8"/>
  <c r="Y13" i="8" a="1"/>
  <c r="Y13" i="8" s="1"/>
  <c r="X13" i="8" a="1"/>
  <c r="X13" i="8"/>
  <c r="W13" i="8" a="1"/>
  <c r="W13" i="8" s="1"/>
  <c r="V13" i="8" a="1"/>
  <c r="V13" i="8"/>
  <c r="U13" i="8" a="1"/>
  <c r="U13" i="8" s="1"/>
  <c r="T13" i="8" a="1"/>
  <c r="T13" i="8" s="1"/>
  <c r="S13" i="8" a="1"/>
  <c r="S13" i="8"/>
  <c r="R13" i="8" a="1"/>
  <c r="R13" i="8" s="1"/>
  <c r="Q13" i="8" a="1"/>
  <c r="Q13" i="8"/>
  <c r="P13" i="8" a="1"/>
  <c r="P13" i="8" s="1"/>
  <c r="O13" i="8" a="1"/>
  <c r="O13" i="8"/>
  <c r="N13" i="8" a="1"/>
  <c r="N13" i="8" s="1"/>
  <c r="M13" i="8" a="1"/>
  <c r="M13" i="8"/>
  <c r="L13" i="8" a="1"/>
  <c r="L13" i="8"/>
  <c r="K13" i="8" a="1"/>
  <c r="K13" i="8" s="1"/>
  <c r="J13" i="8" a="1"/>
  <c r="J13" i="8" s="1"/>
  <c r="I13" i="8" a="1"/>
  <c r="I13" i="8" s="1"/>
  <c r="H13" i="8" a="1"/>
  <c r="H13" i="8"/>
  <c r="G13" i="8" a="1"/>
  <c r="G13" i="8" s="1"/>
  <c r="F13" i="8" a="1"/>
  <c r="F13" i="8"/>
  <c r="E13" i="8" a="1"/>
  <c r="E13" i="8"/>
  <c r="D13" i="8" a="1"/>
  <c r="D13" i="8" s="1"/>
  <c r="C13" i="8" a="1"/>
  <c r="C13" i="8" s="1"/>
  <c r="EF12" i="8" a="1"/>
  <c r="EF12" i="8" s="1"/>
  <c r="EE12" i="8" a="1"/>
  <c r="EE12" i="8"/>
  <c r="ED12" i="8" a="1"/>
  <c r="ED12" i="8" s="1"/>
  <c r="EC12" i="8" a="1"/>
  <c r="EC12" i="8" s="1"/>
  <c r="EB12" i="8" a="1"/>
  <c r="EB12" i="8" s="1"/>
  <c r="EA12" i="8" a="1"/>
  <c r="EA12" i="8"/>
  <c r="DZ12" i="8" a="1"/>
  <c r="DZ12" i="8" s="1"/>
  <c r="DY12" i="8" a="1"/>
  <c r="DY12" i="8" s="1"/>
  <c r="DX12" i="8" a="1"/>
  <c r="DX12" i="8" s="1"/>
  <c r="DW12" i="8" a="1"/>
  <c r="DW12" i="8" s="1"/>
  <c r="DV12" i="8" a="1"/>
  <c r="DV12" i="8" s="1"/>
  <c r="DU12" i="8" a="1"/>
  <c r="DU12" i="8" s="1"/>
  <c r="DT12" i="8" a="1"/>
  <c r="DT12" i="8"/>
  <c r="DS12" i="8" a="1"/>
  <c r="DS12" i="8" s="1"/>
  <c r="DR12" i="8" a="1"/>
  <c r="DR12" i="8" s="1"/>
  <c r="DQ12" i="8" a="1"/>
  <c r="DQ12" i="8" s="1"/>
  <c r="DP12" i="8" a="1"/>
  <c r="DP12" i="8" s="1"/>
  <c r="DO12" i="8" a="1"/>
  <c r="DO12" i="8" s="1"/>
  <c r="DN12" i="8" a="1"/>
  <c r="DN12" i="8" s="1"/>
  <c r="DM12" i="8" a="1"/>
  <c r="DM12" i="8" s="1"/>
  <c r="DL12" i="8" a="1"/>
  <c r="DL12" i="8" s="1"/>
  <c r="DK12" i="8" a="1"/>
  <c r="DK12" i="8" s="1"/>
  <c r="DJ12" i="8" a="1"/>
  <c r="DJ12" i="8"/>
  <c r="DI12" i="8" a="1"/>
  <c r="DI12" i="8" s="1"/>
  <c r="DH12" i="8" a="1"/>
  <c r="DH12" i="8"/>
  <c r="DG12" i="8" a="1"/>
  <c r="DG12" i="8" s="1"/>
  <c r="DF12" i="8" a="1"/>
  <c r="DF12" i="8" s="1"/>
  <c r="DE12" i="8" a="1"/>
  <c r="DE12" i="8" s="1"/>
  <c r="DD12" i="8" a="1"/>
  <c r="DD12" i="8" s="1"/>
  <c r="DC12" i="8" a="1"/>
  <c r="DC12" i="8" s="1"/>
  <c r="DB12" i="8" a="1"/>
  <c r="DB12" i="8" s="1"/>
  <c r="DA12" i="8" a="1"/>
  <c r="DA12" i="8"/>
  <c r="CZ12" i="8" a="1"/>
  <c r="CZ12" i="8" s="1"/>
  <c r="CY12" i="8" a="1"/>
  <c r="CY12" i="8" s="1"/>
  <c r="CX12" i="8" a="1"/>
  <c r="CX12" i="8"/>
  <c r="CW12" i="8" a="1"/>
  <c r="CW12" i="8" s="1"/>
  <c r="CV12" i="8" a="1"/>
  <c r="CV12" i="8" s="1"/>
  <c r="CU12" i="8" a="1"/>
  <c r="CU12" i="8" s="1"/>
  <c r="CT12" i="8" a="1"/>
  <c r="CT12" i="8" s="1"/>
  <c r="CS12" i="8" a="1"/>
  <c r="CS12" i="8" s="1"/>
  <c r="CR12" i="8" a="1"/>
  <c r="CR12" i="8"/>
  <c r="CQ12" i="8" a="1"/>
  <c r="CQ12" i="8" s="1"/>
  <c r="CP12" i="8" a="1"/>
  <c r="CP12" i="8" s="1"/>
  <c r="CO12" i="8" a="1"/>
  <c r="CO12" i="8" s="1"/>
  <c r="CN12" i="8" a="1"/>
  <c r="CN12" i="8" s="1"/>
  <c r="CM12" i="8" a="1"/>
  <c r="CM12" i="8" s="1"/>
  <c r="CL12" i="8" a="1"/>
  <c r="CL12" i="8"/>
  <c r="CK12" i="8" a="1"/>
  <c r="CK12" i="8" s="1"/>
  <c r="CJ12" i="8" a="1"/>
  <c r="CJ12" i="8"/>
  <c r="CI12" i="8" a="1"/>
  <c r="CI12" i="8" s="1"/>
  <c r="CH12" i="8" a="1"/>
  <c r="CH12" i="8" s="1"/>
  <c r="CG12" i="8" a="1"/>
  <c r="CG12" i="8" s="1"/>
  <c r="CF12" i="8" a="1"/>
  <c r="CF12" i="8" s="1"/>
  <c r="CE12" i="8" a="1"/>
  <c r="CE12" i="8" s="1"/>
  <c r="CD12" i="8" a="1"/>
  <c r="CD12" i="8"/>
  <c r="CC12" i="8" a="1"/>
  <c r="CC12" i="8" s="1"/>
  <c r="CB12" i="8" a="1"/>
  <c r="CB12" i="8"/>
  <c r="CA12" i="8" a="1"/>
  <c r="CA12" i="8"/>
  <c r="BZ12" i="8" a="1"/>
  <c r="BZ12" i="8" s="1"/>
  <c r="BY12" i="8" a="1"/>
  <c r="BY12" i="8" s="1"/>
  <c r="BX12" i="8" a="1"/>
  <c r="BX12" i="8" s="1"/>
  <c r="BW12" i="8" a="1"/>
  <c r="BW12" i="8" s="1"/>
  <c r="BV12" i="8" a="1"/>
  <c r="BV12" i="8" s="1"/>
  <c r="BU12" i="8" a="1"/>
  <c r="BU12" i="8"/>
  <c r="BT12" i="8" a="1"/>
  <c r="BT12" i="8" s="1"/>
  <c r="BS12" i="8" a="1"/>
  <c r="BS12" i="8" s="1"/>
  <c r="BR12" i="8" a="1"/>
  <c r="BR12" i="8" s="1"/>
  <c r="BQ12" i="8" a="1"/>
  <c r="BQ12" i="8" s="1"/>
  <c r="BP12" i="8" a="1"/>
  <c r="BP12" i="8" s="1"/>
  <c r="BO12" i="8" a="1"/>
  <c r="BO12" i="8"/>
  <c r="BN12" i="8" a="1"/>
  <c r="BN12" i="8" s="1"/>
  <c r="BM12" i="8" a="1"/>
  <c r="BM12" i="8" s="1"/>
  <c r="BL12" i="8" a="1"/>
  <c r="BL12" i="8" s="1"/>
  <c r="BK12" i="8" a="1"/>
  <c r="BK12" i="8" s="1"/>
  <c r="BJ12" i="8" a="1"/>
  <c r="BJ12" i="8" s="1"/>
  <c r="BI12" i="8" a="1"/>
  <c r="BI12" i="8" s="1"/>
  <c r="BH12" i="8" a="1"/>
  <c r="BH12" i="8" s="1"/>
  <c r="BG12" i="8" a="1"/>
  <c r="BG12" i="8" s="1"/>
  <c r="BF12" i="8" a="1"/>
  <c r="BF12" i="8" s="1"/>
  <c r="BE12" i="8" a="1"/>
  <c r="BE12" i="8" s="1"/>
  <c r="BD12" i="8" a="1"/>
  <c r="BD12" i="8" s="1"/>
  <c r="BC12" i="8" a="1"/>
  <c r="BC12" i="8" s="1"/>
  <c r="BB12" i="8" a="1"/>
  <c r="BB12" i="8" s="1"/>
  <c r="BA12" i="8" a="1"/>
  <c r="BA12" i="8" s="1"/>
  <c r="AZ12" i="8" a="1"/>
  <c r="AZ12" i="8" s="1"/>
  <c r="AY12" i="8" a="1"/>
  <c r="AY12" i="8"/>
  <c r="AX12" i="8" a="1"/>
  <c r="AX12" i="8" s="1"/>
  <c r="AW12" i="8" a="1"/>
  <c r="AW12" i="8"/>
  <c r="AV12" i="8" a="1"/>
  <c r="AV12" i="8" s="1"/>
  <c r="AU12" i="8" a="1"/>
  <c r="AU12" i="8"/>
  <c r="AT12" i="8" a="1"/>
  <c r="AT12" i="8" s="1"/>
  <c r="AS12" i="8" a="1"/>
  <c r="AS12" i="8" s="1"/>
  <c r="AR12" i="8" a="1"/>
  <c r="AR12" i="8" s="1"/>
  <c r="AQ12" i="8" a="1"/>
  <c r="AQ12" i="8" s="1"/>
  <c r="AP12" i="8" a="1"/>
  <c r="AP12" i="8" s="1"/>
  <c r="AO12" i="8" a="1"/>
  <c r="AO12" i="8" s="1"/>
  <c r="AN12" i="8" a="1"/>
  <c r="AN12" i="8" s="1"/>
  <c r="AM12" i="8" a="1"/>
  <c r="AM12" i="8" s="1"/>
  <c r="AL12" i="8" a="1"/>
  <c r="AL12" i="8"/>
  <c r="AK12" i="8" a="1"/>
  <c r="AK12" i="8" s="1"/>
  <c r="AJ12" i="8" a="1"/>
  <c r="AJ12" i="8"/>
  <c r="AI12" i="8" a="1"/>
  <c r="AI12" i="8"/>
  <c r="AH12" i="8" a="1"/>
  <c r="AH12" i="8" s="1"/>
  <c r="AG12" i="8" a="1"/>
  <c r="AG12" i="8" s="1"/>
  <c r="AF12" i="8" a="1"/>
  <c r="AF12" i="8" s="1"/>
  <c r="AE12" i="8" a="1"/>
  <c r="AE12" i="8" s="1"/>
  <c r="AD12" i="8" a="1"/>
  <c r="AD12" i="8" s="1"/>
  <c r="AC12" i="8" a="1"/>
  <c r="AC12" i="8" s="1"/>
  <c r="AB12" i="8" a="1"/>
  <c r="AB12" i="8" s="1"/>
  <c r="AA12" i="8" a="1"/>
  <c r="AA12" i="8" s="1"/>
  <c r="Z12" i="8" a="1"/>
  <c r="Z12" i="8" s="1"/>
  <c r="Y12" i="8" a="1"/>
  <c r="Y12" i="8"/>
  <c r="X12" i="8" a="1"/>
  <c r="X12" i="8"/>
  <c r="W12" i="8" a="1"/>
  <c r="W12" i="8" s="1"/>
  <c r="V12" i="8" a="1"/>
  <c r="V12" i="8" s="1"/>
  <c r="U12" i="8" a="1"/>
  <c r="U12" i="8" s="1"/>
  <c r="T12" i="8" a="1"/>
  <c r="T12" i="8" s="1"/>
  <c r="S12" i="8" a="1"/>
  <c r="S12" i="8" s="1"/>
  <c r="R12" i="8" a="1"/>
  <c r="R12" i="8" s="1"/>
  <c r="Q12" i="8" a="1"/>
  <c r="Q12" i="8" s="1"/>
  <c r="P12" i="8" a="1"/>
  <c r="P12" i="8"/>
  <c r="O12" i="8" a="1"/>
  <c r="O12" i="8" s="1"/>
  <c r="N12" i="8" a="1"/>
  <c r="N12" i="8"/>
  <c r="M12" i="8" a="1"/>
  <c r="M12" i="8" s="1"/>
  <c r="L12" i="8" a="1"/>
  <c r="L12" i="8" s="1"/>
  <c r="K12" i="8" a="1"/>
  <c r="K12" i="8" s="1"/>
  <c r="J12" i="8" a="1"/>
  <c r="J12" i="8" s="1"/>
  <c r="I12" i="8" a="1"/>
  <c r="I12" i="8" s="1"/>
  <c r="H12" i="8" a="1"/>
  <c r="H12" i="8" s="1"/>
  <c r="G12" i="8" a="1"/>
  <c r="G12" i="8" s="1"/>
  <c r="F12" i="8" a="1"/>
  <c r="F12" i="8" s="1"/>
  <c r="E12" i="8" a="1"/>
  <c r="E12" i="8"/>
  <c r="D12" i="8" a="1"/>
  <c r="D12" i="8" s="1"/>
  <c r="C12" i="8" a="1"/>
  <c r="C12" i="8"/>
  <c r="EC8" i="8"/>
  <c r="DZ8" i="8"/>
  <c r="DR8" i="8"/>
  <c r="CL8" i="8"/>
  <c r="CK8" i="8"/>
  <c r="BA8" i="8"/>
  <c r="AT8" i="8"/>
  <c r="AS8" i="8"/>
  <c r="AP8" i="8"/>
  <c r="I8" i="8"/>
  <c r="EF7" i="8"/>
  <c r="EE7" i="8"/>
  <c r="DI7" i="8"/>
  <c r="CY7" i="8"/>
  <c r="CX7" i="8"/>
  <c r="CU7" i="8"/>
  <c r="CN7" i="8"/>
  <c r="CC7" i="8"/>
  <c r="BR7" i="8"/>
  <c r="BN7" i="8"/>
  <c r="BG7" i="8"/>
  <c r="BF7" i="8"/>
  <c r="BC7" i="8"/>
  <c r="O7" i="8"/>
  <c r="EF6" i="8" a="1"/>
  <c r="EF6" i="8" s="1"/>
  <c r="EF8" i="8" s="1"/>
  <c r="EE6" i="8" a="1"/>
  <c r="EE6" i="8" s="1"/>
  <c r="EE8" i="8" s="1"/>
  <c r="ED6" i="8" a="1"/>
  <c r="ED6" i="8" s="1"/>
  <c r="ED7" i="8" s="1"/>
  <c r="EC6" i="8" a="1"/>
  <c r="EC6" i="8" s="1"/>
  <c r="EC7" i="8" s="1"/>
  <c r="EB6" i="8" a="1"/>
  <c r="EB6" i="8"/>
  <c r="EA6" i="8" a="1"/>
  <c r="EA6" i="8" s="1"/>
  <c r="DZ6" i="8" a="1"/>
  <c r="DZ6" i="8"/>
  <c r="DZ7" i="8" s="1"/>
  <c r="DY6" i="8" a="1"/>
  <c r="DY6" i="8" s="1"/>
  <c r="DX6" i="8" a="1"/>
  <c r="DX6" i="8"/>
  <c r="DX8" i="8" s="1"/>
  <c r="DW6" i="8" a="1"/>
  <c r="DW6" i="8"/>
  <c r="DV6" i="8" a="1"/>
  <c r="DV6" i="8"/>
  <c r="DU6" i="8" a="1"/>
  <c r="DU6" i="8" s="1"/>
  <c r="DT6" i="8" a="1"/>
  <c r="DT6" i="8" s="1"/>
  <c r="DS6" i="8" a="1"/>
  <c r="DS6" i="8" s="1"/>
  <c r="DS7" i="8" s="1"/>
  <c r="DR6" i="8" a="1"/>
  <c r="DR6" i="8" s="1"/>
  <c r="DR7" i="8" s="1"/>
  <c r="DQ6" i="8" a="1"/>
  <c r="DQ6" i="8"/>
  <c r="DQ8" i="8" s="1"/>
  <c r="DP6" i="8" a="1"/>
  <c r="DP6" i="8" s="1"/>
  <c r="DO6" i="8" a="1"/>
  <c r="DO6" i="8"/>
  <c r="DO7" i="8" s="1"/>
  <c r="DN6" i="8" a="1"/>
  <c r="DN6" i="8" s="1"/>
  <c r="DM6" i="8" a="1"/>
  <c r="DM6" i="8"/>
  <c r="DM8" i="8" s="1"/>
  <c r="DL6" i="8" a="1"/>
  <c r="DL6" i="8"/>
  <c r="DK6" i="8" a="1"/>
  <c r="DK6" i="8" s="1"/>
  <c r="DJ6" i="8" a="1"/>
  <c r="DJ6" i="8" s="1"/>
  <c r="DJ8" i="8" s="1"/>
  <c r="DI6" i="8" a="1"/>
  <c r="DI6" i="8" s="1"/>
  <c r="DI8" i="8" s="1"/>
  <c r="DH6" i="8" a="1"/>
  <c r="DH6" i="8" s="1"/>
  <c r="DH7" i="8" s="1"/>
  <c r="DG6" i="8" a="1"/>
  <c r="DG6" i="8" s="1"/>
  <c r="DG7" i="8" s="1"/>
  <c r="DF6" i="8" a="1"/>
  <c r="DF6" i="8"/>
  <c r="DE6" i="8" a="1"/>
  <c r="DE6" i="8" s="1"/>
  <c r="DD6" i="8" a="1"/>
  <c r="DD6" i="8"/>
  <c r="DC6" i="8" a="1"/>
  <c r="DC6" i="8" s="1"/>
  <c r="DB6" i="8" a="1"/>
  <c r="DB6" i="8"/>
  <c r="DB8" i="8" s="1"/>
  <c r="DA6" i="8" a="1"/>
  <c r="DA6" i="8"/>
  <c r="CZ6" i="8" a="1"/>
  <c r="CZ6" i="8" s="1"/>
  <c r="CY6" i="8" a="1"/>
  <c r="CY6" i="8" s="1"/>
  <c r="CY8" i="8" s="1"/>
  <c r="CX6" i="8" a="1"/>
  <c r="CX6" i="8" s="1"/>
  <c r="CX8" i="8" s="1"/>
  <c r="CW6" i="8" a="1"/>
  <c r="CW6" i="8" s="1"/>
  <c r="CV6" i="8" a="1"/>
  <c r="CV6" i="8" s="1"/>
  <c r="CU6" i="8" a="1"/>
  <c r="CU6" i="8" s="1"/>
  <c r="CU8" i="8" s="1"/>
  <c r="CT6" i="8" a="1"/>
  <c r="CT6" i="8" s="1"/>
  <c r="CS6" i="8" a="1"/>
  <c r="CS6" i="8"/>
  <c r="CS7" i="8" s="1"/>
  <c r="CR6" i="8" a="1"/>
  <c r="CR6" i="8" s="1"/>
  <c r="CQ6" i="8" a="1"/>
  <c r="CQ6" i="8"/>
  <c r="CQ8" i="8" s="1"/>
  <c r="CP6" i="8" a="1"/>
  <c r="CP6" i="8"/>
  <c r="CO6" i="8" a="1"/>
  <c r="CO6" i="8" s="1"/>
  <c r="CN6" i="8" a="1"/>
  <c r="CN6" i="8" s="1"/>
  <c r="CN8" i="8" s="1"/>
  <c r="CM6" i="8" a="1"/>
  <c r="CM6" i="8" s="1"/>
  <c r="CM8" i="8" s="1"/>
  <c r="CL6" i="8" a="1"/>
  <c r="CL6" i="8" s="1"/>
  <c r="CL7" i="8" s="1"/>
  <c r="CK6" i="8" a="1"/>
  <c r="CK6" i="8" s="1"/>
  <c r="CK7" i="8" s="1"/>
  <c r="CJ6" i="8" a="1"/>
  <c r="CJ6" i="8" s="1"/>
  <c r="CI6" i="8" a="1"/>
  <c r="CI6" i="8" s="1"/>
  <c r="CH6" i="8" a="1"/>
  <c r="CH6" i="8"/>
  <c r="CG6" i="8" a="1"/>
  <c r="CG6" i="8" s="1"/>
  <c r="CF6" i="8" a="1"/>
  <c r="CF6" i="8"/>
  <c r="CF8" i="8" s="1"/>
  <c r="CE6" i="8" a="1"/>
  <c r="CE6" i="8"/>
  <c r="CD6" i="8" a="1"/>
  <c r="CD6" i="8"/>
  <c r="CC6" i="8" a="1"/>
  <c r="CC6" i="8" s="1"/>
  <c r="CC8" i="8" s="1"/>
  <c r="CB6" i="8" a="1"/>
  <c r="CB6" i="8" s="1"/>
  <c r="CA6" i="8" a="1"/>
  <c r="CA6" i="8" s="1"/>
  <c r="BZ6" i="8" a="1"/>
  <c r="BZ6" i="8" s="1"/>
  <c r="BY6" i="8" a="1"/>
  <c r="BY6" i="8" s="1"/>
  <c r="BX6" i="8" a="1"/>
  <c r="BX6" i="8" s="1"/>
  <c r="BW6" i="8" a="1"/>
  <c r="BW6" i="8"/>
  <c r="BW7" i="8" s="1"/>
  <c r="BV6" i="8" a="1"/>
  <c r="BV6" i="8" s="1"/>
  <c r="BU6" i="8" a="1"/>
  <c r="BU6" i="8"/>
  <c r="BT6" i="8" a="1"/>
  <c r="BT6" i="8"/>
  <c r="BS6" i="8" a="1"/>
  <c r="BS6" i="8"/>
  <c r="BR6" i="8" a="1"/>
  <c r="BR6" i="8" s="1"/>
  <c r="BR8" i="8" s="1"/>
  <c r="BQ6" i="8" a="1"/>
  <c r="BQ6" i="8" s="1"/>
  <c r="BQ8" i="8" s="1"/>
  <c r="BP6" i="8" a="1"/>
  <c r="BP6" i="8" s="1"/>
  <c r="BP7" i="8" s="1"/>
  <c r="BO6" i="8" a="1"/>
  <c r="BO6" i="8" s="1"/>
  <c r="BO7" i="8" s="1"/>
  <c r="BN6" i="8" a="1"/>
  <c r="BN6" i="8"/>
  <c r="BN8" i="8" s="1"/>
  <c r="BM6" i="8" a="1"/>
  <c r="BM6" i="8" s="1"/>
  <c r="BL6" i="8" a="1"/>
  <c r="BL6" i="8"/>
  <c r="BK6" i="8" a="1"/>
  <c r="BK6" i="8"/>
  <c r="BJ6" i="8" a="1"/>
  <c r="BJ6" i="8"/>
  <c r="BI6" i="8" a="1"/>
  <c r="BI6" i="8"/>
  <c r="BH6" i="8" a="1"/>
  <c r="BH6" i="8"/>
  <c r="BG6" i="8" a="1"/>
  <c r="BG6" i="8" s="1"/>
  <c r="BG8" i="8" s="1"/>
  <c r="BF6" i="8" a="1"/>
  <c r="BF6" i="8"/>
  <c r="BF8" i="8" s="1"/>
  <c r="BE6" i="8" a="1"/>
  <c r="BE6" i="8" s="1"/>
  <c r="BD6" i="8" a="1"/>
  <c r="BD6" i="8" s="1"/>
  <c r="BC6" i="8" a="1"/>
  <c r="BC6" i="8" s="1"/>
  <c r="BC8" i="8" s="1"/>
  <c r="BB6" i="8" a="1"/>
  <c r="BB6" i="8" s="1"/>
  <c r="BA6" i="8" a="1"/>
  <c r="BA6" i="8"/>
  <c r="BA7" i="8" s="1"/>
  <c r="AZ6" i="8" a="1"/>
  <c r="AZ6" i="8"/>
  <c r="AY6" i="8" a="1"/>
  <c r="AY6" i="8"/>
  <c r="AX6" i="8" a="1"/>
  <c r="AX6" i="8"/>
  <c r="AW6" i="8" a="1"/>
  <c r="AW6" i="8"/>
  <c r="AV6" i="8" a="1"/>
  <c r="AV6" i="8" s="1"/>
  <c r="AV8" i="8" s="1"/>
  <c r="AU6" i="8" a="1"/>
  <c r="AU6" i="8"/>
  <c r="AU8" i="8" s="1"/>
  <c r="AT6" i="8" a="1"/>
  <c r="AT6" i="8" s="1"/>
  <c r="AT7" i="8" s="1"/>
  <c r="AS6" i="8" a="1"/>
  <c r="AS6" i="8" s="1"/>
  <c r="AS7" i="8" s="1"/>
  <c r="AR6" i="8" a="1"/>
  <c r="AR6" i="8"/>
  <c r="AQ6" i="8" a="1"/>
  <c r="AQ6" i="8" s="1"/>
  <c r="AP6" i="8" a="1"/>
  <c r="AP6" i="8"/>
  <c r="AP7" i="8" s="1"/>
  <c r="AO6" i="8" a="1"/>
  <c r="AO6" i="8" s="1"/>
  <c r="AN6" i="8" a="1"/>
  <c r="AN6" i="8"/>
  <c r="AM6" i="8" a="1"/>
  <c r="AM6" i="8"/>
  <c r="AL6" i="8" a="1"/>
  <c r="AL6" i="8" s="1"/>
  <c r="AK6" i="8" a="1"/>
  <c r="AK6" i="8" s="1"/>
  <c r="AK8" i="8" s="1"/>
  <c r="AJ6" i="8" a="1"/>
  <c r="AJ6" i="8"/>
  <c r="AJ8" i="8" s="1"/>
  <c r="AI6" i="8" a="1"/>
  <c r="AI6" i="8" s="1"/>
  <c r="AI7" i="8" s="1"/>
  <c r="AH6" i="8" a="1"/>
  <c r="AH6" i="8" s="1"/>
  <c r="AH7" i="8" s="1"/>
  <c r="AG6" i="8" a="1"/>
  <c r="AG6" i="8" s="1"/>
  <c r="AF6" i="8" a="1"/>
  <c r="AF6" i="8"/>
  <c r="AE6" i="8" a="1"/>
  <c r="AE6" i="8"/>
  <c r="AD6" i="8" a="1"/>
  <c r="AD6" i="8" s="1"/>
  <c r="AC6" i="8" a="1"/>
  <c r="AC6" i="8"/>
  <c r="AB6" i="8" a="1"/>
  <c r="AB6" i="8"/>
  <c r="AA6" i="8" a="1"/>
  <c r="AA6" i="8"/>
  <c r="Z6" i="8" a="1"/>
  <c r="Z6" i="8" s="1"/>
  <c r="Y6" i="8" a="1"/>
  <c r="Y6" i="8" s="1"/>
  <c r="X6" i="8" a="1"/>
  <c r="X6" i="8" s="1"/>
  <c r="X7" i="8" s="1"/>
  <c r="W6" i="8" a="1"/>
  <c r="W6" i="8"/>
  <c r="W7" i="8" s="1"/>
  <c r="V6" i="8" a="1"/>
  <c r="V6" i="8" s="1"/>
  <c r="U6" i="8" a="1"/>
  <c r="U6" i="8" s="1"/>
  <c r="T6" i="8" a="1"/>
  <c r="T6" i="8"/>
  <c r="S6" i="8" a="1"/>
  <c r="S6" i="8"/>
  <c r="R6" i="8" a="1"/>
  <c r="R6" i="8"/>
  <c r="Q6" i="8" a="1"/>
  <c r="Q6" i="8" s="1"/>
  <c r="P6" i="8" a="1"/>
  <c r="P6" i="8"/>
  <c r="O6" i="8" a="1"/>
  <c r="O6" i="8" s="1"/>
  <c r="O8" i="8" s="1"/>
  <c r="N6" i="8" a="1"/>
  <c r="N6" i="8"/>
  <c r="N8" i="8" s="1"/>
  <c r="M6" i="8" a="1"/>
  <c r="M6" i="8" s="1"/>
  <c r="L6" i="8" a="1"/>
  <c r="L6" i="8" s="1"/>
  <c r="L7" i="8" s="1"/>
  <c r="K6" i="8" a="1"/>
  <c r="K6" i="8"/>
  <c r="K8" i="8" s="1"/>
  <c r="J6" i="8" a="1"/>
  <c r="J6" i="8" s="1"/>
  <c r="I6" i="8" a="1"/>
  <c r="I6" i="8"/>
  <c r="I7" i="8" s="1"/>
  <c r="H6" i="8" a="1"/>
  <c r="H6" i="8"/>
  <c r="G6" i="8" a="1"/>
  <c r="G6" i="8"/>
  <c r="F6" i="8" a="1"/>
  <c r="F6" i="8" s="1"/>
  <c r="E6" i="8" a="1"/>
  <c r="E6" i="8" s="1"/>
  <c r="D6" i="8" a="1"/>
  <c r="D6" i="8" s="1"/>
  <c r="D8" i="8" s="1"/>
  <c r="C6" i="8" a="1"/>
  <c r="C6" i="8" s="1"/>
  <c r="EF19" i="7"/>
  <c r="EE19" i="7"/>
  <c r="ED19" i="7"/>
  <c r="EC19" i="7"/>
  <c r="EB19" i="7"/>
  <c r="EA19" i="7"/>
  <c r="DZ19" i="7"/>
  <c r="DY19" i="7"/>
  <c r="DX19" i="7"/>
  <c r="DW19" i="7"/>
  <c r="DV19" i="7"/>
  <c r="DU19" i="7"/>
  <c r="DT19" i="7"/>
  <c r="DS19" i="7"/>
  <c r="DR19" i="7"/>
  <c r="DQ19" i="7"/>
  <c r="DP19" i="7"/>
  <c r="DO19" i="7"/>
  <c r="DN19" i="7"/>
  <c r="DM19" i="7"/>
  <c r="DL19" i="7"/>
  <c r="DK19" i="7"/>
  <c r="DJ19" i="7"/>
  <c r="DI19" i="7"/>
  <c r="DH19" i="7"/>
  <c r="DG19" i="7"/>
  <c r="DF19" i="7"/>
  <c r="DE19" i="7"/>
  <c r="DD19" i="7"/>
  <c r="DC19" i="7"/>
  <c r="DB19" i="7"/>
  <c r="DA19" i="7"/>
  <c r="CZ19" i="7"/>
  <c r="CY19" i="7"/>
  <c r="CX19" i="7"/>
  <c r="CW19" i="7"/>
  <c r="CV19" i="7"/>
  <c r="CU19" i="7"/>
  <c r="CT19" i="7"/>
  <c r="CS19" i="7"/>
  <c r="CR19" i="7"/>
  <c r="CQ19" i="7"/>
  <c r="CP19" i="7"/>
  <c r="CO19" i="7"/>
  <c r="CN19" i="7"/>
  <c r="CM19" i="7"/>
  <c r="CL19" i="7"/>
  <c r="CK19" i="7"/>
  <c r="CJ19" i="7"/>
  <c r="CI19" i="7"/>
  <c r="CH19" i="7"/>
  <c r="CG19" i="7"/>
  <c r="CF19" i="7"/>
  <c r="CE19" i="7"/>
  <c r="CD19" i="7"/>
  <c r="CC19" i="7"/>
  <c r="CB19" i="7"/>
  <c r="CA19" i="7"/>
  <c r="BZ19" i="7"/>
  <c r="BY19" i="7"/>
  <c r="BX19" i="7"/>
  <c r="BW19" i="7"/>
  <c r="BV19" i="7"/>
  <c r="BU19" i="7"/>
  <c r="BT19" i="7"/>
  <c r="BS19" i="7"/>
  <c r="BR19" i="7"/>
  <c r="BQ19" i="7"/>
  <c r="BP19" i="7"/>
  <c r="BO19" i="7"/>
  <c r="BN19" i="7"/>
  <c r="BM19" i="7"/>
  <c r="BL19" i="7"/>
  <c r="BK19" i="7"/>
  <c r="BJ19" i="7"/>
  <c r="BI19" i="7"/>
  <c r="BH19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EF18" i="7"/>
  <c r="EE18" i="7"/>
  <c r="ED18" i="7"/>
  <c r="EC18" i="7"/>
  <c r="EB18" i="7"/>
  <c r="EA18" i="7"/>
  <c r="DZ18" i="7"/>
  <c r="DY18" i="7"/>
  <c r="DX18" i="7"/>
  <c r="DW18" i="7"/>
  <c r="DV18" i="7"/>
  <c r="DU18" i="7"/>
  <c r="DT18" i="7"/>
  <c r="DS18" i="7"/>
  <c r="DR18" i="7"/>
  <c r="DQ18" i="7"/>
  <c r="DP18" i="7"/>
  <c r="DO18" i="7"/>
  <c r="DN18" i="7"/>
  <c r="DM18" i="7"/>
  <c r="DL18" i="7"/>
  <c r="DK18" i="7"/>
  <c r="DJ18" i="7"/>
  <c r="DI18" i="7"/>
  <c r="DH18" i="7"/>
  <c r="DG18" i="7"/>
  <c r="DF18" i="7"/>
  <c r="DE18" i="7"/>
  <c r="DD18" i="7"/>
  <c r="DC18" i="7"/>
  <c r="DB18" i="7"/>
  <c r="DA18" i="7"/>
  <c r="CZ18" i="7"/>
  <c r="CY18" i="7"/>
  <c r="CX18" i="7"/>
  <c r="CW18" i="7"/>
  <c r="CV18" i="7"/>
  <c r="CU18" i="7"/>
  <c r="CT18" i="7"/>
  <c r="CS18" i="7"/>
  <c r="CR18" i="7"/>
  <c r="CQ18" i="7"/>
  <c r="CP18" i="7"/>
  <c r="CO18" i="7"/>
  <c r="CN18" i="7"/>
  <c r="CM18" i="7"/>
  <c r="CL18" i="7"/>
  <c r="CK18" i="7"/>
  <c r="CJ18" i="7"/>
  <c r="CI18" i="7"/>
  <c r="CH18" i="7"/>
  <c r="CG18" i="7"/>
  <c r="CF18" i="7"/>
  <c r="CE18" i="7"/>
  <c r="CD18" i="7"/>
  <c r="CC18" i="7"/>
  <c r="CB18" i="7"/>
  <c r="CA18" i="7"/>
  <c r="BZ18" i="7"/>
  <c r="BY18" i="7"/>
  <c r="BX18" i="7"/>
  <c r="BW18" i="7"/>
  <c r="BV18" i="7"/>
  <c r="BU18" i="7"/>
  <c r="BT18" i="7"/>
  <c r="BS18" i="7"/>
  <c r="BR18" i="7"/>
  <c r="BQ18" i="7"/>
  <c r="BP18" i="7"/>
  <c r="BO18" i="7"/>
  <c r="BN18" i="7"/>
  <c r="BM18" i="7"/>
  <c r="BL18" i="7"/>
  <c r="BK18" i="7"/>
  <c r="BJ18" i="7"/>
  <c r="BI18" i="7"/>
  <c r="BH18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EF17" i="7"/>
  <c r="EE17" i="7"/>
  <c r="ED17" i="7"/>
  <c r="EC17" i="7"/>
  <c r="EB17" i="7"/>
  <c r="EA17" i="7"/>
  <c r="DZ17" i="7"/>
  <c r="DY17" i="7"/>
  <c r="DX17" i="7"/>
  <c r="DW17" i="7"/>
  <c r="DV17" i="7"/>
  <c r="DU17" i="7"/>
  <c r="DT17" i="7"/>
  <c r="DS17" i="7"/>
  <c r="DR17" i="7"/>
  <c r="DQ17" i="7"/>
  <c r="DP17" i="7"/>
  <c r="DO17" i="7"/>
  <c r="DN17" i="7"/>
  <c r="DM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Z17" i="7"/>
  <c r="CY17" i="7"/>
  <c r="CX17" i="7"/>
  <c r="CW17" i="7"/>
  <c r="CV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V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EF15" i="7"/>
  <c r="EE15" i="7"/>
  <c r="ED15" i="7"/>
  <c r="EC15" i="7"/>
  <c r="EB15" i="7"/>
  <c r="EA15" i="7"/>
  <c r="DZ15" i="7"/>
  <c r="DY15" i="7"/>
  <c r="DX15" i="7"/>
  <c r="DW15" i="7"/>
  <c r="DV15" i="7"/>
  <c r="DU15" i="7"/>
  <c r="DT15" i="7"/>
  <c r="DS15" i="7"/>
  <c r="DR15" i="7"/>
  <c r="DQ15" i="7"/>
  <c r="DP15" i="7"/>
  <c r="DO15" i="7"/>
  <c r="DN15" i="7"/>
  <c r="DM15" i="7"/>
  <c r="DL15" i="7"/>
  <c r="DK15" i="7"/>
  <c r="DJ15" i="7"/>
  <c r="DI15" i="7"/>
  <c r="DH15" i="7"/>
  <c r="DG15" i="7"/>
  <c r="DF15" i="7"/>
  <c r="DE15" i="7"/>
  <c r="DD15" i="7"/>
  <c r="DC15" i="7"/>
  <c r="DB15" i="7"/>
  <c r="DA15" i="7"/>
  <c r="CZ15" i="7"/>
  <c r="CY15" i="7"/>
  <c r="CX15" i="7"/>
  <c r="CW15" i="7"/>
  <c r="CV15" i="7"/>
  <c r="CU15" i="7"/>
  <c r="CT15" i="7"/>
  <c r="CS15" i="7"/>
  <c r="CR15" i="7"/>
  <c r="CQ15" i="7"/>
  <c r="CP15" i="7"/>
  <c r="CO15" i="7"/>
  <c r="CN15" i="7"/>
  <c r="CM15" i="7"/>
  <c r="CL15" i="7"/>
  <c r="CK15" i="7"/>
  <c r="CJ15" i="7"/>
  <c r="CI15" i="7"/>
  <c r="CH15" i="7"/>
  <c r="CG15" i="7"/>
  <c r="CF15" i="7"/>
  <c r="CE15" i="7"/>
  <c r="CD15" i="7"/>
  <c r="CC15" i="7"/>
  <c r="CB15" i="7"/>
  <c r="CA15" i="7"/>
  <c r="BZ15" i="7"/>
  <c r="BY15" i="7"/>
  <c r="BX15" i="7"/>
  <c r="BW15" i="7"/>
  <c r="BV15" i="7"/>
  <c r="BU15" i="7"/>
  <c r="BT15" i="7"/>
  <c r="BS15" i="7"/>
  <c r="BR15" i="7"/>
  <c r="BQ15" i="7"/>
  <c r="BP15" i="7"/>
  <c r="BO15" i="7"/>
  <c r="BN15" i="7"/>
  <c r="BM15" i="7"/>
  <c r="BL15" i="7"/>
  <c r="BK15" i="7"/>
  <c r="BJ15" i="7"/>
  <c r="BI15" i="7"/>
  <c r="BH15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EF14" i="7"/>
  <c r="EE14" i="7"/>
  <c r="ED14" i="7"/>
  <c r="EC14" i="7"/>
  <c r="EB14" i="7"/>
  <c r="EA14" i="7"/>
  <c r="DZ14" i="7"/>
  <c r="DY14" i="7"/>
  <c r="DX14" i="7"/>
  <c r="DW14" i="7"/>
  <c r="DV14" i="7"/>
  <c r="DU14" i="7"/>
  <c r="DT14" i="7"/>
  <c r="DS14" i="7"/>
  <c r="DR14" i="7"/>
  <c r="DQ14" i="7"/>
  <c r="DP14" i="7"/>
  <c r="DO14" i="7"/>
  <c r="DN14" i="7"/>
  <c r="DM14" i="7"/>
  <c r="DL14" i="7"/>
  <c r="DK14" i="7"/>
  <c r="DJ14" i="7"/>
  <c r="DI14" i="7"/>
  <c r="DH14" i="7"/>
  <c r="DG14" i="7"/>
  <c r="DF14" i="7"/>
  <c r="DE14" i="7"/>
  <c r="DD14" i="7"/>
  <c r="DC14" i="7"/>
  <c r="DB14" i="7"/>
  <c r="DA14" i="7"/>
  <c r="CZ14" i="7"/>
  <c r="CY14" i="7"/>
  <c r="CX14" i="7"/>
  <c r="CW14" i="7"/>
  <c r="CV14" i="7"/>
  <c r="CU14" i="7"/>
  <c r="CT14" i="7"/>
  <c r="CS14" i="7"/>
  <c r="CR14" i="7"/>
  <c r="CQ14" i="7"/>
  <c r="CP14" i="7"/>
  <c r="CO14" i="7"/>
  <c r="CN14" i="7"/>
  <c r="CM14" i="7"/>
  <c r="CL14" i="7"/>
  <c r="CK14" i="7"/>
  <c r="CJ14" i="7"/>
  <c r="CI14" i="7"/>
  <c r="CH14" i="7"/>
  <c r="CG14" i="7"/>
  <c r="CF14" i="7"/>
  <c r="CE14" i="7"/>
  <c r="CD14" i="7"/>
  <c r="CC14" i="7"/>
  <c r="CB14" i="7"/>
  <c r="CA14" i="7"/>
  <c r="BZ14" i="7"/>
  <c r="BY14" i="7"/>
  <c r="BX14" i="7"/>
  <c r="BW14" i="7"/>
  <c r="BV14" i="7"/>
  <c r="BU14" i="7"/>
  <c r="BT14" i="7"/>
  <c r="BS14" i="7"/>
  <c r="BR14" i="7"/>
  <c r="BQ14" i="7"/>
  <c r="BP14" i="7"/>
  <c r="BO14" i="7"/>
  <c r="BN14" i="7"/>
  <c r="BM14" i="7"/>
  <c r="BL14" i="7"/>
  <c r="BK14" i="7"/>
  <c r="BJ14" i="7"/>
  <c r="BI14" i="7"/>
  <c r="BH14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EF13" i="7"/>
  <c r="EE13" i="7"/>
  <c r="ED13" i="7"/>
  <c r="EC13" i="7"/>
  <c r="EB13" i="7"/>
  <c r="EA13" i="7"/>
  <c r="DZ13" i="7"/>
  <c r="DY13" i="7"/>
  <c r="DX13" i="7"/>
  <c r="DW13" i="7"/>
  <c r="DV13" i="7"/>
  <c r="DU13" i="7"/>
  <c r="DT13" i="7"/>
  <c r="DS13" i="7"/>
  <c r="DR13" i="7"/>
  <c r="DQ13" i="7"/>
  <c r="DP13" i="7"/>
  <c r="DO13" i="7"/>
  <c r="DN13" i="7"/>
  <c r="DM13" i="7"/>
  <c r="DL13" i="7"/>
  <c r="DK13" i="7"/>
  <c r="DJ13" i="7"/>
  <c r="DI13" i="7"/>
  <c r="DH13" i="7"/>
  <c r="DG13" i="7"/>
  <c r="DF13" i="7"/>
  <c r="DE13" i="7"/>
  <c r="DD13" i="7"/>
  <c r="DC13" i="7"/>
  <c r="DB13" i="7"/>
  <c r="DA13" i="7"/>
  <c r="CZ13" i="7"/>
  <c r="CY13" i="7"/>
  <c r="CX13" i="7"/>
  <c r="CW13" i="7"/>
  <c r="CV13" i="7"/>
  <c r="CU13" i="7"/>
  <c r="CT13" i="7"/>
  <c r="CS13" i="7"/>
  <c r="CR13" i="7"/>
  <c r="CQ13" i="7"/>
  <c r="CP13" i="7"/>
  <c r="CO13" i="7"/>
  <c r="CN13" i="7"/>
  <c r="CM13" i="7"/>
  <c r="CL13" i="7"/>
  <c r="CK13" i="7"/>
  <c r="CJ13" i="7"/>
  <c r="CI13" i="7"/>
  <c r="CH13" i="7"/>
  <c r="CG13" i="7"/>
  <c r="CF13" i="7"/>
  <c r="CE13" i="7"/>
  <c r="CD13" i="7"/>
  <c r="CC13" i="7"/>
  <c r="CB13" i="7"/>
  <c r="CA13" i="7"/>
  <c r="BZ13" i="7"/>
  <c r="BY13" i="7"/>
  <c r="BX13" i="7"/>
  <c r="BW13" i="7"/>
  <c r="BV13" i="7"/>
  <c r="BU13" i="7"/>
  <c r="BT13" i="7"/>
  <c r="BS13" i="7"/>
  <c r="BR13" i="7"/>
  <c r="BQ13" i="7"/>
  <c r="BP13" i="7"/>
  <c r="BO13" i="7"/>
  <c r="BN13" i="7"/>
  <c r="BM13" i="7"/>
  <c r="BL13" i="7"/>
  <c r="BK13" i="7"/>
  <c r="BJ13" i="7"/>
  <c r="BI13" i="7"/>
  <c r="BH13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D25" i="5"/>
  <c r="E25" i="5" s="1"/>
  <c r="F25" i="5" s="1"/>
  <c r="G25" i="5" s="1"/>
  <c r="H25" i="5" s="1"/>
  <c r="I25" i="5" s="1"/>
  <c r="J25" i="5" s="1"/>
  <c r="K25" i="5" s="1"/>
  <c r="L25" i="5" s="1"/>
  <c r="M25" i="5" s="1"/>
  <c r="N25" i="5" s="1"/>
  <c r="O25" i="5" s="1"/>
  <c r="P25" i="5" s="1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AA25" i="5" s="1"/>
  <c r="AB25" i="5" s="1"/>
  <c r="AC25" i="5" s="1"/>
  <c r="AD25" i="5" s="1"/>
  <c r="AE25" i="5" s="1"/>
  <c r="AF25" i="5" s="1"/>
  <c r="AG25" i="5" s="1"/>
  <c r="AH25" i="5" s="1"/>
  <c r="AI25" i="5" s="1"/>
  <c r="AJ25" i="5" s="1"/>
  <c r="AK25" i="5" s="1"/>
  <c r="AL25" i="5" s="1"/>
  <c r="AM25" i="5" s="1"/>
  <c r="AN25" i="5" s="1"/>
  <c r="AO25" i="5" s="1"/>
  <c r="AP25" i="5" s="1"/>
  <c r="AQ25" i="5" s="1"/>
  <c r="AR25" i="5" s="1"/>
  <c r="AS25" i="5" s="1"/>
  <c r="AT25" i="5" s="1"/>
  <c r="AU25" i="5" s="1"/>
  <c r="AV25" i="5" s="1"/>
  <c r="AW25" i="5" s="1"/>
  <c r="AX25" i="5" s="1"/>
  <c r="AY25" i="5" s="1"/>
  <c r="AZ25" i="5" s="1"/>
  <c r="BA25" i="5" s="1"/>
  <c r="BB25" i="5" s="1"/>
  <c r="BC25" i="5" s="1"/>
  <c r="BD25" i="5" s="1"/>
  <c r="BE25" i="5" s="1"/>
  <c r="BF25" i="5" s="1"/>
  <c r="BG25" i="5" s="1"/>
  <c r="BH25" i="5" s="1"/>
  <c r="BI25" i="5" s="1"/>
  <c r="BJ25" i="5" s="1"/>
  <c r="BK25" i="5" s="1"/>
  <c r="BL25" i="5" s="1"/>
  <c r="BM25" i="5" s="1"/>
  <c r="BN25" i="5" s="1"/>
  <c r="BO25" i="5" s="1"/>
  <c r="BP25" i="5" s="1"/>
  <c r="BQ25" i="5" s="1"/>
  <c r="BR25" i="5" s="1"/>
  <c r="BS25" i="5" s="1"/>
  <c r="BT25" i="5" s="1"/>
  <c r="BU25" i="5" s="1"/>
  <c r="BV25" i="5" s="1"/>
  <c r="BW25" i="5" s="1"/>
  <c r="BX25" i="5" s="1"/>
  <c r="BY25" i="5" s="1"/>
  <c r="BZ25" i="5" s="1"/>
  <c r="CA25" i="5" s="1"/>
  <c r="CB25" i="5" s="1"/>
  <c r="CC25" i="5" s="1"/>
  <c r="CD25" i="5" s="1"/>
  <c r="CE25" i="5" s="1"/>
  <c r="CF25" i="5" s="1"/>
  <c r="CG25" i="5" s="1"/>
  <c r="CH25" i="5" s="1"/>
  <c r="CI25" i="5" s="1"/>
  <c r="CJ25" i="5" s="1"/>
  <c r="CK25" i="5" s="1"/>
  <c r="CL25" i="5" s="1"/>
  <c r="CM25" i="5" s="1"/>
  <c r="CN25" i="5" s="1"/>
  <c r="CO25" i="5" s="1"/>
  <c r="CP25" i="5" s="1"/>
  <c r="CQ25" i="5" s="1"/>
  <c r="CR25" i="5" s="1"/>
  <c r="CS25" i="5" s="1"/>
  <c r="CT25" i="5" s="1"/>
  <c r="CU25" i="5" s="1"/>
  <c r="CV25" i="5" s="1"/>
  <c r="CW25" i="5" s="1"/>
  <c r="CX25" i="5" s="1"/>
  <c r="CY25" i="5" s="1"/>
  <c r="CZ25" i="5" s="1"/>
  <c r="DA25" i="5" s="1"/>
  <c r="DB25" i="5" s="1"/>
  <c r="DC25" i="5" s="1"/>
  <c r="DD25" i="5" s="1"/>
  <c r="DE25" i="5" s="1"/>
  <c r="DF25" i="5" s="1"/>
  <c r="DG25" i="5" s="1"/>
  <c r="DH25" i="5" s="1"/>
  <c r="DI25" i="5" s="1"/>
  <c r="DJ25" i="5" s="1"/>
  <c r="DK25" i="5" s="1"/>
  <c r="DL25" i="5" s="1"/>
  <c r="DM25" i="5" s="1"/>
  <c r="DN25" i="5" s="1"/>
  <c r="DO25" i="5" s="1"/>
  <c r="DP25" i="5" s="1"/>
  <c r="DQ25" i="5" s="1"/>
  <c r="DR25" i="5" s="1"/>
  <c r="DS25" i="5" s="1"/>
  <c r="DT25" i="5" s="1"/>
  <c r="DU25" i="5" s="1"/>
  <c r="DV25" i="5" s="1"/>
  <c r="DW25" i="5" s="1"/>
  <c r="DX25" i="5" s="1"/>
  <c r="DY25" i="5" s="1"/>
  <c r="DZ25" i="5" s="1"/>
  <c r="EA25" i="5" s="1"/>
  <c r="EB25" i="5" s="1"/>
  <c r="EC25" i="5" s="1"/>
  <c r="ED25" i="5" s="1"/>
  <c r="EE25" i="5" s="1"/>
  <c r="EF25" i="5" s="1"/>
  <c r="D24" i="5"/>
  <c r="E24" i="5" s="1"/>
  <c r="F24" i="5" s="1"/>
  <c r="G24" i="5" s="1"/>
  <c r="H24" i="5" s="1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AG24" i="5" s="1"/>
  <c r="AH24" i="5" s="1"/>
  <c r="AI24" i="5" s="1"/>
  <c r="AJ24" i="5" s="1"/>
  <c r="AK24" i="5" s="1"/>
  <c r="AL24" i="5" s="1"/>
  <c r="AM24" i="5" s="1"/>
  <c r="AN24" i="5" s="1"/>
  <c r="AO24" i="5" s="1"/>
  <c r="AP24" i="5" s="1"/>
  <c r="AQ24" i="5" s="1"/>
  <c r="AR24" i="5" s="1"/>
  <c r="AS24" i="5" s="1"/>
  <c r="AT24" i="5" s="1"/>
  <c r="AU24" i="5" s="1"/>
  <c r="AV24" i="5" s="1"/>
  <c r="AW24" i="5" s="1"/>
  <c r="AX24" i="5" s="1"/>
  <c r="AY24" i="5" s="1"/>
  <c r="AZ24" i="5" s="1"/>
  <c r="BA24" i="5" s="1"/>
  <c r="BB24" i="5" s="1"/>
  <c r="BC24" i="5" s="1"/>
  <c r="BD24" i="5" s="1"/>
  <c r="BE24" i="5" s="1"/>
  <c r="BF24" i="5" s="1"/>
  <c r="BG24" i="5" s="1"/>
  <c r="BH24" i="5" s="1"/>
  <c r="BI24" i="5" s="1"/>
  <c r="BJ24" i="5" s="1"/>
  <c r="BK24" i="5" s="1"/>
  <c r="BL24" i="5" s="1"/>
  <c r="BM24" i="5" s="1"/>
  <c r="BN24" i="5" s="1"/>
  <c r="BO24" i="5" s="1"/>
  <c r="BP24" i="5" s="1"/>
  <c r="BQ24" i="5" s="1"/>
  <c r="BR24" i="5" s="1"/>
  <c r="BS24" i="5" s="1"/>
  <c r="BT24" i="5" s="1"/>
  <c r="BU24" i="5" s="1"/>
  <c r="BV24" i="5" s="1"/>
  <c r="BW24" i="5" s="1"/>
  <c r="BX24" i="5" s="1"/>
  <c r="BY24" i="5" s="1"/>
  <c r="BZ24" i="5" s="1"/>
  <c r="CA24" i="5" s="1"/>
  <c r="CB24" i="5" s="1"/>
  <c r="CC24" i="5" s="1"/>
  <c r="CD24" i="5" s="1"/>
  <c r="CE24" i="5" s="1"/>
  <c r="CF24" i="5" s="1"/>
  <c r="CG24" i="5" s="1"/>
  <c r="CH24" i="5" s="1"/>
  <c r="CI24" i="5" s="1"/>
  <c r="CJ24" i="5" s="1"/>
  <c r="CK24" i="5" s="1"/>
  <c r="CL24" i="5" s="1"/>
  <c r="CM24" i="5" s="1"/>
  <c r="CN24" i="5" s="1"/>
  <c r="CO24" i="5" s="1"/>
  <c r="CP24" i="5" s="1"/>
  <c r="CQ24" i="5" s="1"/>
  <c r="CR24" i="5" s="1"/>
  <c r="CS24" i="5" s="1"/>
  <c r="CT24" i="5" s="1"/>
  <c r="CU24" i="5" s="1"/>
  <c r="CV24" i="5" s="1"/>
  <c r="CW24" i="5" s="1"/>
  <c r="CX24" i="5" s="1"/>
  <c r="CY24" i="5" s="1"/>
  <c r="CZ24" i="5" s="1"/>
  <c r="DA24" i="5" s="1"/>
  <c r="DB24" i="5" s="1"/>
  <c r="DC24" i="5" s="1"/>
  <c r="DD24" i="5" s="1"/>
  <c r="DE24" i="5" s="1"/>
  <c r="DF24" i="5" s="1"/>
  <c r="DG24" i="5" s="1"/>
  <c r="DH24" i="5" s="1"/>
  <c r="DI24" i="5" s="1"/>
  <c r="DJ24" i="5" s="1"/>
  <c r="DK24" i="5" s="1"/>
  <c r="DL24" i="5" s="1"/>
  <c r="DM24" i="5" s="1"/>
  <c r="DN24" i="5" s="1"/>
  <c r="DO24" i="5" s="1"/>
  <c r="DP24" i="5" s="1"/>
  <c r="DQ24" i="5" s="1"/>
  <c r="DR24" i="5" s="1"/>
  <c r="DS24" i="5" s="1"/>
  <c r="DT24" i="5" s="1"/>
  <c r="DU24" i="5" s="1"/>
  <c r="DV24" i="5" s="1"/>
  <c r="DW24" i="5" s="1"/>
  <c r="DX24" i="5" s="1"/>
  <c r="DY24" i="5" s="1"/>
  <c r="DZ24" i="5" s="1"/>
  <c r="EA24" i="5" s="1"/>
  <c r="EB24" i="5" s="1"/>
  <c r="EC24" i="5" s="1"/>
  <c r="ED24" i="5" s="1"/>
  <c r="EE24" i="5" s="1"/>
  <c r="EF24" i="5" s="1"/>
  <c r="E23" i="5"/>
  <c r="F23" i="5" s="1"/>
  <c r="G23" i="5" s="1"/>
  <c r="H23" i="5" s="1"/>
  <c r="I23" i="5" s="1"/>
  <c r="J23" i="5" s="1"/>
  <c r="K23" i="5" s="1"/>
  <c r="L23" i="5" s="1"/>
  <c r="M23" i="5" s="1"/>
  <c r="N23" i="5" s="1"/>
  <c r="O23" i="5" s="1"/>
  <c r="P23" i="5" s="1"/>
  <c r="Q23" i="5" s="1"/>
  <c r="R23" i="5" s="1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AJ23" i="5" s="1"/>
  <c r="AK23" i="5" s="1"/>
  <c r="AL23" i="5" s="1"/>
  <c r="AM23" i="5" s="1"/>
  <c r="AN23" i="5" s="1"/>
  <c r="AO23" i="5" s="1"/>
  <c r="AP23" i="5" s="1"/>
  <c r="AQ23" i="5" s="1"/>
  <c r="AR23" i="5" s="1"/>
  <c r="AS23" i="5" s="1"/>
  <c r="AT23" i="5" s="1"/>
  <c r="AU23" i="5" s="1"/>
  <c r="AV23" i="5" s="1"/>
  <c r="AW23" i="5" s="1"/>
  <c r="AX23" i="5" s="1"/>
  <c r="AY23" i="5" s="1"/>
  <c r="AZ23" i="5" s="1"/>
  <c r="BA23" i="5" s="1"/>
  <c r="BB23" i="5" s="1"/>
  <c r="BC23" i="5" s="1"/>
  <c r="BD23" i="5" s="1"/>
  <c r="BE23" i="5" s="1"/>
  <c r="BF23" i="5" s="1"/>
  <c r="BG23" i="5" s="1"/>
  <c r="BH23" i="5" s="1"/>
  <c r="BI23" i="5" s="1"/>
  <c r="BJ23" i="5" s="1"/>
  <c r="BK23" i="5" s="1"/>
  <c r="BL23" i="5" s="1"/>
  <c r="BM23" i="5" s="1"/>
  <c r="BN23" i="5" s="1"/>
  <c r="BO23" i="5" s="1"/>
  <c r="BP23" i="5" s="1"/>
  <c r="BQ23" i="5" s="1"/>
  <c r="BR23" i="5" s="1"/>
  <c r="BS23" i="5" s="1"/>
  <c r="BT23" i="5" s="1"/>
  <c r="BU23" i="5" s="1"/>
  <c r="BV23" i="5" s="1"/>
  <c r="BW23" i="5" s="1"/>
  <c r="BX23" i="5" s="1"/>
  <c r="BY23" i="5" s="1"/>
  <c r="BZ23" i="5" s="1"/>
  <c r="CA23" i="5" s="1"/>
  <c r="CB23" i="5" s="1"/>
  <c r="CC23" i="5" s="1"/>
  <c r="CD23" i="5" s="1"/>
  <c r="CE23" i="5" s="1"/>
  <c r="CF23" i="5" s="1"/>
  <c r="CG23" i="5" s="1"/>
  <c r="CH23" i="5" s="1"/>
  <c r="CI23" i="5" s="1"/>
  <c r="CJ23" i="5" s="1"/>
  <c r="CK23" i="5" s="1"/>
  <c r="CL23" i="5" s="1"/>
  <c r="CM23" i="5" s="1"/>
  <c r="CN23" i="5" s="1"/>
  <c r="CO23" i="5" s="1"/>
  <c r="CP23" i="5" s="1"/>
  <c r="CQ23" i="5" s="1"/>
  <c r="CR23" i="5" s="1"/>
  <c r="CS23" i="5" s="1"/>
  <c r="CT23" i="5" s="1"/>
  <c r="CU23" i="5" s="1"/>
  <c r="CV23" i="5" s="1"/>
  <c r="CW23" i="5" s="1"/>
  <c r="CX23" i="5" s="1"/>
  <c r="CY23" i="5" s="1"/>
  <c r="CZ23" i="5" s="1"/>
  <c r="DA23" i="5" s="1"/>
  <c r="DB23" i="5" s="1"/>
  <c r="DC23" i="5" s="1"/>
  <c r="DD23" i="5" s="1"/>
  <c r="DE23" i="5" s="1"/>
  <c r="DF23" i="5" s="1"/>
  <c r="DG23" i="5" s="1"/>
  <c r="DH23" i="5" s="1"/>
  <c r="DI23" i="5" s="1"/>
  <c r="DJ23" i="5" s="1"/>
  <c r="DK23" i="5" s="1"/>
  <c r="DL23" i="5" s="1"/>
  <c r="DM23" i="5" s="1"/>
  <c r="DN23" i="5" s="1"/>
  <c r="DO23" i="5" s="1"/>
  <c r="DP23" i="5" s="1"/>
  <c r="DQ23" i="5" s="1"/>
  <c r="DR23" i="5" s="1"/>
  <c r="DS23" i="5" s="1"/>
  <c r="DT23" i="5" s="1"/>
  <c r="DU23" i="5" s="1"/>
  <c r="DV23" i="5" s="1"/>
  <c r="DW23" i="5" s="1"/>
  <c r="DX23" i="5" s="1"/>
  <c r="DY23" i="5" s="1"/>
  <c r="DZ23" i="5" s="1"/>
  <c r="EA23" i="5" s="1"/>
  <c r="EB23" i="5" s="1"/>
  <c r="EC23" i="5" s="1"/>
  <c r="ED23" i="5" s="1"/>
  <c r="EE23" i="5" s="1"/>
  <c r="EF23" i="5" s="1"/>
  <c r="D23" i="5"/>
  <c r="I22" i="5"/>
  <c r="J22" i="5" s="1"/>
  <c r="K22" i="5" s="1"/>
  <c r="L22" i="5" s="1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AG22" i="5" s="1"/>
  <c r="AH22" i="5" s="1"/>
  <c r="AI22" i="5" s="1"/>
  <c r="AJ22" i="5" s="1"/>
  <c r="AK22" i="5" s="1"/>
  <c r="AL22" i="5" s="1"/>
  <c r="AM22" i="5" s="1"/>
  <c r="AN22" i="5" s="1"/>
  <c r="AO22" i="5" s="1"/>
  <c r="AP22" i="5" s="1"/>
  <c r="AQ22" i="5" s="1"/>
  <c r="AR22" i="5" s="1"/>
  <c r="AS22" i="5" s="1"/>
  <c r="AT22" i="5" s="1"/>
  <c r="AU22" i="5" s="1"/>
  <c r="AV22" i="5" s="1"/>
  <c r="AW22" i="5" s="1"/>
  <c r="AX22" i="5" s="1"/>
  <c r="AY22" i="5" s="1"/>
  <c r="AZ22" i="5" s="1"/>
  <c r="BA22" i="5" s="1"/>
  <c r="BB22" i="5" s="1"/>
  <c r="BC22" i="5" s="1"/>
  <c r="BD22" i="5" s="1"/>
  <c r="BE22" i="5" s="1"/>
  <c r="BF22" i="5" s="1"/>
  <c r="BG22" i="5" s="1"/>
  <c r="BH22" i="5" s="1"/>
  <c r="BI22" i="5" s="1"/>
  <c r="BJ22" i="5" s="1"/>
  <c r="BK22" i="5" s="1"/>
  <c r="BL22" i="5" s="1"/>
  <c r="BM22" i="5" s="1"/>
  <c r="BN22" i="5" s="1"/>
  <c r="BO22" i="5" s="1"/>
  <c r="BP22" i="5" s="1"/>
  <c r="BQ22" i="5" s="1"/>
  <c r="BR22" i="5" s="1"/>
  <c r="BS22" i="5" s="1"/>
  <c r="BT22" i="5" s="1"/>
  <c r="BU22" i="5" s="1"/>
  <c r="BV22" i="5" s="1"/>
  <c r="BW22" i="5" s="1"/>
  <c r="BX22" i="5" s="1"/>
  <c r="BY22" i="5" s="1"/>
  <c r="BZ22" i="5" s="1"/>
  <c r="CA22" i="5" s="1"/>
  <c r="CB22" i="5" s="1"/>
  <c r="CC22" i="5" s="1"/>
  <c r="CD22" i="5" s="1"/>
  <c r="CE22" i="5" s="1"/>
  <c r="CF22" i="5" s="1"/>
  <c r="CG22" i="5" s="1"/>
  <c r="CH22" i="5" s="1"/>
  <c r="CI22" i="5" s="1"/>
  <c r="CJ22" i="5" s="1"/>
  <c r="CK22" i="5" s="1"/>
  <c r="CL22" i="5" s="1"/>
  <c r="CM22" i="5" s="1"/>
  <c r="CN22" i="5" s="1"/>
  <c r="CO22" i="5" s="1"/>
  <c r="CP22" i="5" s="1"/>
  <c r="CQ22" i="5" s="1"/>
  <c r="CR22" i="5" s="1"/>
  <c r="CS22" i="5" s="1"/>
  <c r="CT22" i="5" s="1"/>
  <c r="CU22" i="5" s="1"/>
  <c r="CV22" i="5" s="1"/>
  <c r="CW22" i="5" s="1"/>
  <c r="CX22" i="5" s="1"/>
  <c r="CY22" i="5" s="1"/>
  <c r="CZ22" i="5" s="1"/>
  <c r="DA22" i="5" s="1"/>
  <c r="DB22" i="5" s="1"/>
  <c r="DC22" i="5" s="1"/>
  <c r="DD22" i="5" s="1"/>
  <c r="DE22" i="5" s="1"/>
  <c r="DF22" i="5" s="1"/>
  <c r="DG22" i="5" s="1"/>
  <c r="DH22" i="5" s="1"/>
  <c r="DI22" i="5" s="1"/>
  <c r="DJ22" i="5" s="1"/>
  <c r="DK22" i="5" s="1"/>
  <c r="DL22" i="5" s="1"/>
  <c r="DM22" i="5" s="1"/>
  <c r="DN22" i="5" s="1"/>
  <c r="DO22" i="5" s="1"/>
  <c r="DP22" i="5" s="1"/>
  <c r="DQ22" i="5" s="1"/>
  <c r="DR22" i="5" s="1"/>
  <c r="DS22" i="5" s="1"/>
  <c r="DT22" i="5" s="1"/>
  <c r="DU22" i="5" s="1"/>
  <c r="DV22" i="5" s="1"/>
  <c r="DW22" i="5" s="1"/>
  <c r="DX22" i="5" s="1"/>
  <c r="DY22" i="5" s="1"/>
  <c r="DZ22" i="5" s="1"/>
  <c r="EA22" i="5" s="1"/>
  <c r="EB22" i="5" s="1"/>
  <c r="EC22" i="5" s="1"/>
  <c r="ED22" i="5" s="1"/>
  <c r="EE22" i="5" s="1"/>
  <c r="EF22" i="5" s="1"/>
  <c r="D22" i="5"/>
  <c r="E22" i="5" s="1"/>
  <c r="F22" i="5" s="1"/>
  <c r="G22" i="5" s="1"/>
  <c r="H22" i="5" s="1"/>
  <c r="G21" i="5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AG21" i="5" s="1"/>
  <c r="AH21" i="5" s="1"/>
  <c r="AI21" i="5" s="1"/>
  <c r="AJ21" i="5" s="1"/>
  <c r="AK21" i="5" s="1"/>
  <c r="AL21" i="5" s="1"/>
  <c r="AM21" i="5" s="1"/>
  <c r="AN21" i="5" s="1"/>
  <c r="AO21" i="5" s="1"/>
  <c r="AP21" i="5" s="1"/>
  <c r="AQ21" i="5" s="1"/>
  <c r="AR21" i="5" s="1"/>
  <c r="AS21" i="5" s="1"/>
  <c r="AT21" i="5" s="1"/>
  <c r="AU21" i="5" s="1"/>
  <c r="AV21" i="5" s="1"/>
  <c r="AW21" i="5" s="1"/>
  <c r="AX21" i="5" s="1"/>
  <c r="AY21" i="5" s="1"/>
  <c r="AZ21" i="5" s="1"/>
  <c r="BA21" i="5" s="1"/>
  <c r="BB21" i="5" s="1"/>
  <c r="BC21" i="5" s="1"/>
  <c r="BD21" i="5" s="1"/>
  <c r="BE21" i="5" s="1"/>
  <c r="BF21" i="5" s="1"/>
  <c r="BG21" i="5" s="1"/>
  <c r="BH21" i="5" s="1"/>
  <c r="BI21" i="5" s="1"/>
  <c r="BJ21" i="5" s="1"/>
  <c r="BK21" i="5" s="1"/>
  <c r="BL21" i="5" s="1"/>
  <c r="BM21" i="5" s="1"/>
  <c r="BN21" i="5" s="1"/>
  <c r="BO21" i="5" s="1"/>
  <c r="BP21" i="5" s="1"/>
  <c r="BQ21" i="5" s="1"/>
  <c r="BR21" i="5" s="1"/>
  <c r="BS21" i="5" s="1"/>
  <c r="BT21" i="5" s="1"/>
  <c r="BU21" i="5" s="1"/>
  <c r="BV21" i="5" s="1"/>
  <c r="BW21" i="5" s="1"/>
  <c r="BX21" i="5" s="1"/>
  <c r="BY21" i="5" s="1"/>
  <c r="BZ21" i="5" s="1"/>
  <c r="CA21" i="5" s="1"/>
  <c r="CB21" i="5" s="1"/>
  <c r="CC21" i="5" s="1"/>
  <c r="CD21" i="5" s="1"/>
  <c r="CE21" i="5" s="1"/>
  <c r="CF21" i="5" s="1"/>
  <c r="CG21" i="5" s="1"/>
  <c r="CH21" i="5" s="1"/>
  <c r="CI21" i="5" s="1"/>
  <c r="CJ21" i="5" s="1"/>
  <c r="CK21" i="5" s="1"/>
  <c r="CL21" i="5" s="1"/>
  <c r="CM21" i="5" s="1"/>
  <c r="CN21" i="5" s="1"/>
  <c r="CO21" i="5" s="1"/>
  <c r="CP21" i="5" s="1"/>
  <c r="CQ21" i="5" s="1"/>
  <c r="CR21" i="5" s="1"/>
  <c r="CS21" i="5" s="1"/>
  <c r="CT21" i="5" s="1"/>
  <c r="CU21" i="5" s="1"/>
  <c r="CV21" i="5" s="1"/>
  <c r="CW21" i="5" s="1"/>
  <c r="CX21" i="5" s="1"/>
  <c r="CY21" i="5" s="1"/>
  <c r="CZ21" i="5" s="1"/>
  <c r="DA21" i="5" s="1"/>
  <c r="DB21" i="5" s="1"/>
  <c r="DC21" i="5" s="1"/>
  <c r="DD21" i="5" s="1"/>
  <c r="DE21" i="5" s="1"/>
  <c r="DF21" i="5" s="1"/>
  <c r="DG21" i="5" s="1"/>
  <c r="DH21" i="5" s="1"/>
  <c r="DI21" i="5" s="1"/>
  <c r="DJ21" i="5" s="1"/>
  <c r="DK21" i="5" s="1"/>
  <c r="DL21" i="5" s="1"/>
  <c r="DM21" i="5" s="1"/>
  <c r="DN21" i="5" s="1"/>
  <c r="DO21" i="5" s="1"/>
  <c r="DP21" i="5" s="1"/>
  <c r="DQ21" i="5" s="1"/>
  <c r="DR21" i="5" s="1"/>
  <c r="DS21" i="5" s="1"/>
  <c r="DT21" i="5" s="1"/>
  <c r="DU21" i="5" s="1"/>
  <c r="DV21" i="5" s="1"/>
  <c r="DW21" i="5" s="1"/>
  <c r="DX21" i="5" s="1"/>
  <c r="DY21" i="5" s="1"/>
  <c r="DZ21" i="5" s="1"/>
  <c r="EA21" i="5" s="1"/>
  <c r="EB21" i="5" s="1"/>
  <c r="EC21" i="5" s="1"/>
  <c r="ED21" i="5" s="1"/>
  <c r="EE21" i="5" s="1"/>
  <c r="EF21" i="5" s="1"/>
  <c r="D21" i="5"/>
  <c r="E21" i="5" s="1"/>
  <c r="F21" i="5" s="1"/>
  <c r="D20" i="5"/>
  <c r="E20" i="5" s="1"/>
  <c r="F20" i="5" s="1"/>
  <c r="G20" i="5" s="1"/>
  <c r="H20" i="5" s="1"/>
  <c r="I20" i="5" s="1"/>
  <c r="J20" i="5" s="1"/>
  <c r="K20" i="5" s="1"/>
  <c r="L20" i="5" s="1"/>
  <c r="M20" i="5" s="1"/>
  <c r="N20" i="5" s="1"/>
  <c r="O20" i="5" s="1"/>
  <c r="P20" i="5" s="1"/>
  <c r="Q20" i="5" s="1"/>
  <c r="R20" i="5" s="1"/>
  <c r="S20" i="5" s="1"/>
  <c r="T20" i="5" s="1"/>
  <c r="U20" i="5" s="1"/>
  <c r="V20" i="5" s="1"/>
  <c r="W20" i="5" s="1"/>
  <c r="X20" i="5" s="1"/>
  <c r="Y20" i="5" s="1"/>
  <c r="Z20" i="5" s="1"/>
  <c r="AA20" i="5" s="1"/>
  <c r="AB20" i="5" s="1"/>
  <c r="AC20" i="5" s="1"/>
  <c r="AD20" i="5" s="1"/>
  <c r="AE20" i="5" s="1"/>
  <c r="AF20" i="5" s="1"/>
  <c r="AG20" i="5" s="1"/>
  <c r="AH20" i="5" s="1"/>
  <c r="AI20" i="5" s="1"/>
  <c r="AJ20" i="5" s="1"/>
  <c r="AK20" i="5" s="1"/>
  <c r="AL20" i="5" s="1"/>
  <c r="AM20" i="5" s="1"/>
  <c r="AN20" i="5" s="1"/>
  <c r="AO20" i="5" s="1"/>
  <c r="AP20" i="5" s="1"/>
  <c r="AQ20" i="5" s="1"/>
  <c r="AR20" i="5" s="1"/>
  <c r="AS20" i="5" s="1"/>
  <c r="AT20" i="5" s="1"/>
  <c r="AU20" i="5" s="1"/>
  <c r="AV20" i="5" s="1"/>
  <c r="AW20" i="5" s="1"/>
  <c r="AX20" i="5" s="1"/>
  <c r="AY20" i="5" s="1"/>
  <c r="AZ20" i="5" s="1"/>
  <c r="BA20" i="5" s="1"/>
  <c r="BB20" i="5" s="1"/>
  <c r="BC20" i="5" s="1"/>
  <c r="BD20" i="5" s="1"/>
  <c r="BE20" i="5" s="1"/>
  <c r="BF20" i="5" s="1"/>
  <c r="BG20" i="5" s="1"/>
  <c r="BH20" i="5" s="1"/>
  <c r="BI20" i="5" s="1"/>
  <c r="BJ20" i="5" s="1"/>
  <c r="BK20" i="5" s="1"/>
  <c r="BL20" i="5" s="1"/>
  <c r="BM20" i="5" s="1"/>
  <c r="BN20" i="5" s="1"/>
  <c r="BO20" i="5" s="1"/>
  <c r="BP20" i="5" s="1"/>
  <c r="BQ20" i="5" s="1"/>
  <c r="BR20" i="5" s="1"/>
  <c r="BS20" i="5" s="1"/>
  <c r="BT20" i="5" s="1"/>
  <c r="BU20" i="5" s="1"/>
  <c r="BV20" i="5" s="1"/>
  <c r="BW20" i="5" s="1"/>
  <c r="BX20" i="5" s="1"/>
  <c r="BY20" i="5" s="1"/>
  <c r="BZ20" i="5" s="1"/>
  <c r="CA20" i="5" s="1"/>
  <c r="CB20" i="5" s="1"/>
  <c r="CC20" i="5" s="1"/>
  <c r="CD20" i="5" s="1"/>
  <c r="CE20" i="5" s="1"/>
  <c r="CF20" i="5" s="1"/>
  <c r="CG20" i="5" s="1"/>
  <c r="CH20" i="5" s="1"/>
  <c r="CI20" i="5" s="1"/>
  <c r="CJ20" i="5" s="1"/>
  <c r="CK20" i="5" s="1"/>
  <c r="CL20" i="5" s="1"/>
  <c r="CM20" i="5" s="1"/>
  <c r="CN20" i="5" s="1"/>
  <c r="CO20" i="5" s="1"/>
  <c r="CP20" i="5" s="1"/>
  <c r="CQ20" i="5" s="1"/>
  <c r="CR20" i="5" s="1"/>
  <c r="CS20" i="5" s="1"/>
  <c r="CT20" i="5" s="1"/>
  <c r="CU20" i="5" s="1"/>
  <c r="CV20" i="5" s="1"/>
  <c r="CW20" i="5" s="1"/>
  <c r="CX20" i="5" s="1"/>
  <c r="CY20" i="5" s="1"/>
  <c r="CZ20" i="5" s="1"/>
  <c r="DA20" i="5" s="1"/>
  <c r="DB20" i="5" s="1"/>
  <c r="DC20" i="5" s="1"/>
  <c r="DD20" i="5" s="1"/>
  <c r="DE20" i="5" s="1"/>
  <c r="DF20" i="5" s="1"/>
  <c r="DG20" i="5" s="1"/>
  <c r="DH20" i="5" s="1"/>
  <c r="DI20" i="5" s="1"/>
  <c r="DJ20" i="5" s="1"/>
  <c r="DK20" i="5" s="1"/>
  <c r="DL20" i="5" s="1"/>
  <c r="DM20" i="5" s="1"/>
  <c r="DN20" i="5" s="1"/>
  <c r="DO20" i="5" s="1"/>
  <c r="DP20" i="5" s="1"/>
  <c r="DQ20" i="5" s="1"/>
  <c r="DR20" i="5" s="1"/>
  <c r="DS20" i="5" s="1"/>
  <c r="DT20" i="5" s="1"/>
  <c r="DU20" i="5" s="1"/>
  <c r="DV20" i="5" s="1"/>
  <c r="DW20" i="5" s="1"/>
  <c r="DX20" i="5" s="1"/>
  <c r="DY20" i="5" s="1"/>
  <c r="DZ20" i="5" s="1"/>
  <c r="EA20" i="5" s="1"/>
  <c r="EB20" i="5" s="1"/>
  <c r="EC20" i="5" s="1"/>
  <c r="ED20" i="5" s="1"/>
  <c r="EE20" i="5" s="1"/>
  <c r="EF20" i="5" s="1"/>
  <c r="F19" i="5"/>
  <c r="G19" i="5" s="1"/>
  <c r="H19" i="5" s="1"/>
  <c r="I19" i="5" s="1"/>
  <c r="J19" i="5" s="1"/>
  <c r="K19" i="5" s="1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AL19" i="5" s="1"/>
  <c r="AM19" i="5" s="1"/>
  <c r="AN19" i="5" s="1"/>
  <c r="AO19" i="5" s="1"/>
  <c r="AP19" i="5" s="1"/>
  <c r="AQ19" i="5" s="1"/>
  <c r="AR19" i="5" s="1"/>
  <c r="AS19" i="5" s="1"/>
  <c r="AT19" i="5" s="1"/>
  <c r="AU19" i="5" s="1"/>
  <c r="AV19" i="5" s="1"/>
  <c r="AW19" i="5" s="1"/>
  <c r="AX19" i="5" s="1"/>
  <c r="AY19" i="5" s="1"/>
  <c r="AZ19" i="5" s="1"/>
  <c r="BA19" i="5" s="1"/>
  <c r="BB19" i="5" s="1"/>
  <c r="BC19" i="5" s="1"/>
  <c r="BD19" i="5" s="1"/>
  <c r="BE19" i="5" s="1"/>
  <c r="BF19" i="5" s="1"/>
  <c r="BG19" i="5" s="1"/>
  <c r="BH19" i="5" s="1"/>
  <c r="BI19" i="5" s="1"/>
  <c r="BJ19" i="5" s="1"/>
  <c r="BK19" i="5" s="1"/>
  <c r="BL19" i="5" s="1"/>
  <c r="BM19" i="5" s="1"/>
  <c r="BN19" i="5" s="1"/>
  <c r="BO19" i="5" s="1"/>
  <c r="BP19" i="5" s="1"/>
  <c r="BQ19" i="5" s="1"/>
  <c r="BR19" i="5" s="1"/>
  <c r="BS19" i="5" s="1"/>
  <c r="BT19" i="5" s="1"/>
  <c r="BU19" i="5" s="1"/>
  <c r="BV19" i="5" s="1"/>
  <c r="BW19" i="5" s="1"/>
  <c r="BX19" i="5" s="1"/>
  <c r="BY19" i="5" s="1"/>
  <c r="BZ19" i="5" s="1"/>
  <c r="CA19" i="5" s="1"/>
  <c r="CB19" i="5" s="1"/>
  <c r="CC19" i="5" s="1"/>
  <c r="CD19" i="5" s="1"/>
  <c r="CE19" i="5" s="1"/>
  <c r="CF19" i="5" s="1"/>
  <c r="CG19" i="5" s="1"/>
  <c r="CH19" i="5" s="1"/>
  <c r="CI19" i="5" s="1"/>
  <c r="CJ19" i="5" s="1"/>
  <c r="CK19" i="5" s="1"/>
  <c r="CL19" i="5" s="1"/>
  <c r="CM19" i="5" s="1"/>
  <c r="CN19" i="5" s="1"/>
  <c r="CO19" i="5" s="1"/>
  <c r="CP19" i="5" s="1"/>
  <c r="CQ19" i="5" s="1"/>
  <c r="CR19" i="5" s="1"/>
  <c r="CS19" i="5" s="1"/>
  <c r="CT19" i="5" s="1"/>
  <c r="CU19" i="5" s="1"/>
  <c r="CV19" i="5" s="1"/>
  <c r="CW19" i="5" s="1"/>
  <c r="CX19" i="5" s="1"/>
  <c r="CY19" i="5" s="1"/>
  <c r="CZ19" i="5" s="1"/>
  <c r="DA19" i="5" s="1"/>
  <c r="DB19" i="5" s="1"/>
  <c r="DC19" i="5" s="1"/>
  <c r="DD19" i="5" s="1"/>
  <c r="DE19" i="5" s="1"/>
  <c r="DF19" i="5" s="1"/>
  <c r="DG19" i="5" s="1"/>
  <c r="DH19" i="5" s="1"/>
  <c r="DI19" i="5" s="1"/>
  <c r="DJ19" i="5" s="1"/>
  <c r="DK19" i="5" s="1"/>
  <c r="DL19" i="5" s="1"/>
  <c r="DM19" i="5" s="1"/>
  <c r="DN19" i="5" s="1"/>
  <c r="DO19" i="5" s="1"/>
  <c r="DP19" i="5" s="1"/>
  <c r="DQ19" i="5" s="1"/>
  <c r="DR19" i="5" s="1"/>
  <c r="DS19" i="5" s="1"/>
  <c r="DT19" i="5" s="1"/>
  <c r="DU19" i="5" s="1"/>
  <c r="DV19" i="5" s="1"/>
  <c r="DW19" i="5" s="1"/>
  <c r="DX19" i="5" s="1"/>
  <c r="DY19" i="5" s="1"/>
  <c r="DZ19" i="5" s="1"/>
  <c r="EA19" i="5" s="1"/>
  <c r="EB19" i="5" s="1"/>
  <c r="EC19" i="5" s="1"/>
  <c r="ED19" i="5" s="1"/>
  <c r="EE19" i="5" s="1"/>
  <c r="EF19" i="5" s="1"/>
  <c r="D19" i="5"/>
  <c r="E19" i="5" s="1"/>
  <c r="R18" i="5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BI18" i="5" s="1"/>
  <c r="BJ18" i="5" s="1"/>
  <c r="BK18" i="5" s="1"/>
  <c r="BL18" i="5" s="1"/>
  <c r="BM18" i="5" s="1"/>
  <c r="BN18" i="5" s="1"/>
  <c r="BO18" i="5" s="1"/>
  <c r="BP18" i="5" s="1"/>
  <c r="BQ18" i="5" s="1"/>
  <c r="BR18" i="5" s="1"/>
  <c r="BS18" i="5" s="1"/>
  <c r="BT18" i="5" s="1"/>
  <c r="BU18" i="5" s="1"/>
  <c r="BV18" i="5" s="1"/>
  <c r="BW18" i="5" s="1"/>
  <c r="BX18" i="5" s="1"/>
  <c r="BY18" i="5" s="1"/>
  <c r="BZ18" i="5" s="1"/>
  <c r="CA18" i="5" s="1"/>
  <c r="CB18" i="5" s="1"/>
  <c r="CC18" i="5" s="1"/>
  <c r="CD18" i="5" s="1"/>
  <c r="CE18" i="5" s="1"/>
  <c r="CF18" i="5" s="1"/>
  <c r="CG18" i="5" s="1"/>
  <c r="CH18" i="5" s="1"/>
  <c r="CI18" i="5" s="1"/>
  <c r="CJ18" i="5" s="1"/>
  <c r="CK18" i="5" s="1"/>
  <c r="CL18" i="5" s="1"/>
  <c r="CM18" i="5" s="1"/>
  <c r="CN18" i="5" s="1"/>
  <c r="CO18" i="5" s="1"/>
  <c r="CP18" i="5" s="1"/>
  <c r="CQ18" i="5" s="1"/>
  <c r="CR18" i="5" s="1"/>
  <c r="CS18" i="5" s="1"/>
  <c r="CT18" i="5" s="1"/>
  <c r="CU18" i="5" s="1"/>
  <c r="CV18" i="5" s="1"/>
  <c r="CW18" i="5" s="1"/>
  <c r="CX18" i="5" s="1"/>
  <c r="CY18" i="5" s="1"/>
  <c r="CZ18" i="5" s="1"/>
  <c r="DA18" i="5" s="1"/>
  <c r="DB18" i="5" s="1"/>
  <c r="DC18" i="5" s="1"/>
  <c r="DD18" i="5" s="1"/>
  <c r="DE18" i="5" s="1"/>
  <c r="DF18" i="5" s="1"/>
  <c r="DG18" i="5" s="1"/>
  <c r="DH18" i="5" s="1"/>
  <c r="DI18" i="5" s="1"/>
  <c r="DJ18" i="5" s="1"/>
  <c r="DK18" i="5" s="1"/>
  <c r="DL18" i="5" s="1"/>
  <c r="DM18" i="5" s="1"/>
  <c r="DN18" i="5" s="1"/>
  <c r="DO18" i="5" s="1"/>
  <c r="DP18" i="5" s="1"/>
  <c r="DQ18" i="5" s="1"/>
  <c r="DR18" i="5" s="1"/>
  <c r="DS18" i="5" s="1"/>
  <c r="DT18" i="5" s="1"/>
  <c r="DU18" i="5" s="1"/>
  <c r="DV18" i="5" s="1"/>
  <c r="DW18" i="5" s="1"/>
  <c r="DX18" i="5" s="1"/>
  <c r="DY18" i="5" s="1"/>
  <c r="DZ18" i="5" s="1"/>
  <c r="EA18" i="5" s="1"/>
  <c r="EB18" i="5" s="1"/>
  <c r="EC18" i="5" s="1"/>
  <c r="ED18" i="5" s="1"/>
  <c r="EE18" i="5" s="1"/>
  <c r="EF18" i="5" s="1"/>
  <c r="D18" i="5"/>
  <c r="E18" i="5" s="1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D17" i="5"/>
  <c r="E17" i="5" s="1"/>
  <c r="F17" i="5" s="1"/>
  <c r="G17" i="5" s="1"/>
  <c r="H17" i="5" s="1"/>
  <c r="I17" i="5" s="1"/>
  <c r="J17" i="5" s="1"/>
  <c r="K17" i="5" s="1"/>
  <c r="L17" i="5" s="1"/>
  <c r="M17" i="5" s="1"/>
  <c r="N17" i="5" s="1"/>
  <c r="O17" i="5" s="1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AP17" i="5" s="1"/>
  <c r="AQ17" i="5" s="1"/>
  <c r="AR17" i="5" s="1"/>
  <c r="AS17" i="5" s="1"/>
  <c r="AT17" i="5" s="1"/>
  <c r="AU17" i="5" s="1"/>
  <c r="AV17" i="5" s="1"/>
  <c r="AW17" i="5" s="1"/>
  <c r="AX17" i="5" s="1"/>
  <c r="AY17" i="5" s="1"/>
  <c r="AZ17" i="5" s="1"/>
  <c r="BA17" i="5" s="1"/>
  <c r="BB17" i="5" s="1"/>
  <c r="BC17" i="5" s="1"/>
  <c r="BD17" i="5" s="1"/>
  <c r="BE17" i="5" s="1"/>
  <c r="BF17" i="5" s="1"/>
  <c r="BG17" i="5" s="1"/>
  <c r="BH17" i="5" s="1"/>
  <c r="BI17" i="5" s="1"/>
  <c r="BJ17" i="5" s="1"/>
  <c r="BK17" i="5" s="1"/>
  <c r="BL17" i="5" s="1"/>
  <c r="BM17" i="5" s="1"/>
  <c r="BN17" i="5" s="1"/>
  <c r="BO17" i="5" s="1"/>
  <c r="BP17" i="5" s="1"/>
  <c r="BQ17" i="5" s="1"/>
  <c r="BR17" i="5" s="1"/>
  <c r="BS17" i="5" s="1"/>
  <c r="BT17" i="5" s="1"/>
  <c r="BU17" i="5" s="1"/>
  <c r="BV17" i="5" s="1"/>
  <c r="BW17" i="5" s="1"/>
  <c r="BX17" i="5" s="1"/>
  <c r="BY17" i="5" s="1"/>
  <c r="BZ17" i="5" s="1"/>
  <c r="CA17" i="5" s="1"/>
  <c r="CB17" i="5" s="1"/>
  <c r="CC17" i="5" s="1"/>
  <c r="CD17" i="5" s="1"/>
  <c r="CE17" i="5" s="1"/>
  <c r="CF17" i="5" s="1"/>
  <c r="CG17" i="5" s="1"/>
  <c r="CH17" i="5" s="1"/>
  <c r="CI17" i="5" s="1"/>
  <c r="CJ17" i="5" s="1"/>
  <c r="CK17" i="5" s="1"/>
  <c r="CL17" i="5" s="1"/>
  <c r="CM17" i="5" s="1"/>
  <c r="CN17" i="5" s="1"/>
  <c r="CO17" i="5" s="1"/>
  <c r="CP17" i="5" s="1"/>
  <c r="CQ17" i="5" s="1"/>
  <c r="CR17" i="5" s="1"/>
  <c r="CS17" i="5" s="1"/>
  <c r="CT17" i="5" s="1"/>
  <c r="CU17" i="5" s="1"/>
  <c r="CV17" i="5" s="1"/>
  <c r="CW17" i="5" s="1"/>
  <c r="CX17" i="5" s="1"/>
  <c r="CY17" i="5" s="1"/>
  <c r="CZ17" i="5" s="1"/>
  <c r="DA17" i="5" s="1"/>
  <c r="DB17" i="5" s="1"/>
  <c r="DC17" i="5" s="1"/>
  <c r="DD17" i="5" s="1"/>
  <c r="DE17" i="5" s="1"/>
  <c r="DF17" i="5" s="1"/>
  <c r="DG17" i="5" s="1"/>
  <c r="DH17" i="5" s="1"/>
  <c r="DI17" i="5" s="1"/>
  <c r="DJ17" i="5" s="1"/>
  <c r="DK17" i="5" s="1"/>
  <c r="DL17" i="5" s="1"/>
  <c r="DM17" i="5" s="1"/>
  <c r="DN17" i="5" s="1"/>
  <c r="DO17" i="5" s="1"/>
  <c r="DP17" i="5" s="1"/>
  <c r="DQ17" i="5" s="1"/>
  <c r="DR17" i="5" s="1"/>
  <c r="DS17" i="5" s="1"/>
  <c r="DT17" i="5" s="1"/>
  <c r="DU17" i="5" s="1"/>
  <c r="DV17" i="5" s="1"/>
  <c r="DW17" i="5" s="1"/>
  <c r="DX17" i="5" s="1"/>
  <c r="DY17" i="5" s="1"/>
  <c r="DZ17" i="5" s="1"/>
  <c r="EA17" i="5" s="1"/>
  <c r="EB17" i="5" s="1"/>
  <c r="EC17" i="5" s="1"/>
  <c r="ED17" i="5" s="1"/>
  <c r="EE17" i="5" s="1"/>
  <c r="EF17" i="5" s="1"/>
  <c r="V16" i="5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DF16" i="5" s="1"/>
  <c r="DG16" i="5" s="1"/>
  <c r="DH16" i="5" s="1"/>
  <c r="DI16" i="5" s="1"/>
  <c r="DJ16" i="5" s="1"/>
  <c r="DK16" i="5" s="1"/>
  <c r="DL16" i="5" s="1"/>
  <c r="DM16" i="5" s="1"/>
  <c r="DN16" i="5" s="1"/>
  <c r="DO16" i="5" s="1"/>
  <c r="DP16" i="5" s="1"/>
  <c r="DQ16" i="5" s="1"/>
  <c r="DR16" i="5" s="1"/>
  <c r="DS16" i="5" s="1"/>
  <c r="DT16" i="5" s="1"/>
  <c r="DU16" i="5" s="1"/>
  <c r="DV16" i="5" s="1"/>
  <c r="DW16" i="5" s="1"/>
  <c r="DX16" i="5" s="1"/>
  <c r="DY16" i="5" s="1"/>
  <c r="DZ16" i="5" s="1"/>
  <c r="EA16" i="5" s="1"/>
  <c r="EB16" i="5" s="1"/>
  <c r="EC16" i="5" s="1"/>
  <c r="ED16" i="5" s="1"/>
  <c r="EE16" i="5" s="1"/>
  <c r="EF16" i="5" s="1"/>
  <c r="E16" i="5"/>
  <c r="F16" i="5" s="1"/>
  <c r="G16" i="5" s="1"/>
  <c r="H16" i="5" s="1"/>
  <c r="I16" i="5" s="1"/>
  <c r="J16" i="5" s="1"/>
  <c r="K16" i="5" s="1"/>
  <c r="L16" i="5" s="1"/>
  <c r="M16" i="5" s="1"/>
  <c r="N16" i="5" s="1"/>
  <c r="O16" i="5" s="1"/>
  <c r="P16" i="5" s="1"/>
  <c r="Q16" i="5" s="1"/>
  <c r="R16" i="5" s="1"/>
  <c r="S16" i="5" s="1"/>
  <c r="T16" i="5" s="1"/>
  <c r="U16" i="5" s="1"/>
  <c r="D16" i="5"/>
  <c r="E15" i="5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AG15" i="5" s="1"/>
  <c r="AH15" i="5" s="1"/>
  <c r="AI15" i="5" s="1"/>
  <c r="AJ15" i="5" s="1"/>
  <c r="AK15" i="5" s="1"/>
  <c r="AL15" i="5" s="1"/>
  <c r="AM15" i="5" s="1"/>
  <c r="AN15" i="5" s="1"/>
  <c r="AO15" i="5" s="1"/>
  <c r="AP15" i="5" s="1"/>
  <c r="AQ15" i="5" s="1"/>
  <c r="AR15" i="5" s="1"/>
  <c r="AS15" i="5" s="1"/>
  <c r="AT15" i="5" s="1"/>
  <c r="AU15" i="5" s="1"/>
  <c r="AV15" i="5" s="1"/>
  <c r="AW15" i="5" s="1"/>
  <c r="AX15" i="5" s="1"/>
  <c r="AY15" i="5" s="1"/>
  <c r="AZ15" i="5" s="1"/>
  <c r="BA15" i="5" s="1"/>
  <c r="BB15" i="5" s="1"/>
  <c r="BC15" i="5" s="1"/>
  <c r="BD15" i="5" s="1"/>
  <c r="BE15" i="5" s="1"/>
  <c r="BF15" i="5" s="1"/>
  <c r="BG15" i="5" s="1"/>
  <c r="BH15" i="5" s="1"/>
  <c r="BI15" i="5" s="1"/>
  <c r="BJ15" i="5" s="1"/>
  <c r="BK15" i="5" s="1"/>
  <c r="BL15" i="5" s="1"/>
  <c r="BM15" i="5" s="1"/>
  <c r="BN15" i="5" s="1"/>
  <c r="BO15" i="5" s="1"/>
  <c r="BP15" i="5" s="1"/>
  <c r="BQ15" i="5" s="1"/>
  <c r="BR15" i="5" s="1"/>
  <c r="BS15" i="5" s="1"/>
  <c r="BT15" i="5" s="1"/>
  <c r="BU15" i="5" s="1"/>
  <c r="BV15" i="5" s="1"/>
  <c r="BW15" i="5" s="1"/>
  <c r="BX15" i="5" s="1"/>
  <c r="BY15" i="5" s="1"/>
  <c r="BZ15" i="5" s="1"/>
  <c r="CA15" i="5" s="1"/>
  <c r="CB15" i="5" s="1"/>
  <c r="CC15" i="5" s="1"/>
  <c r="CD15" i="5" s="1"/>
  <c r="CE15" i="5" s="1"/>
  <c r="CF15" i="5" s="1"/>
  <c r="CG15" i="5" s="1"/>
  <c r="CH15" i="5" s="1"/>
  <c r="CI15" i="5" s="1"/>
  <c r="CJ15" i="5" s="1"/>
  <c r="CK15" i="5" s="1"/>
  <c r="CL15" i="5" s="1"/>
  <c r="CM15" i="5" s="1"/>
  <c r="CN15" i="5" s="1"/>
  <c r="CO15" i="5" s="1"/>
  <c r="CP15" i="5" s="1"/>
  <c r="CQ15" i="5" s="1"/>
  <c r="CR15" i="5" s="1"/>
  <c r="CS15" i="5" s="1"/>
  <c r="CT15" i="5" s="1"/>
  <c r="CU15" i="5" s="1"/>
  <c r="CV15" i="5" s="1"/>
  <c r="CW15" i="5" s="1"/>
  <c r="CX15" i="5" s="1"/>
  <c r="CY15" i="5" s="1"/>
  <c r="CZ15" i="5" s="1"/>
  <c r="DA15" i="5" s="1"/>
  <c r="DB15" i="5" s="1"/>
  <c r="DC15" i="5" s="1"/>
  <c r="DD15" i="5" s="1"/>
  <c r="DE15" i="5" s="1"/>
  <c r="DF15" i="5" s="1"/>
  <c r="DG15" i="5" s="1"/>
  <c r="DH15" i="5" s="1"/>
  <c r="DI15" i="5" s="1"/>
  <c r="DJ15" i="5" s="1"/>
  <c r="DK15" i="5" s="1"/>
  <c r="DL15" i="5" s="1"/>
  <c r="DM15" i="5" s="1"/>
  <c r="DN15" i="5" s="1"/>
  <c r="DO15" i="5" s="1"/>
  <c r="DP15" i="5" s="1"/>
  <c r="DQ15" i="5" s="1"/>
  <c r="DR15" i="5" s="1"/>
  <c r="DS15" i="5" s="1"/>
  <c r="DT15" i="5" s="1"/>
  <c r="DU15" i="5" s="1"/>
  <c r="DV15" i="5" s="1"/>
  <c r="DW15" i="5" s="1"/>
  <c r="DX15" i="5" s="1"/>
  <c r="DY15" i="5" s="1"/>
  <c r="DZ15" i="5" s="1"/>
  <c r="EA15" i="5" s="1"/>
  <c r="EB15" i="5" s="1"/>
  <c r="EC15" i="5" s="1"/>
  <c r="ED15" i="5" s="1"/>
  <c r="EE15" i="5" s="1"/>
  <c r="EF15" i="5" s="1"/>
  <c r="D15" i="5"/>
  <c r="D14" i="5"/>
  <c r="E14" i="5" s="1"/>
  <c r="F14" i="5" s="1"/>
  <c r="G14" i="5" s="1"/>
  <c r="H14" i="5" s="1"/>
  <c r="I14" i="5" s="1"/>
  <c r="J14" i="5" s="1"/>
  <c r="K14" i="5" s="1"/>
  <c r="L14" i="5" s="1"/>
  <c r="M14" i="5" s="1"/>
  <c r="N14" i="5" s="1"/>
  <c r="O14" i="5" s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AA14" i="5" s="1"/>
  <c r="AB14" i="5" s="1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AQ14" i="5" s="1"/>
  <c r="AR14" i="5" s="1"/>
  <c r="AS14" i="5" s="1"/>
  <c r="AT14" i="5" s="1"/>
  <c r="AU14" i="5" s="1"/>
  <c r="AV14" i="5" s="1"/>
  <c r="AW14" i="5" s="1"/>
  <c r="AX14" i="5" s="1"/>
  <c r="AY14" i="5" s="1"/>
  <c r="AZ14" i="5" s="1"/>
  <c r="BA14" i="5" s="1"/>
  <c r="BB14" i="5" s="1"/>
  <c r="BC14" i="5" s="1"/>
  <c r="BD14" i="5" s="1"/>
  <c r="BE14" i="5" s="1"/>
  <c r="BF14" i="5" s="1"/>
  <c r="BG14" i="5" s="1"/>
  <c r="BH14" i="5" s="1"/>
  <c r="BI14" i="5" s="1"/>
  <c r="BJ14" i="5" s="1"/>
  <c r="BK14" i="5" s="1"/>
  <c r="BL14" i="5" s="1"/>
  <c r="BM14" i="5" s="1"/>
  <c r="BN14" i="5" s="1"/>
  <c r="BO14" i="5" s="1"/>
  <c r="BP14" i="5" s="1"/>
  <c r="BQ14" i="5" s="1"/>
  <c r="BR14" i="5" s="1"/>
  <c r="BS14" i="5" s="1"/>
  <c r="BT14" i="5" s="1"/>
  <c r="BU14" i="5" s="1"/>
  <c r="BV14" i="5" s="1"/>
  <c r="BW14" i="5" s="1"/>
  <c r="BX14" i="5" s="1"/>
  <c r="BY14" i="5" s="1"/>
  <c r="BZ14" i="5" s="1"/>
  <c r="CA14" i="5" s="1"/>
  <c r="CB14" i="5" s="1"/>
  <c r="CC14" i="5" s="1"/>
  <c r="CD14" i="5" s="1"/>
  <c r="CE14" i="5" s="1"/>
  <c r="CF14" i="5" s="1"/>
  <c r="CG14" i="5" s="1"/>
  <c r="CH14" i="5" s="1"/>
  <c r="CI14" i="5" s="1"/>
  <c r="CJ14" i="5" s="1"/>
  <c r="CK14" i="5" s="1"/>
  <c r="CL14" i="5" s="1"/>
  <c r="CM14" i="5" s="1"/>
  <c r="CN14" i="5" s="1"/>
  <c r="CO14" i="5" s="1"/>
  <c r="CP14" i="5" s="1"/>
  <c r="CQ14" i="5" s="1"/>
  <c r="CR14" i="5" s="1"/>
  <c r="CS14" i="5" s="1"/>
  <c r="CT14" i="5" s="1"/>
  <c r="CU14" i="5" s="1"/>
  <c r="CV14" i="5" s="1"/>
  <c r="CW14" i="5" s="1"/>
  <c r="CX14" i="5" s="1"/>
  <c r="CY14" i="5" s="1"/>
  <c r="CZ14" i="5" s="1"/>
  <c r="DA14" i="5" s="1"/>
  <c r="DB14" i="5" s="1"/>
  <c r="DC14" i="5" s="1"/>
  <c r="DD14" i="5" s="1"/>
  <c r="DE14" i="5" s="1"/>
  <c r="DF14" i="5" s="1"/>
  <c r="DG14" i="5" s="1"/>
  <c r="DH14" i="5" s="1"/>
  <c r="DI14" i="5" s="1"/>
  <c r="DJ14" i="5" s="1"/>
  <c r="DK14" i="5" s="1"/>
  <c r="DL14" i="5" s="1"/>
  <c r="DM14" i="5" s="1"/>
  <c r="DN14" i="5" s="1"/>
  <c r="DO14" i="5" s="1"/>
  <c r="DP14" i="5" s="1"/>
  <c r="DQ14" i="5" s="1"/>
  <c r="DR14" i="5" s="1"/>
  <c r="DS14" i="5" s="1"/>
  <c r="DT14" i="5" s="1"/>
  <c r="DU14" i="5" s="1"/>
  <c r="DV14" i="5" s="1"/>
  <c r="DW14" i="5" s="1"/>
  <c r="DX14" i="5" s="1"/>
  <c r="DY14" i="5" s="1"/>
  <c r="DZ14" i="5" s="1"/>
  <c r="EA14" i="5" s="1"/>
  <c r="EB14" i="5" s="1"/>
  <c r="EC14" i="5" s="1"/>
  <c r="ED14" i="5" s="1"/>
  <c r="EE14" i="5" s="1"/>
  <c r="EF14" i="5" s="1"/>
  <c r="M13" i="5"/>
  <c r="N13" i="5" s="1"/>
  <c r="O13" i="5" s="1"/>
  <c r="P13" i="5" s="1"/>
  <c r="Q13" i="5" s="1"/>
  <c r="R13" i="5" s="1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AG13" i="5" s="1"/>
  <c r="AH13" i="5" s="1"/>
  <c r="AI13" i="5" s="1"/>
  <c r="AJ13" i="5" s="1"/>
  <c r="AK13" i="5" s="1"/>
  <c r="AL13" i="5" s="1"/>
  <c r="AM13" i="5" s="1"/>
  <c r="AN13" i="5" s="1"/>
  <c r="AO13" i="5" s="1"/>
  <c r="AP13" i="5" s="1"/>
  <c r="AQ13" i="5" s="1"/>
  <c r="AR13" i="5" s="1"/>
  <c r="AS13" i="5" s="1"/>
  <c r="AT13" i="5" s="1"/>
  <c r="AU13" i="5" s="1"/>
  <c r="AV13" i="5" s="1"/>
  <c r="AW13" i="5" s="1"/>
  <c r="AX13" i="5" s="1"/>
  <c r="AY13" i="5" s="1"/>
  <c r="AZ13" i="5" s="1"/>
  <c r="BA13" i="5" s="1"/>
  <c r="BB13" i="5" s="1"/>
  <c r="BC13" i="5" s="1"/>
  <c r="BD13" i="5" s="1"/>
  <c r="BE13" i="5" s="1"/>
  <c r="BF13" i="5" s="1"/>
  <c r="BG13" i="5" s="1"/>
  <c r="BH13" i="5" s="1"/>
  <c r="BI13" i="5" s="1"/>
  <c r="BJ13" i="5" s="1"/>
  <c r="BK13" i="5" s="1"/>
  <c r="BL13" i="5" s="1"/>
  <c r="BM13" i="5" s="1"/>
  <c r="BN13" i="5" s="1"/>
  <c r="BO13" i="5" s="1"/>
  <c r="BP13" i="5" s="1"/>
  <c r="BQ13" i="5" s="1"/>
  <c r="BR13" i="5" s="1"/>
  <c r="BS13" i="5" s="1"/>
  <c r="BT13" i="5" s="1"/>
  <c r="BU13" i="5" s="1"/>
  <c r="BV13" i="5" s="1"/>
  <c r="BW13" i="5" s="1"/>
  <c r="BX13" i="5" s="1"/>
  <c r="BY13" i="5" s="1"/>
  <c r="BZ13" i="5" s="1"/>
  <c r="CA13" i="5" s="1"/>
  <c r="CB13" i="5" s="1"/>
  <c r="CC13" i="5" s="1"/>
  <c r="CD13" i="5" s="1"/>
  <c r="CE13" i="5" s="1"/>
  <c r="CF13" i="5" s="1"/>
  <c r="CG13" i="5" s="1"/>
  <c r="CH13" i="5" s="1"/>
  <c r="CI13" i="5" s="1"/>
  <c r="CJ13" i="5" s="1"/>
  <c r="CK13" i="5" s="1"/>
  <c r="CL13" i="5" s="1"/>
  <c r="CM13" i="5" s="1"/>
  <c r="CN13" i="5" s="1"/>
  <c r="CO13" i="5" s="1"/>
  <c r="CP13" i="5" s="1"/>
  <c r="CQ13" i="5" s="1"/>
  <c r="CR13" i="5" s="1"/>
  <c r="CS13" i="5" s="1"/>
  <c r="CT13" i="5" s="1"/>
  <c r="CU13" i="5" s="1"/>
  <c r="CV13" i="5" s="1"/>
  <c r="CW13" i="5" s="1"/>
  <c r="CX13" i="5" s="1"/>
  <c r="CY13" i="5" s="1"/>
  <c r="CZ13" i="5" s="1"/>
  <c r="DA13" i="5" s="1"/>
  <c r="DB13" i="5" s="1"/>
  <c r="DC13" i="5" s="1"/>
  <c r="DD13" i="5" s="1"/>
  <c r="DE13" i="5" s="1"/>
  <c r="DF13" i="5" s="1"/>
  <c r="DG13" i="5" s="1"/>
  <c r="DH13" i="5" s="1"/>
  <c r="DI13" i="5" s="1"/>
  <c r="DJ13" i="5" s="1"/>
  <c r="DK13" i="5" s="1"/>
  <c r="DL13" i="5" s="1"/>
  <c r="DM13" i="5" s="1"/>
  <c r="DN13" i="5" s="1"/>
  <c r="DO13" i="5" s="1"/>
  <c r="DP13" i="5" s="1"/>
  <c r="DQ13" i="5" s="1"/>
  <c r="DR13" i="5" s="1"/>
  <c r="DS13" i="5" s="1"/>
  <c r="DT13" i="5" s="1"/>
  <c r="DU13" i="5" s="1"/>
  <c r="DV13" i="5" s="1"/>
  <c r="DW13" i="5" s="1"/>
  <c r="DX13" i="5" s="1"/>
  <c r="DY13" i="5" s="1"/>
  <c r="DZ13" i="5" s="1"/>
  <c r="EA13" i="5" s="1"/>
  <c r="EB13" i="5" s="1"/>
  <c r="EC13" i="5" s="1"/>
  <c r="ED13" i="5" s="1"/>
  <c r="EE13" i="5" s="1"/>
  <c r="EF13" i="5" s="1"/>
  <c r="D13" i="5"/>
  <c r="E13" i="5" s="1"/>
  <c r="F13" i="5" s="1"/>
  <c r="G13" i="5" s="1"/>
  <c r="H13" i="5" s="1"/>
  <c r="I13" i="5" s="1"/>
  <c r="J13" i="5" s="1"/>
  <c r="K13" i="5" s="1"/>
  <c r="L13" i="5" s="1"/>
  <c r="E12" i="5"/>
  <c r="F12" i="5" s="1"/>
  <c r="G12" i="5" s="1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AL12" i="5" s="1"/>
  <c r="AM12" i="5" s="1"/>
  <c r="AN12" i="5" s="1"/>
  <c r="AO12" i="5" s="1"/>
  <c r="AP12" i="5" s="1"/>
  <c r="AQ12" i="5" s="1"/>
  <c r="AR12" i="5" s="1"/>
  <c r="AS12" i="5" s="1"/>
  <c r="AT12" i="5" s="1"/>
  <c r="AU12" i="5" s="1"/>
  <c r="AV12" i="5" s="1"/>
  <c r="AW12" i="5" s="1"/>
  <c r="AX12" i="5" s="1"/>
  <c r="AY12" i="5" s="1"/>
  <c r="AZ12" i="5" s="1"/>
  <c r="BA12" i="5" s="1"/>
  <c r="BB12" i="5" s="1"/>
  <c r="BC12" i="5" s="1"/>
  <c r="BD12" i="5" s="1"/>
  <c r="BE12" i="5" s="1"/>
  <c r="BF12" i="5" s="1"/>
  <c r="BG12" i="5" s="1"/>
  <c r="BH12" i="5" s="1"/>
  <c r="BI12" i="5" s="1"/>
  <c r="BJ12" i="5" s="1"/>
  <c r="BK12" i="5" s="1"/>
  <c r="BL12" i="5" s="1"/>
  <c r="BM12" i="5" s="1"/>
  <c r="BN12" i="5" s="1"/>
  <c r="BO12" i="5" s="1"/>
  <c r="BP12" i="5" s="1"/>
  <c r="BQ12" i="5" s="1"/>
  <c r="BR12" i="5" s="1"/>
  <c r="BS12" i="5" s="1"/>
  <c r="BT12" i="5" s="1"/>
  <c r="BU12" i="5" s="1"/>
  <c r="BV12" i="5" s="1"/>
  <c r="BW12" i="5" s="1"/>
  <c r="BX12" i="5" s="1"/>
  <c r="BY12" i="5" s="1"/>
  <c r="BZ12" i="5" s="1"/>
  <c r="CA12" i="5" s="1"/>
  <c r="CB12" i="5" s="1"/>
  <c r="CC12" i="5" s="1"/>
  <c r="CD12" i="5" s="1"/>
  <c r="CE12" i="5" s="1"/>
  <c r="CF12" i="5" s="1"/>
  <c r="CG12" i="5" s="1"/>
  <c r="CH12" i="5" s="1"/>
  <c r="CI12" i="5" s="1"/>
  <c r="CJ12" i="5" s="1"/>
  <c r="CK12" i="5" s="1"/>
  <c r="CL12" i="5" s="1"/>
  <c r="CM12" i="5" s="1"/>
  <c r="CN12" i="5" s="1"/>
  <c r="CO12" i="5" s="1"/>
  <c r="CP12" i="5" s="1"/>
  <c r="CQ12" i="5" s="1"/>
  <c r="CR12" i="5" s="1"/>
  <c r="CS12" i="5" s="1"/>
  <c r="CT12" i="5" s="1"/>
  <c r="CU12" i="5" s="1"/>
  <c r="CV12" i="5" s="1"/>
  <c r="CW12" i="5" s="1"/>
  <c r="CX12" i="5" s="1"/>
  <c r="CY12" i="5" s="1"/>
  <c r="CZ12" i="5" s="1"/>
  <c r="DA12" i="5" s="1"/>
  <c r="DB12" i="5" s="1"/>
  <c r="DC12" i="5" s="1"/>
  <c r="DD12" i="5" s="1"/>
  <c r="DE12" i="5" s="1"/>
  <c r="DF12" i="5" s="1"/>
  <c r="DG12" i="5" s="1"/>
  <c r="DH12" i="5" s="1"/>
  <c r="DI12" i="5" s="1"/>
  <c r="DJ12" i="5" s="1"/>
  <c r="DK12" i="5" s="1"/>
  <c r="DL12" i="5" s="1"/>
  <c r="DM12" i="5" s="1"/>
  <c r="DN12" i="5" s="1"/>
  <c r="DO12" i="5" s="1"/>
  <c r="DP12" i="5" s="1"/>
  <c r="DQ12" i="5" s="1"/>
  <c r="DR12" i="5" s="1"/>
  <c r="DS12" i="5" s="1"/>
  <c r="DT12" i="5" s="1"/>
  <c r="DU12" i="5" s="1"/>
  <c r="DV12" i="5" s="1"/>
  <c r="DW12" i="5" s="1"/>
  <c r="DX12" i="5" s="1"/>
  <c r="DY12" i="5" s="1"/>
  <c r="DZ12" i="5" s="1"/>
  <c r="EA12" i="5" s="1"/>
  <c r="EB12" i="5" s="1"/>
  <c r="EC12" i="5" s="1"/>
  <c r="ED12" i="5" s="1"/>
  <c r="EE12" i="5" s="1"/>
  <c r="EF12" i="5" s="1"/>
  <c r="D12" i="5"/>
  <c r="EC8" i="5"/>
  <c r="DX8" i="5"/>
  <c r="DS8" i="5"/>
  <c r="DR8" i="5"/>
  <c r="DQ8" i="5"/>
  <c r="DO8" i="5"/>
  <c r="DL8" i="5"/>
  <c r="CU8" i="5"/>
  <c r="CQ8" i="5"/>
  <c r="CC8" i="5"/>
  <c r="BZ8" i="5"/>
  <c r="BY8" i="5"/>
  <c r="BQ8" i="5"/>
  <c r="AY8" i="5"/>
  <c r="AX8" i="5"/>
  <c r="AW8" i="5"/>
  <c r="AV8" i="5"/>
  <c r="AJ8" i="5"/>
  <c r="AA8" i="5"/>
  <c r="Y8" i="5"/>
  <c r="M8" i="5"/>
  <c r="I8" i="5"/>
  <c r="C8" i="5"/>
  <c r="EE7" i="5"/>
  <c r="DU7" i="5"/>
  <c r="DN7" i="5"/>
  <c r="DJ7" i="5"/>
  <c r="DF7" i="5"/>
  <c r="CR7" i="5"/>
  <c r="CK7" i="5"/>
  <c r="CG7" i="5"/>
  <c r="CE7" i="5"/>
  <c r="CB7" i="5"/>
  <c r="CA7" i="5"/>
  <c r="BM7" i="5"/>
  <c r="BK7" i="5"/>
  <c r="BI7" i="5"/>
  <c r="BB7" i="5"/>
  <c r="AX7" i="5"/>
  <c r="AV7" i="5"/>
  <c r="AT7" i="5"/>
  <c r="AS7" i="5"/>
  <c r="AD7" i="5"/>
  <c r="AB7" i="5"/>
  <c r="N7" i="5"/>
  <c r="M7" i="5"/>
  <c r="L7" i="5"/>
  <c r="J7" i="5"/>
  <c r="EF6" i="5" a="1"/>
  <c r="EF6" i="5" s="1"/>
  <c r="EE6" i="5" a="1"/>
  <c r="EE6" i="5"/>
  <c r="EE8" i="5" s="1"/>
  <c r="ED6" i="5" a="1"/>
  <c r="ED6" i="5"/>
  <c r="EC6" i="5" a="1"/>
  <c r="EC6" i="5"/>
  <c r="EC7" i="5" s="1"/>
  <c r="EB6" i="5" a="1"/>
  <c r="EB6" i="5"/>
  <c r="EA6" i="5" a="1"/>
  <c r="EA6" i="5"/>
  <c r="DZ6" i="5" a="1"/>
  <c r="DZ6" i="5" s="1"/>
  <c r="DZ8" i="5" s="1"/>
  <c r="DY6" i="5" a="1"/>
  <c r="DY6" i="5" s="1"/>
  <c r="DX6" i="5" a="1"/>
  <c r="DX6" i="5" s="1"/>
  <c r="DX7" i="5" s="1"/>
  <c r="DW6" i="5" a="1"/>
  <c r="DW6" i="5" s="1"/>
  <c r="DV6" i="5" a="1"/>
  <c r="DV6" i="5" s="1"/>
  <c r="DU6" i="5" a="1"/>
  <c r="DU6" i="5" s="1"/>
  <c r="DU8" i="5" s="1"/>
  <c r="DT6" i="5" a="1"/>
  <c r="DT6" i="5"/>
  <c r="DT8" i="5" s="1"/>
  <c r="DS6" i="5" a="1"/>
  <c r="DS6" i="5"/>
  <c r="DS7" i="5" s="1"/>
  <c r="DR6" i="5" a="1"/>
  <c r="DR6" i="5"/>
  <c r="DR7" i="5" s="1"/>
  <c r="DQ6" i="5" a="1"/>
  <c r="DQ6" i="5"/>
  <c r="DQ7" i="5" s="1"/>
  <c r="DP6" i="5" a="1"/>
  <c r="DP6" i="5" s="1"/>
  <c r="DO6" i="5" a="1"/>
  <c r="DO6" i="5" s="1"/>
  <c r="DO7" i="5" s="1"/>
  <c r="DN6" i="5" a="1"/>
  <c r="DN6" i="5" s="1"/>
  <c r="DN8" i="5" s="1"/>
  <c r="DM6" i="5" a="1"/>
  <c r="DM6" i="5" s="1"/>
  <c r="DL6" i="5" a="1"/>
  <c r="DL6" i="5" s="1"/>
  <c r="DL7" i="5" s="1"/>
  <c r="DK6" i="5" a="1"/>
  <c r="DK6" i="5"/>
  <c r="DJ6" i="5" a="1"/>
  <c r="DJ6" i="5" s="1"/>
  <c r="DJ8" i="5" s="1"/>
  <c r="DI6" i="5" a="1"/>
  <c r="DI6" i="5"/>
  <c r="DH6" i="5" a="1"/>
  <c r="DH6" i="5"/>
  <c r="DH8" i="5" s="1"/>
  <c r="DG6" i="5" a="1"/>
  <c r="DG6" i="5"/>
  <c r="DF6" i="5" a="1"/>
  <c r="DF6" i="5"/>
  <c r="DF8" i="5" s="1"/>
  <c r="DE6" i="5" a="1"/>
  <c r="DE6" i="5"/>
  <c r="DD6" i="5" a="1"/>
  <c r="DD6" i="5" s="1"/>
  <c r="DC6" i="5" a="1"/>
  <c r="DC6" i="5" s="1"/>
  <c r="DB6" i="5" a="1"/>
  <c r="DB6" i="5" s="1"/>
  <c r="DB8" i="5" s="1"/>
  <c r="DA6" i="5" a="1"/>
  <c r="DA6" i="5" s="1"/>
  <c r="CZ6" i="5" a="1"/>
  <c r="CZ6" i="5"/>
  <c r="CZ7" i="5" s="1"/>
  <c r="CY6" i="5" a="1"/>
  <c r="CY6" i="5"/>
  <c r="CX6" i="5" a="1"/>
  <c r="CX6" i="5"/>
  <c r="CX8" i="5" s="1"/>
  <c r="CW6" i="5" a="1"/>
  <c r="CW6" i="5"/>
  <c r="CW8" i="5" s="1"/>
  <c r="CV6" i="5" a="1"/>
  <c r="CV6" i="5"/>
  <c r="CV8" i="5" s="1"/>
  <c r="CU6" i="5" a="1"/>
  <c r="CU6" i="5"/>
  <c r="CU7" i="5" s="1"/>
  <c r="CT6" i="5" a="1"/>
  <c r="CT6" i="5" s="1"/>
  <c r="CT8" i="5" s="1"/>
  <c r="CS6" i="5" a="1"/>
  <c r="CS6" i="5" s="1"/>
  <c r="CR6" i="5" a="1"/>
  <c r="CR6" i="5" s="1"/>
  <c r="CR8" i="5" s="1"/>
  <c r="CQ6" i="5" a="1"/>
  <c r="CQ6" i="5" s="1"/>
  <c r="CQ7" i="5" s="1"/>
  <c r="CP6" i="5" a="1"/>
  <c r="CP6" i="5" s="1"/>
  <c r="CP7" i="5" s="1"/>
  <c r="CO6" i="5" a="1"/>
  <c r="CO6" i="5" s="1"/>
  <c r="CN6" i="5" a="1"/>
  <c r="CN6" i="5" s="1"/>
  <c r="CM6" i="5" a="1"/>
  <c r="CM6" i="5"/>
  <c r="CM8" i="5" s="1"/>
  <c r="CL6" i="5" a="1"/>
  <c r="CL6" i="5"/>
  <c r="CK6" i="5" a="1"/>
  <c r="CK6" i="5"/>
  <c r="CK8" i="5" s="1"/>
  <c r="CJ6" i="5" a="1"/>
  <c r="CJ6" i="5"/>
  <c r="CI6" i="5" a="1"/>
  <c r="CI6" i="5" s="1"/>
  <c r="CH6" i="5" a="1"/>
  <c r="CH6" i="5" s="1"/>
  <c r="CG6" i="5" a="1"/>
  <c r="CG6" i="5" s="1"/>
  <c r="CG8" i="5" s="1"/>
  <c r="CF6" i="5" a="1"/>
  <c r="CF6" i="5" s="1"/>
  <c r="CE6" i="5" a="1"/>
  <c r="CE6" i="5" s="1"/>
  <c r="CE8" i="5" s="1"/>
  <c r="CD6" i="5" a="1"/>
  <c r="CD6" i="5" s="1"/>
  <c r="CC6" i="5" a="1"/>
  <c r="CC6" i="5"/>
  <c r="CC7" i="5" s="1"/>
  <c r="CB6" i="5" a="1"/>
  <c r="CB6" i="5"/>
  <c r="CB8" i="5" s="1"/>
  <c r="CA6" i="5" a="1"/>
  <c r="CA6" i="5"/>
  <c r="CA8" i="5" s="1"/>
  <c r="BZ6" i="5" a="1"/>
  <c r="BZ6" i="5"/>
  <c r="BZ7" i="5" s="1"/>
  <c r="BY6" i="5" a="1"/>
  <c r="BY6" i="5"/>
  <c r="BY7" i="5" s="1"/>
  <c r="BX6" i="5" a="1"/>
  <c r="BX6" i="5"/>
  <c r="BX8" i="5" s="1"/>
  <c r="BW6" i="5" a="1"/>
  <c r="BW6" i="5" s="1"/>
  <c r="BW7" i="5" s="1"/>
  <c r="BV6" i="5" a="1"/>
  <c r="BV6" i="5" s="1"/>
  <c r="BU6" i="5" a="1"/>
  <c r="BU6" i="5" s="1"/>
  <c r="BT6" i="5" a="1"/>
  <c r="BT6" i="5" s="1"/>
  <c r="BT7" i="5" s="1"/>
  <c r="BS6" i="5" a="1"/>
  <c r="BS6" i="5" s="1"/>
  <c r="BR6" i="5" a="1"/>
  <c r="BR6" i="5" s="1"/>
  <c r="BR8" i="5" s="1"/>
  <c r="BQ6" i="5" a="1"/>
  <c r="BQ6" i="5"/>
  <c r="BQ7" i="5" s="1"/>
  <c r="BP6" i="5" a="1"/>
  <c r="BP6" i="5"/>
  <c r="BO6" i="5" a="1"/>
  <c r="BO6" i="5"/>
  <c r="BO8" i="5" s="1"/>
  <c r="BN6" i="5" a="1"/>
  <c r="BN6" i="5"/>
  <c r="BN7" i="5" s="1"/>
  <c r="BM6" i="5" a="1"/>
  <c r="BM6" i="5"/>
  <c r="BM8" i="5" s="1"/>
  <c r="BL6" i="5" a="1"/>
  <c r="BL6" i="5" s="1"/>
  <c r="BL7" i="5" s="1"/>
  <c r="BK6" i="5" a="1"/>
  <c r="BK6" i="5" s="1"/>
  <c r="BK8" i="5" s="1"/>
  <c r="BJ6" i="5" a="1"/>
  <c r="BJ6" i="5" s="1"/>
  <c r="BJ7" i="5" s="1"/>
  <c r="BI6" i="5" a="1"/>
  <c r="BI6" i="5" s="1"/>
  <c r="BI8" i="5" s="1"/>
  <c r="BH6" i="5" a="1"/>
  <c r="BH6" i="5" s="1"/>
  <c r="BG6" i="5" a="1"/>
  <c r="BG6" i="5"/>
  <c r="BF6" i="5" a="1"/>
  <c r="BF6" i="5"/>
  <c r="BF8" i="5" s="1"/>
  <c r="BE6" i="5" a="1"/>
  <c r="BE6" i="5"/>
  <c r="BE7" i="5" s="1"/>
  <c r="BD6" i="5" a="1"/>
  <c r="BD6" i="5"/>
  <c r="BD8" i="5" s="1"/>
  <c r="BC6" i="5" a="1"/>
  <c r="BC6" i="5"/>
  <c r="BB6" i="5" a="1"/>
  <c r="BB6" i="5" s="1"/>
  <c r="BB8" i="5" s="1"/>
  <c r="BA6" i="5" a="1"/>
  <c r="BA6" i="5" s="1"/>
  <c r="AZ6" i="5" a="1"/>
  <c r="AZ6" i="5" s="1"/>
  <c r="AZ8" i="5" s="1"/>
  <c r="AY6" i="5" a="1"/>
  <c r="AY6" i="5" s="1"/>
  <c r="AY7" i="5" s="1"/>
  <c r="AX6" i="5" a="1"/>
  <c r="AX6" i="5" s="1"/>
  <c r="AW6" i="5" a="1"/>
  <c r="AW6" i="5"/>
  <c r="AW7" i="5" s="1"/>
  <c r="AV6" i="5" a="1"/>
  <c r="AV6" i="5"/>
  <c r="AU6" i="5" a="1"/>
  <c r="AU6" i="5"/>
  <c r="AU8" i="5" s="1"/>
  <c r="AT6" i="5" a="1"/>
  <c r="AT6" i="5"/>
  <c r="AT8" i="5" s="1"/>
  <c r="AS6" i="5" a="1"/>
  <c r="AS6" i="5"/>
  <c r="AS8" i="5" s="1"/>
  <c r="AR6" i="5" a="1"/>
  <c r="AR6" i="5"/>
  <c r="AQ6" i="5" a="1"/>
  <c r="AQ6" i="5" s="1"/>
  <c r="AP6" i="5" a="1"/>
  <c r="AP6" i="5" s="1"/>
  <c r="AP7" i="5" s="1"/>
  <c r="AO6" i="5" a="1"/>
  <c r="AO6" i="5" s="1"/>
  <c r="AN6" i="5" a="1"/>
  <c r="AN6" i="5" s="1"/>
  <c r="AM6" i="5" a="1"/>
  <c r="AM6" i="5" s="1"/>
  <c r="AL6" i="5" a="1"/>
  <c r="AL6" i="5" s="1"/>
  <c r="AK6" i="5" a="1"/>
  <c r="AK6" i="5"/>
  <c r="AK8" i="5" s="1"/>
  <c r="AJ6" i="5" a="1"/>
  <c r="AJ6" i="5"/>
  <c r="AJ7" i="5" s="1"/>
  <c r="AI6" i="5" a="1"/>
  <c r="AI6" i="5"/>
  <c r="AI8" i="5" s="1"/>
  <c r="AH6" i="5" a="1"/>
  <c r="AH6" i="5"/>
  <c r="AG6" i="5" a="1"/>
  <c r="AG6" i="5"/>
  <c r="AF6" i="5" a="1"/>
  <c r="AF6" i="5" s="1"/>
  <c r="AF8" i="5" s="1"/>
  <c r="AE6" i="5" a="1"/>
  <c r="AE6" i="5" s="1"/>
  <c r="AD6" i="5" a="1"/>
  <c r="AD6" i="5" s="1"/>
  <c r="AD8" i="5" s="1"/>
  <c r="AC6" i="5" a="1"/>
  <c r="AC6" i="5" s="1"/>
  <c r="AB6" i="5" a="1"/>
  <c r="AB6" i="5" s="1"/>
  <c r="AB8" i="5" s="1"/>
  <c r="AA6" i="5" a="1"/>
  <c r="AA6" i="5"/>
  <c r="AA7" i="5" s="1"/>
  <c r="Z6" i="5" a="1"/>
  <c r="Z6" i="5" s="1"/>
  <c r="Y6" i="5" a="1"/>
  <c r="Y6" i="5"/>
  <c r="Y7" i="5" s="1"/>
  <c r="X6" i="5" a="1"/>
  <c r="X6" i="5"/>
  <c r="X8" i="5" s="1"/>
  <c r="W6" i="5" a="1"/>
  <c r="W6" i="5"/>
  <c r="W7" i="5" s="1"/>
  <c r="V6" i="5" a="1"/>
  <c r="V6" i="5"/>
  <c r="V7" i="5" s="1"/>
  <c r="U6" i="5" a="1"/>
  <c r="U6" i="5"/>
  <c r="T6" i="5" a="1"/>
  <c r="T6" i="5" s="1"/>
  <c r="S6" i="5" a="1"/>
  <c r="S6" i="5" s="1"/>
  <c r="S8" i="5" s="1"/>
  <c r="R6" i="5" a="1"/>
  <c r="R6" i="5" s="1"/>
  <c r="Q6" i="5" a="1"/>
  <c r="Q6" i="5" s="1"/>
  <c r="Q8" i="5" s="1"/>
  <c r="P6" i="5" a="1"/>
  <c r="P6" i="5" s="1"/>
  <c r="O6" i="5" a="1"/>
  <c r="O6" i="5" s="1"/>
  <c r="N6" i="5" a="1"/>
  <c r="N6" i="5"/>
  <c r="N8" i="5" s="1"/>
  <c r="M6" i="5" a="1"/>
  <c r="M6" i="5"/>
  <c r="L6" i="5" a="1"/>
  <c r="L6" i="5"/>
  <c r="L8" i="5" s="1"/>
  <c r="K6" i="5" a="1"/>
  <c r="K6" i="5"/>
  <c r="K7" i="5" s="1"/>
  <c r="J6" i="5" a="1"/>
  <c r="J6" i="5"/>
  <c r="J8" i="5" s="1"/>
  <c r="I6" i="5" a="1"/>
  <c r="I6" i="5" s="1"/>
  <c r="I7" i="5" s="1"/>
  <c r="H6" i="5" a="1"/>
  <c r="H6" i="5" s="1"/>
  <c r="H8" i="5" s="1"/>
  <c r="G6" i="5" a="1"/>
  <c r="G6" i="5" s="1"/>
  <c r="G7" i="5" s="1"/>
  <c r="F6" i="5" a="1"/>
  <c r="F6" i="5"/>
  <c r="E6" i="5" a="1"/>
  <c r="E6" i="5" s="1"/>
  <c r="D6" i="5" a="1"/>
  <c r="D6" i="5"/>
  <c r="D8" i="5" s="1"/>
  <c r="C6" i="5" a="1"/>
  <c r="C6" i="5"/>
  <c r="C7" i="5" s="1"/>
  <c r="D25" i="4"/>
  <c r="E25" i="4" s="1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J24" i="4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H24" i="4"/>
  <c r="I24" i="4" s="1"/>
  <c r="D24" i="4"/>
  <c r="E24" i="4" s="1"/>
  <c r="F24" i="4" s="1"/>
  <c r="G24" i="4" s="1"/>
  <c r="D23" i="4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D22" i="4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D21" i="4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J20" i="4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D20" i="4"/>
  <c r="E20" i="4" s="1"/>
  <c r="F20" i="4" s="1"/>
  <c r="G20" i="4" s="1"/>
  <c r="H20" i="4" s="1"/>
  <c r="I20" i="4" s="1"/>
  <c r="D19" i="4"/>
  <c r="E19" i="4" s="1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D18" i="4"/>
  <c r="E18" i="4" s="1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D17" i="4"/>
  <c r="E17" i="4" s="1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D16" i="4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E15" i="4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D15" i="4"/>
  <c r="D14" i="4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D13" i="4"/>
  <c r="E13" i="4" s="1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D12" i="4"/>
  <c r="E12" i="4" s="1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E8" i="4"/>
  <c r="EA8" i="4"/>
  <c r="DY8" i="4"/>
  <c r="DX8" i="4"/>
  <c r="DP8" i="4"/>
  <c r="DN8" i="4"/>
  <c r="DM8" i="4"/>
  <c r="DJ8" i="4"/>
  <c r="DE8" i="4"/>
  <c r="DB8" i="4"/>
  <c r="CT8" i="4"/>
  <c r="CQ8" i="4"/>
  <c r="CN8" i="4"/>
  <c r="CI8" i="4"/>
  <c r="CG8" i="4"/>
  <c r="CF8" i="4"/>
  <c r="CB8" i="4"/>
  <c r="BX8" i="4"/>
  <c r="BU8" i="4"/>
  <c r="BR8" i="4"/>
  <c r="BQ8" i="4"/>
  <c r="BM8" i="4"/>
  <c r="BJ8" i="4"/>
  <c r="BB8" i="4"/>
  <c r="AY8" i="4"/>
  <c r="AU8" i="4"/>
  <c r="AQ8" i="4"/>
  <c r="AO8" i="4"/>
  <c r="AN8" i="4"/>
  <c r="AK8" i="4"/>
  <c r="AF8" i="4"/>
  <c r="AC8" i="4"/>
  <c r="U8" i="4"/>
  <c r="S8" i="4"/>
  <c r="R8" i="4"/>
  <c r="N8" i="4"/>
  <c r="J8" i="4"/>
  <c r="G8" i="4"/>
  <c r="D8" i="4"/>
  <c r="EC7" i="4"/>
  <c r="EA7" i="4"/>
  <c r="DW7" i="4"/>
  <c r="DP7" i="4"/>
  <c r="DK7" i="4"/>
  <c r="DE7" i="4"/>
  <c r="CZ7" i="4"/>
  <c r="CV7" i="4"/>
  <c r="CT7" i="4"/>
  <c r="CI7" i="4"/>
  <c r="BZ7" i="4"/>
  <c r="BX7" i="4"/>
  <c r="BT7" i="4"/>
  <c r="BS7" i="4"/>
  <c r="BO7" i="4"/>
  <c r="BM7" i="4"/>
  <c r="BB7" i="4"/>
  <c r="AW7" i="4"/>
  <c r="AQ7" i="4"/>
  <c r="AL7" i="4"/>
  <c r="AF7" i="4"/>
  <c r="AB7" i="4"/>
  <c r="U7" i="4"/>
  <c r="L7" i="4"/>
  <c r="J7" i="4"/>
  <c r="F7" i="4"/>
  <c r="EF6" i="4" a="1"/>
  <c r="EF6" i="4"/>
  <c r="EF7" i="4" s="1"/>
  <c r="EE6" i="4" a="1"/>
  <c r="EE6" i="4"/>
  <c r="EE7" i="4" s="1"/>
  <c r="ED6" i="4" a="1"/>
  <c r="ED6" i="4" s="1"/>
  <c r="EC6" i="4" a="1"/>
  <c r="EC6" i="4"/>
  <c r="EC8" i="4" s="1"/>
  <c r="EB6" i="4" a="1"/>
  <c r="EB6" i="4" s="1"/>
  <c r="EA6" i="4" a="1"/>
  <c r="EA6" i="4"/>
  <c r="DZ6" i="4" a="1"/>
  <c r="DZ6" i="4" s="1"/>
  <c r="DY6" i="4" a="1"/>
  <c r="DY6" i="4" s="1"/>
  <c r="DY7" i="4" s="1"/>
  <c r="DX6" i="4" a="1"/>
  <c r="DX6" i="4"/>
  <c r="DX7" i="4" s="1"/>
  <c r="DW6" i="4" a="1"/>
  <c r="DW6" i="4"/>
  <c r="DW8" i="4" s="1"/>
  <c r="DV6" i="4" a="1"/>
  <c r="DV6" i="4" s="1"/>
  <c r="DU6" i="4" a="1"/>
  <c r="DU6" i="4"/>
  <c r="DU7" i="4" s="1"/>
  <c r="DT6" i="4" a="1"/>
  <c r="DT6" i="4"/>
  <c r="DS6" i="4" a="1"/>
  <c r="DS6" i="4" s="1"/>
  <c r="DR6" i="4" a="1"/>
  <c r="DR6" i="4"/>
  <c r="DR8" i="4" s="1"/>
  <c r="DQ6" i="4" a="1"/>
  <c r="DQ6" i="4" s="1"/>
  <c r="DP6" i="4" a="1"/>
  <c r="DP6" i="4"/>
  <c r="DO6" i="4" a="1"/>
  <c r="DO6" i="4" s="1"/>
  <c r="DN6" i="4" a="1"/>
  <c r="DN6" i="4" s="1"/>
  <c r="DN7" i="4" s="1"/>
  <c r="DM6" i="4" a="1"/>
  <c r="DM6" i="4"/>
  <c r="DM7" i="4" s="1"/>
  <c r="DL6" i="4" a="1"/>
  <c r="DL6" i="4" s="1"/>
  <c r="DK6" i="4" a="1"/>
  <c r="DK6" i="4" s="1"/>
  <c r="DK8" i="4" s="1"/>
  <c r="DJ6" i="4" a="1"/>
  <c r="DJ6" i="4"/>
  <c r="DJ7" i="4" s="1"/>
  <c r="DI6" i="4" a="1"/>
  <c r="DI6" i="4"/>
  <c r="DI7" i="4" s="1"/>
  <c r="DH6" i="4" a="1"/>
  <c r="DH6" i="4" s="1"/>
  <c r="DG6" i="4" a="1"/>
  <c r="DG6" i="4"/>
  <c r="DG8" i="4" s="1"/>
  <c r="DF6" i="4" a="1"/>
  <c r="DF6" i="4" s="1"/>
  <c r="DE6" i="4" a="1"/>
  <c r="DE6" i="4"/>
  <c r="DD6" i="4" a="1"/>
  <c r="DD6" i="4" s="1"/>
  <c r="DC6" i="4" a="1"/>
  <c r="DC6" i="4" s="1"/>
  <c r="DC7" i="4" s="1"/>
  <c r="DB6" i="4" a="1"/>
  <c r="DB6" i="4"/>
  <c r="DB7" i="4" s="1"/>
  <c r="DA6" i="4" a="1"/>
  <c r="DA6" i="4"/>
  <c r="CZ6" i="4" a="1"/>
  <c r="CZ6" i="4" s="1"/>
  <c r="CZ8" i="4" s="1"/>
  <c r="CY6" i="4" a="1"/>
  <c r="CY6" i="4"/>
  <c r="CY7" i="4" s="1"/>
  <c r="CX6" i="4" a="1"/>
  <c r="CX6" i="4"/>
  <c r="CX7" i="4" s="1"/>
  <c r="CW6" i="4" a="1"/>
  <c r="CW6" i="4" s="1"/>
  <c r="CV6" i="4" a="1"/>
  <c r="CV6" i="4"/>
  <c r="CV8" i="4" s="1"/>
  <c r="CU6" i="4" a="1"/>
  <c r="CU6" i="4" s="1"/>
  <c r="CT6" i="4" a="1"/>
  <c r="CT6" i="4"/>
  <c r="CS6" i="4" a="1"/>
  <c r="CS6" i="4" s="1"/>
  <c r="CR6" i="4" a="1"/>
  <c r="CR6" i="4" s="1"/>
  <c r="CR7" i="4" s="1"/>
  <c r="CQ6" i="4" a="1"/>
  <c r="CQ6" i="4"/>
  <c r="CQ7" i="4" s="1"/>
  <c r="CP6" i="4" a="1"/>
  <c r="CP6" i="4" s="1"/>
  <c r="CO6" i="4" a="1"/>
  <c r="CO6" i="4" s="1"/>
  <c r="CO8" i="4" s="1"/>
  <c r="CN6" i="4" a="1"/>
  <c r="CN6" i="4"/>
  <c r="CN7" i="4" s="1"/>
  <c r="CM6" i="4" a="1"/>
  <c r="CM6" i="4"/>
  <c r="CL6" i="4" a="1"/>
  <c r="CL6" i="4" s="1"/>
  <c r="CK6" i="4" a="1"/>
  <c r="CK6" i="4"/>
  <c r="CK8" i="4" s="1"/>
  <c r="CJ6" i="4" a="1"/>
  <c r="CJ6" i="4" s="1"/>
  <c r="CI6" i="4" a="1"/>
  <c r="CI6" i="4"/>
  <c r="CH6" i="4" a="1"/>
  <c r="CH6" i="4" s="1"/>
  <c r="CG6" i="4" a="1"/>
  <c r="CG6" i="4" s="1"/>
  <c r="CG7" i="4" s="1"/>
  <c r="CF6" i="4" a="1"/>
  <c r="CF6" i="4"/>
  <c r="CF7" i="4" s="1"/>
  <c r="CE6" i="4" a="1"/>
  <c r="CE6" i="4" s="1"/>
  <c r="CD6" i="4" a="1"/>
  <c r="CD6" i="4" s="1"/>
  <c r="CD8" i="4" s="1"/>
  <c r="CC6" i="4" a="1"/>
  <c r="CC6" i="4"/>
  <c r="CB6" i="4" a="1"/>
  <c r="CB6" i="4"/>
  <c r="CB7" i="4" s="1"/>
  <c r="CA6" i="4" a="1"/>
  <c r="CA6" i="4" s="1"/>
  <c r="BZ6" i="4" a="1"/>
  <c r="BZ6" i="4"/>
  <c r="BZ8" i="4" s="1"/>
  <c r="BY6" i="4" a="1"/>
  <c r="BY6" i="4" s="1"/>
  <c r="BX6" i="4" a="1"/>
  <c r="BX6" i="4"/>
  <c r="BW6" i="4" a="1"/>
  <c r="BW6" i="4" s="1"/>
  <c r="BV6" i="4" a="1"/>
  <c r="BV6" i="4" s="1"/>
  <c r="BV7" i="4" s="1"/>
  <c r="BU6" i="4" a="1"/>
  <c r="BU6" i="4"/>
  <c r="BU7" i="4" s="1"/>
  <c r="BT6" i="4" a="1"/>
  <c r="BT6" i="4"/>
  <c r="BT8" i="4" s="1"/>
  <c r="BS6" i="4" a="1"/>
  <c r="BS6" i="4" s="1"/>
  <c r="BS8" i="4" s="1"/>
  <c r="BR6" i="4" a="1"/>
  <c r="BR6" i="4"/>
  <c r="BR7" i="4" s="1"/>
  <c r="BQ6" i="4" a="1"/>
  <c r="BQ6" i="4"/>
  <c r="BQ7" i="4" s="1"/>
  <c r="BP6" i="4" a="1"/>
  <c r="BP6" i="4" s="1"/>
  <c r="BO6" i="4" a="1"/>
  <c r="BO6" i="4"/>
  <c r="BO8" i="4" s="1"/>
  <c r="BN6" i="4" a="1"/>
  <c r="BN6" i="4" s="1"/>
  <c r="BM6" i="4" a="1"/>
  <c r="BM6" i="4"/>
  <c r="BL6" i="4" a="1"/>
  <c r="BL6" i="4" s="1"/>
  <c r="BK6" i="4" a="1"/>
  <c r="BK6" i="4" s="1"/>
  <c r="BK7" i="4" s="1"/>
  <c r="BJ6" i="4" a="1"/>
  <c r="BJ6" i="4"/>
  <c r="BJ7" i="4" s="1"/>
  <c r="BI6" i="4" a="1"/>
  <c r="BI6" i="4"/>
  <c r="BI8" i="4" s="1"/>
  <c r="BH6" i="4" a="1"/>
  <c r="BH6" i="4" s="1"/>
  <c r="BH8" i="4" s="1"/>
  <c r="BG6" i="4" a="1"/>
  <c r="BG6" i="4"/>
  <c r="BG7" i="4" s="1"/>
  <c r="BF6" i="4" a="1"/>
  <c r="BF6" i="4"/>
  <c r="BF7" i="4" s="1"/>
  <c r="BE6" i="4" a="1"/>
  <c r="BE6" i="4" s="1"/>
  <c r="BD6" i="4" a="1"/>
  <c r="BD6" i="4"/>
  <c r="BD8" i="4" s="1"/>
  <c r="BC6" i="4" a="1"/>
  <c r="BC6" i="4" s="1"/>
  <c r="BB6" i="4" a="1"/>
  <c r="BB6" i="4"/>
  <c r="BA6" i="4" a="1"/>
  <c r="BA6" i="4" s="1"/>
  <c r="AZ6" i="4" a="1"/>
  <c r="AZ6" i="4" s="1"/>
  <c r="AY6" i="4" a="1"/>
  <c r="AY6" i="4"/>
  <c r="AY7" i="4" s="1"/>
  <c r="AX6" i="4" a="1"/>
  <c r="AX6" i="4" s="1"/>
  <c r="AW6" i="4" a="1"/>
  <c r="AW6" i="4" s="1"/>
  <c r="AW8" i="4" s="1"/>
  <c r="AV6" i="4" a="1"/>
  <c r="AV6" i="4"/>
  <c r="AU6" i="4" a="1"/>
  <c r="AU6" i="4"/>
  <c r="AU7" i="4" s="1"/>
  <c r="AT6" i="4" a="1"/>
  <c r="AT6" i="4" s="1"/>
  <c r="AS6" i="4" a="1"/>
  <c r="AS6" i="4"/>
  <c r="AS8" i="4" s="1"/>
  <c r="AR6" i="4" a="1"/>
  <c r="AR6" i="4" s="1"/>
  <c r="AQ6" i="4" a="1"/>
  <c r="AQ6" i="4"/>
  <c r="AP6" i="4" a="1"/>
  <c r="AP6" i="4" s="1"/>
  <c r="AO6" i="4" a="1"/>
  <c r="AO6" i="4" s="1"/>
  <c r="AO7" i="4" s="1"/>
  <c r="AN6" i="4" a="1"/>
  <c r="AN6" i="4"/>
  <c r="AN7" i="4" s="1"/>
  <c r="AM6" i="4" a="1"/>
  <c r="AM6" i="4"/>
  <c r="AM8" i="4" s="1"/>
  <c r="AL6" i="4" a="1"/>
  <c r="AL6" i="4" s="1"/>
  <c r="AL8" i="4" s="1"/>
  <c r="AK6" i="4" a="1"/>
  <c r="AK6" i="4"/>
  <c r="AK7" i="4" s="1"/>
  <c r="AJ6" i="4" a="1"/>
  <c r="AJ6" i="4"/>
  <c r="AJ7" i="4" s="1"/>
  <c r="AI6" i="4" a="1"/>
  <c r="AI6" i="4" s="1"/>
  <c r="AH6" i="4" a="1"/>
  <c r="AH6" i="4"/>
  <c r="AG6" i="4" a="1"/>
  <c r="AG6" i="4" s="1"/>
  <c r="AF6" i="4" a="1"/>
  <c r="AF6" i="4"/>
  <c r="AE6" i="4" a="1"/>
  <c r="AE6" i="4" s="1"/>
  <c r="AD6" i="4" a="1"/>
  <c r="AD6" i="4" s="1"/>
  <c r="AD7" i="4" s="1"/>
  <c r="AC6" i="4" a="1"/>
  <c r="AC6" i="4"/>
  <c r="AC7" i="4" s="1"/>
  <c r="AB6" i="4" a="1"/>
  <c r="AB6" i="4"/>
  <c r="AB8" i="4" s="1"/>
  <c r="AA6" i="4" a="1"/>
  <c r="AA6" i="4" s="1"/>
  <c r="AA8" i="4" s="1"/>
  <c r="Z6" i="4" a="1"/>
  <c r="Z6" i="4"/>
  <c r="Z7" i="4" s="1"/>
  <c r="Y6" i="4" a="1"/>
  <c r="Y6" i="4"/>
  <c r="Y7" i="4" s="1"/>
  <c r="X6" i="4" a="1"/>
  <c r="X6" i="4" s="1"/>
  <c r="W6" i="4" a="1"/>
  <c r="W6" i="4"/>
  <c r="W8" i="4" s="1"/>
  <c r="V6" i="4" a="1"/>
  <c r="V6" i="4" s="1"/>
  <c r="U6" i="4" a="1"/>
  <c r="U6" i="4"/>
  <c r="T6" i="4" a="1"/>
  <c r="T6" i="4" s="1"/>
  <c r="S6" i="4" a="1"/>
  <c r="S6" i="4" s="1"/>
  <c r="S7" i="4" s="1"/>
  <c r="R6" i="4" a="1"/>
  <c r="R6" i="4"/>
  <c r="R7" i="4" s="1"/>
  <c r="Q6" i="4" a="1"/>
  <c r="Q6" i="4"/>
  <c r="Q8" i="4" s="1"/>
  <c r="P6" i="4" a="1"/>
  <c r="P6" i="4" s="1"/>
  <c r="P8" i="4" s="1"/>
  <c r="O6" i="4" a="1"/>
  <c r="O6" i="4"/>
  <c r="O7" i="4" s="1"/>
  <c r="N6" i="4" a="1"/>
  <c r="N6" i="4"/>
  <c r="N7" i="4" s="1"/>
  <c r="M6" i="4" a="1"/>
  <c r="M6" i="4" s="1"/>
  <c r="L6" i="4" a="1"/>
  <c r="L6" i="4"/>
  <c r="L8" i="4" s="1"/>
  <c r="K6" i="4" a="1"/>
  <c r="K6" i="4" s="1"/>
  <c r="J6" i="4" a="1"/>
  <c r="J6" i="4"/>
  <c r="I6" i="4" a="1"/>
  <c r="I6" i="4" s="1"/>
  <c r="H6" i="4" a="1"/>
  <c r="H6" i="4" s="1"/>
  <c r="H7" i="4" s="1"/>
  <c r="G6" i="4" a="1"/>
  <c r="G6" i="4"/>
  <c r="G7" i="4" s="1"/>
  <c r="F6" i="4" a="1"/>
  <c r="F6" i="4"/>
  <c r="F8" i="4" s="1"/>
  <c r="E6" i="4" a="1"/>
  <c r="E6" i="4" s="1"/>
  <c r="D6" i="4" a="1"/>
  <c r="D6" i="4"/>
  <c r="D7" i="4" s="1"/>
  <c r="C6" i="4" a="1"/>
  <c r="C6" i="4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EF8" i="3"/>
  <c r="EE8" i="3"/>
  <c r="DZ8" i="3"/>
  <c r="DY8" i="3"/>
  <c r="DS8" i="3"/>
  <c r="DK8" i="3"/>
  <c r="DE8" i="3"/>
  <c r="CY8" i="3"/>
  <c r="CX8" i="3"/>
  <c r="CL8" i="3"/>
  <c r="CK8" i="3"/>
  <c r="CE8" i="3"/>
  <c r="BW8" i="3"/>
  <c r="BS8" i="3"/>
  <c r="BG8" i="3"/>
  <c r="BE8" i="3"/>
  <c r="AT8" i="3"/>
  <c r="AI8" i="3"/>
  <c r="AF8" i="3"/>
  <c r="U8" i="3"/>
  <c r="T8" i="3"/>
  <c r="O8" i="3"/>
  <c r="H8" i="3"/>
  <c r="EC7" i="3"/>
  <c r="DR7" i="3"/>
  <c r="DP7" i="3"/>
  <c r="DK7" i="3"/>
  <c r="DE7" i="3"/>
  <c r="CU7" i="3"/>
  <c r="CO7" i="3"/>
  <c r="CK7" i="3"/>
  <c r="CD7" i="3"/>
  <c r="BN7" i="3"/>
  <c r="BC7" i="3"/>
  <c r="AQ7" i="3"/>
  <c r="AL7" i="3"/>
  <c r="AG7" i="3"/>
  <c r="AF7" i="3"/>
  <c r="AB7" i="3"/>
  <c r="AA7" i="3"/>
  <c r="V7" i="3"/>
  <c r="U7" i="3"/>
  <c r="EF6" i="3" a="1"/>
  <c r="EF6" i="3"/>
  <c r="EF7" i="3" s="1"/>
  <c r="EE6" i="3" a="1"/>
  <c r="EE6" i="3"/>
  <c r="EE7" i="3" s="1"/>
  <c r="ED6" i="3" a="1"/>
  <c r="ED6" i="3"/>
  <c r="ED7" i="3" s="1"/>
  <c r="EC6" i="3" a="1"/>
  <c r="EC6" i="3"/>
  <c r="EC8" i="3" s="1"/>
  <c r="EB6" i="3" a="1"/>
  <c r="EB6" i="3" s="1"/>
  <c r="EB8" i="3" s="1"/>
  <c r="EA6" i="3" a="1"/>
  <c r="EA6" i="3" s="1"/>
  <c r="EA8" i="3" s="1"/>
  <c r="DZ6" i="3" a="1"/>
  <c r="DZ6" i="3"/>
  <c r="DZ7" i="3" s="1"/>
  <c r="DY6" i="3" a="1"/>
  <c r="DY6" i="3" s="1"/>
  <c r="DY7" i="3" s="1"/>
  <c r="DX6" i="3" a="1"/>
  <c r="DX6" i="3"/>
  <c r="DX8" i="3" s="1"/>
  <c r="DW6" i="3" a="1"/>
  <c r="DW6" i="3" s="1"/>
  <c r="DV6" i="3" a="1"/>
  <c r="DV6" i="3" s="1"/>
  <c r="DV8" i="3" s="1"/>
  <c r="DU6" i="3" a="1"/>
  <c r="DU6" i="3"/>
  <c r="DT6" i="3" a="1"/>
  <c r="DT6" i="3" s="1"/>
  <c r="DS6" i="3" a="1"/>
  <c r="DS6" i="3"/>
  <c r="DS7" i="3" s="1"/>
  <c r="DR6" i="3" a="1"/>
  <c r="DR6" i="3"/>
  <c r="DR8" i="3" s="1"/>
  <c r="DQ6" i="3" a="1"/>
  <c r="DQ6" i="3" s="1"/>
  <c r="DQ8" i="3" s="1"/>
  <c r="DP6" i="3" a="1"/>
  <c r="DP6" i="3" s="1"/>
  <c r="DP8" i="3" s="1"/>
  <c r="DO6" i="3" a="1"/>
  <c r="DO6" i="3" s="1"/>
  <c r="DN6" i="3" a="1"/>
  <c r="DN6" i="3" s="1"/>
  <c r="DM6" i="3" a="1"/>
  <c r="DM6" i="3"/>
  <c r="DM8" i="3" s="1"/>
  <c r="DL6" i="3" a="1"/>
  <c r="DL6" i="3" s="1"/>
  <c r="DK6" i="3" a="1"/>
  <c r="DK6" i="3" s="1"/>
  <c r="DJ6" i="3" a="1"/>
  <c r="DJ6" i="3"/>
  <c r="DI6" i="3" a="1"/>
  <c r="DI6" i="3"/>
  <c r="DH6" i="3" a="1"/>
  <c r="DH6" i="3"/>
  <c r="DH8" i="3" s="1"/>
  <c r="DG6" i="3" a="1"/>
  <c r="DG6" i="3"/>
  <c r="DG8" i="3" s="1"/>
  <c r="DF6" i="3" a="1"/>
  <c r="DF6" i="3" s="1"/>
  <c r="DF8" i="3" s="1"/>
  <c r="DE6" i="3" a="1"/>
  <c r="DE6" i="3" s="1"/>
  <c r="DD6" i="3" a="1"/>
  <c r="DD6" i="3"/>
  <c r="DD7" i="3" s="1"/>
  <c r="DC6" i="3" a="1"/>
  <c r="DC6" i="3" s="1"/>
  <c r="DB6" i="3" a="1"/>
  <c r="DB6" i="3"/>
  <c r="DB8" i="3" s="1"/>
  <c r="DA6" i="3" a="1"/>
  <c r="DA6" i="3"/>
  <c r="DA8" i="3" s="1"/>
  <c r="CZ6" i="3" a="1"/>
  <c r="CZ6" i="3" s="1"/>
  <c r="CZ8" i="3" s="1"/>
  <c r="CY6" i="3" a="1"/>
  <c r="CY6" i="3"/>
  <c r="CY7" i="3" s="1"/>
  <c r="CX6" i="3" a="1"/>
  <c r="CX6" i="3"/>
  <c r="CX7" i="3" s="1"/>
  <c r="CW6" i="3" a="1"/>
  <c r="CW6" i="3"/>
  <c r="CW8" i="3" s="1"/>
  <c r="CV6" i="3" a="1"/>
  <c r="CV6" i="3"/>
  <c r="CV8" i="3" s="1"/>
  <c r="CU6" i="3" a="1"/>
  <c r="CU6" i="3" s="1"/>
  <c r="CU8" i="3" s="1"/>
  <c r="CT6" i="3" a="1"/>
  <c r="CT6" i="3" s="1"/>
  <c r="CT8" i="3" s="1"/>
  <c r="CS6" i="3" a="1"/>
  <c r="CS6" i="3" s="1"/>
  <c r="CR6" i="3" a="1"/>
  <c r="CR6" i="3" s="1"/>
  <c r="CR7" i="3" s="1"/>
  <c r="CQ6" i="3" a="1"/>
  <c r="CQ6" i="3"/>
  <c r="CQ8" i="3" s="1"/>
  <c r="CP6" i="3" a="1"/>
  <c r="CP6" i="3"/>
  <c r="CP8" i="3" s="1"/>
  <c r="CO6" i="3" a="1"/>
  <c r="CO6" i="3" s="1"/>
  <c r="CO8" i="3" s="1"/>
  <c r="CN6" i="3" a="1"/>
  <c r="CN6" i="3"/>
  <c r="CM6" i="3" a="1"/>
  <c r="CM6" i="3"/>
  <c r="CL6" i="3" a="1"/>
  <c r="CL6" i="3"/>
  <c r="CL7" i="3" s="1"/>
  <c r="CK6" i="3" a="1"/>
  <c r="CK6" i="3"/>
  <c r="CJ6" i="3" a="1"/>
  <c r="CJ6" i="3" s="1"/>
  <c r="CJ8" i="3" s="1"/>
  <c r="CI6" i="3" a="1"/>
  <c r="CI6" i="3" s="1"/>
  <c r="CI8" i="3" s="1"/>
  <c r="CH6" i="3" a="1"/>
  <c r="CH6" i="3"/>
  <c r="CG6" i="3" a="1"/>
  <c r="CG6" i="3" s="1"/>
  <c r="CF6" i="3" a="1"/>
  <c r="CF6" i="3"/>
  <c r="CE6" i="3" a="1"/>
  <c r="CE6" i="3"/>
  <c r="CE7" i="3" s="1"/>
  <c r="CD6" i="3" a="1"/>
  <c r="CD6" i="3" s="1"/>
  <c r="CD8" i="3" s="1"/>
  <c r="CC6" i="3" a="1"/>
  <c r="CC6" i="3"/>
  <c r="CC7" i="3" s="1"/>
  <c r="CB6" i="3" a="1"/>
  <c r="CB6" i="3" s="1"/>
  <c r="CA6" i="3" a="1"/>
  <c r="CA6" i="3"/>
  <c r="CA7" i="3" s="1"/>
  <c r="BZ6" i="3" a="1"/>
  <c r="BZ6" i="3"/>
  <c r="BZ8" i="3" s="1"/>
  <c r="BY6" i="3" a="1"/>
  <c r="BY6" i="3" s="1"/>
  <c r="BY8" i="3" s="1"/>
  <c r="BX6" i="3" a="1"/>
  <c r="BX6" i="3" s="1"/>
  <c r="BX7" i="3" s="1"/>
  <c r="BW6" i="3" a="1"/>
  <c r="BW6" i="3"/>
  <c r="BW7" i="3" s="1"/>
  <c r="BV6" i="3" a="1"/>
  <c r="BV6" i="3" s="1"/>
  <c r="BU6" i="3" a="1"/>
  <c r="BU6" i="3"/>
  <c r="BT6" i="3" a="1"/>
  <c r="BT6" i="3" s="1"/>
  <c r="BS6" i="3" a="1"/>
  <c r="BS6" i="3" s="1"/>
  <c r="BS7" i="3" s="1"/>
  <c r="BR6" i="3" a="1"/>
  <c r="BR6" i="3"/>
  <c r="BR7" i="3" s="1"/>
  <c r="BQ6" i="3" a="1"/>
  <c r="BQ6" i="3" s="1"/>
  <c r="BP6" i="3" a="1"/>
  <c r="BP6" i="3"/>
  <c r="BP7" i="3" s="1"/>
  <c r="BO6" i="3" a="1"/>
  <c r="BO6" i="3" s="1"/>
  <c r="BN6" i="3" a="1"/>
  <c r="BN6" i="3" s="1"/>
  <c r="BN8" i="3" s="1"/>
  <c r="BM6" i="3" a="1"/>
  <c r="BM6" i="3" s="1"/>
  <c r="BM8" i="3" s="1"/>
  <c r="BL6" i="3" a="1"/>
  <c r="BL6" i="3"/>
  <c r="BL7" i="3" s="1"/>
  <c r="BK6" i="3" a="1"/>
  <c r="BK6" i="3" s="1"/>
  <c r="BK7" i="3" s="1"/>
  <c r="BJ6" i="3" a="1"/>
  <c r="BJ6" i="3"/>
  <c r="BI6" i="3" a="1"/>
  <c r="BI6" i="3"/>
  <c r="BI8" i="3" s="1"/>
  <c r="BH6" i="3" a="1"/>
  <c r="BH6" i="3" s="1"/>
  <c r="BH8" i="3" s="1"/>
  <c r="BG6" i="3" a="1"/>
  <c r="BG6" i="3"/>
  <c r="BG7" i="3" s="1"/>
  <c r="BF6" i="3" a="1"/>
  <c r="BF6" i="3"/>
  <c r="BF7" i="3" s="1"/>
  <c r="BE6" i="3" a="1"/>
  <c r="BE6" i="3"/>
  <c r="BE7" i="3" s="1"/>
  <c r="BD6" i="3" a="1"/>
  <c r="BD6" i="3" s="1"/>
  <c r="BC6" i="3" a="1"/>
  <c r="BC6" i="3" s="1"/>
  <c r="BC8" i="3" s="1"/>
  <c r="BB6" i="3" a="1"/>
  <c r="BB6" i="3" s="1"/>
  <c r="BB8" i="3" s="1"/>
  <c r="BA6" i="3" a="1"/>
  <c r="BA6" i="3" s="1"/>
  <c r="AZ6" i="3" a="1"/>
  <c r="AZ6" i="3" s="1"/>
  <c r="AZ7" i="3" s="1"/>
  <c r="AY6" i="3" a="1"/>
  <c r="AY6" i="3"/>
  <c r="AY7" i="3" s="1"/>
  <c r="AX6" i="3" a="1"/>
  <c r="AX6" i="3" s="1"/>
  <c r="AW6" i="3" a="1"/>
  <c r="AW6" i="3" s="1"/>
  <c r="AW8" i="3" s="1"/>
  <c r="AV6" i="3" a="1"/>
  <c r="AV6" i="3"/>
  <c r="AU6" i="3" a="1"/>
  <c r="AU6" i="3"/>
  <c r="AU7" i="3" s="1"/>
  <c r="AT6" i="3" a="1"/>
  <c r="AT6" i="3"/>
  <c r="AT7" i="3" s="1"/>
  <c r="AS6" i="3" a="1"/>
  <c r="AS6" i="3"/>
  <c r="AS8" i="3" s="1"/>
  <c r="AR6" i="3" a="1"/>
  <c r="AR6" i="3" s="1"/>
  <c r="AR8" i="3" s="1"/>
  <c r="AQ6" i="3" a="1"/>
  <c r="AQ6" i="3" s="1"/>
  <c r="AQ8" i="3" s="1"/>
  <c r="AP6" i="3" a="1"/>
  <c r="AP6" i="3" s="1"/>
  <c r="AO6" i="3" a="1"/>
  <c r="AO6" i="3" s="1"/>
  <c r="AN6" i="3" a="1"/>
  <c r="AN6" i="3"/>
  <c r="AN7" i="3" s="1"/>
  <c r="AM6" i="3" a="1"/>
  <c r="AM6" i="3"/>
  <c r="AM8" i="3" s="1"/>
  <c r="AL6" i="3" a="1"/>
  <c r="AL6" i="3" s="1"/>
  <c r="AL8" i="3" s="1"/>
  <c r="AK6" i="3" a="1"/>
  <c r="AK6" i="3"/>
  <c r="AJ6" i="3" a="1"/>
  <c r="AJ6" i="3"/>
  <c r="AI6" i="3" a="1"/>
  <c r="AI6" i="3"/>
  <c r="AI7" i="3" s="1"/>
  <c r="AH6" i="3" a="1"/>
  <c r="AH6" i="3"/>
  <c r="AH8" i="3" s="1"/>
  <c r="AG6" i="3" a="1"/>
  <c r="AG6" i="3" s="1"/>
  <c r="AG8" i="3" s="1"/>
  <c r="AF6" i="3" a="1"/>
  <c r="AF6" i="3" s="1"/>
  <c r="AE6" i="3" a="1"/>
  <c r="AE6" i="3"/>
  <c r="AD6" i="3" a="1"/>
  <c r="AD6" i="3" s="1"/>
  <c r="AC6" i="3" a="1"/>
  <c r="AC6" i="3"/>
  <c r="AB6" i="3" a="1"/>
  <c r="AB6" i="3"/>
  <c r="AB8" i="3" s="1"/>
  <c r="AA6" i="3" a="1"/>
  <c r="AA6" i="3" s="1"/>
  <c r="AA8" i="3" s="1"/>
  <c r="Z6" i="3" a="1"/>
  <c r="Z6" i="3"/>
  <c r="Y6" i="3" a="1"/>
  <c r="Y6" i="3" s="1"/>
  <c r="X6" i="3" a="1"/>
  <c r="X6" i="3"/>
  <c r="X8" i="3" s="1"/>
  <c r="W6" i="3" a="1"/>
  <c r="W6" i="3"/>
  <c r="W7" i="3" s="1"/>
  <c r="V6" i="3" a="1"/>
  <c r="V6" i="3" s="1"/>
  <c r="V8" i="3" s="1"/>
  <c r="U6" i="3" a="1"/>
  <c r="U6" i="3" s="1"/>
  <c r="T6" i="3" a="1"/>
  <c r="T6" i="3"/>
  <c r="T7" i="3" s="1"/>
  <c r="S6" i="3" a="1"/>
  <c r="S6" i="3" s="1"/>
  <c r="R6" i="3" a="1"/>
  <c r="R6" i="3"/>
  <c r="Q6" i="3" a="1"/>
  <c r="Q6" i="3"/>
  <c r="Q8" i="3" s="1"/>
  <c r="P6" i="3" a="1"/>
  <c r="P6" i="3" s="1"/>
  <c r="P8" i="3" s="1"/>
  <c r="O6" i="3" a="1"/>
  <c r="O6" i="3"/>
  <c r="O7" i="3" s="1"/>
  <c r="N6" i="3" a="1"/>
  <c r="N6" i="3"/>
  <c r="M6" i="3" a="1"/>
  <c r="M6" i="3"/>
  <c r="M8" i="3" s="1"/>
  <c r="L6" i="3" a="1"/>
  <c r="L6" i="3" s="1"/>
  <c r="K6" i="3" a="1"/>
  <c r="K6" i="3" s="1"/>
  <c r="K8" i="3" s="1"/>
  <c r="J6" i="3" a="1"/>
  <c r="J6" i="3" s="1"/>
  <c r="J8" i="3" s="1"/>
  <c r="I6" i="3" a="1"/>
  <c r="I6" i="3"/>
  <c r="I7" i="3" s="1"/>
  <c r="H6" i="3" a="1"/>
  <c r="H6" i="3" s="1"/>
  <c r="H7" i="3" s="1"/>
  <c r="G6" i="3" a="1"/>
  <c r="G6" i="3"/>
  <c r="F6" i="3" a="1"/>
  <c r="F6" i="3" s="1"/>
  <c r="E6" i="3" a="1"/>
  <c r="E6" i="3" s="1"/>
  <c r="E8" i="3" s="1"/>
  <c r="D6" i="3" a="1"/>
  <c r="D6" i="3"/>
  <c r="D7" i="3" s="1"/>
  <c r="C6" i="3" a="1"/>
  <c r="C6" i="3" s="1"/>
  <c r="EH26" i="2"/>
  <c r="EG26" i="2"/>
  <c r="EI26" i="2" s="1"/>
  <c r="EH24" i="2"/>
  <c r="EI24" i="2" s="1"/>
  <c r="EG24" i="2"/>
  <c r="EH23" i="2"/>
  <c r="EG23" i="2"/>
  <c r="EI23" i="2" s="1"/>
  <c r="EH22" i="2"/>
  <c r="EI22" i="2" s="1"/>
  <c r="EG22" i="2"/>
  <c r="EH21" i="2"/>
  <c r="EG21" i="2"/>
  <c r="EI21" i="2" s="1"/>
  <c r="EI20" i="2"/>
  <c r="EH20" i="2"/>
  <c r="EG20" i="2"/>
  <c r="EH19" i="2"/>
  <c r="EG19" i="2"/>
  <c r="EI18" i="2"/>
  <c r="EH18" i="2"/>
  <c r="EG18" i="2"/>
  <c r="EI17" i="2"/>
  <c r="EH17" i="2"/>
  <c r="EG17" i="2"/>
  <c r="EI16" i="2"/>
  <c r="EH16" i="2"/>
  <c r="EG16" i="2"/>
  <c r="EI15" i="2"/>
  <c r="EH15" i="2"/>
  <c r="EG15" i="2"/>
  <c r="EH14" i="2"/>
  <c r="EG14" i="2"/>
  <c r="EI14" i="2" s="1"/>
  <c r="EI13" i="2"/>
  <c r="EH13" i="2"/>
  <c r="EG13" i="2"/>
  <c r="EH12" i="2"/>
  <c r="EG12" i="2"/>
  <c r="EI12" i="2" s="1"/>
  <c r="EE8" i="2"/>
  <c r="DV8" i="2"/>
  <c r="DT8" i="2"/>
  <c r="DQ8" i="2"/>
  <c r="DK8" i="2"/>
  <c r="CZ8" i="2"/>
  <c r="CX8" i="2"/>
  <c r="CO8" i="2"/>
  <c r="CI8" i="2"/>
  <c r="CH8" i="2"/>
  <c r="BO8" i="2"/>
  <c r="BN8" i="2"/>
  <c r="BF8" i="2"/>
  <c r="BB8" i="2"/>
  <c r="AW8" i="2"/>
  <c r="AV8" i="2"/>
  <c r="AG8" i="2"/>
  <c r="AA8" i="2"/>
  <c r="V8" i="2"/>
  <c r="P8" i="2"/>
  <c r="N8" i="2"/>
  <c r="K8" i="2"/>
  <c r="E8" i="2"/>
  <c r="EE7" i="2"/>
  <c r="ED7" i="2"/>
  <c r="EB7" i="2"/>
  <c r="DS7" i="2"/>
  <c r="DR7" i="2"/>
  <c r="DK7" i="2"/>
  <c r="DI7" i="2"/>
  <c r="DH7" i="2"/>
  <c r="DG7" i="2"/>
  <c r="DA7" i="2"/>
  <c r="CW7" i="2"/>
  <c r="CU7" i="2"/>
  <c r="CQ7" i="2"/>
  <c r="CO7" i="2"/>
  <c r="CL7" i="2"/>
  <c r="CB7" i="2"/>
  <c r="CA7" i="2"/>
  <c r="BY7" i="2"/>
  <c r="BS7" i="2"/>
  <c r="BP7" i="2"/>
  <c r="BO7" i="2"/>
  <c r="BJ7" i="2"/>
  <c r="BF7" i="2"/>
  <c r="BE7" i="2"/>
  <c r="AY7" i="2"/>
  <c r="AT7" i="2"/>
  <c r="AI7" i="2"/>
  <c r="AG7" i="2"/>
  <c r="AC7" i="2"/>
  <c r="AB7" i="2"/>
  <c r="AA7" i="2"/>
  <c r="X7" i="2"/>
  <c r="Q7" i="2"/>
  <c r="N7" i="2"/>
  <c r="M7" i="2"/>
  <c r="K7" i="2"/>
  <c r="EF6" i="2" a="1"/>
  <c r="EF6" i="2"/>
  <c r="EF7" i="2" s="1"/>
  <c r="EE6" i="2" a="1"/>
  <c r="EE6" i="2" s="1"/>
  <c r="ED6" i="2" a="1"/>
  <c r="ED6" i="2"/>
  <c r="ED8" i="2" s="1"/>
  <c r="EC6" i="2" a="1"/>
  <c r="EC6" i="2"/>
  <c r="EC8" i="2" s="1"/>
  <c r="EB6" i="2" a="1"/>
  <c r="EB6" i="2" s="1"/>
  <c r="EB8" i="2" s="1"/>
  <c r="EA6" i="2" a="1"/>
  <c r="EA6" i="2" s="1"/>
  <c r="DZ6" i="2" a="1"/>
  <c r="DZ6" i="2"/>
  <c r="DZ7" i="2" s="1"/>
  <c r="DY6" i="2" a="1"/>
  <c r="DY6" i="2" s="1"/>
  <c r="DX6" i="2" a="1"/>
  <c r="DX6" i="2"/>
  <c r="DX8" i="2" s="1"/>
  <c r="DW6" i="2" a="1"/>
  <c r="DW6" i="2"/>
  <c r="DW8" i="2" s="1"/>
  <c r="DV6" i="2" a="1"/>
  <c r="DV6" i="2"/>
  <c r="DV7" i="2" s="1"/>
  <c r="DU6" i="2" a="1"/>
  <c r="DU6" i="2" s="1"/>
  <c r="DT6" i="2" a="1"/>
  <c r="DT6" i="2" s="1"/>
  <c r="DT7" i="2" s="1"/>
  <c r="DS6" i="2" a="1"/>
  <c r="DS6" i="2"/>
  <c r="DS8" i="2" s="1"/>
  <c r="DR6" i="2" a="1"/>
  <c r="DR6" i="2"/>
  <c r="DR8" i="2" s="1"/>
  <c r="DQ6" i="2" a="1"/>
  <c r="DQ6" i="2" s="1"/>
  <c r="DQ7" i="2" s="1"/>
  <c r="DP6" i="2" a="1"/>
  <c r="DP6" i="2"/>
  <c r="DP7" i="2" s="1"/>
  <c r="DO6" i="2" a="1"/>
  <c r="DO6" i="2"/>
  <c r="DO7" i="2" s="1"/>
  <c r="DN6" i="2" a="1"/>
  <c r="DN6" i="2" s="1"/>
  <c r="DM6" i="2" a="1"/>
  <c r="DM6" i="2"/>
  <c r="DM8" i="2" s="1"/>
  <c r="DL6" i="2" a="1"/>
  <c r="DL6" i="2" s="1"/>
  <c r="DK6" i="2" a="1"/>
  <c r="DK6" i="2"/>
  <c r="DJ6" i="2" a="1"/>
  <c r="DJ6" i="2"/>
  <c r="DJ7" i="2" s="1"/>
  <c r="DI6" i="2" a="1"/>
  <c r="DI6" i="2" s="1"/>
  <c r="DI8" i="2" s="1"/>
  <c r="DH6" i="2" a="1"/>
  <c r="DH6" i="2"/>
  <c r="DH8" i="2" s="1"/>
  <c r="DG6" i="2" a="1"/>
  <c r="DG6" i="2"/>
  <c r="DG8" i="2" s="1"/>
  <c r="DF6" i="2" a="1"/>
  <c r="DF6" i="2" s="1"/>
  <c r="DF7" i="2" s="1"/>
  <c r="DE6" i="2" a="1"/>
  <c r="DE6" i="2"/>
  <c r="DE7" i="2" s="1"/>
  <c r="DD6" i="2" a="1"/>
  <c r="DD6" i="2"/>
  <c r="DD7" i="2" s="1"/>
  <c r="DC6" i="2" a="1"/>
  <c r="DC6" i="2" s="1"/>
  <c r="DB6" i="2" a="1"/>
  <c r="DB6" i="2"/>
  <c r="DB8" i="2" s="1"/>
  <c r="DA6" i="2" a="1"/>
  <c r="DA6" i="2"/>
  <c r="DA8" i="2" s="1"/>
  <c r="CZ6" i="2" a="1"/>
  <c r="CZ6" i="2"/>
  <c r="CZ7" i="2" s="1"/>
  <c r="CY6" i="2" a="1"/>
  <c r="CY6" i="2"/>
  <c r="CY7" i="2" s="1"/>
  <c r="CX6" i="2" a="1"/>
  <c r="CX6" i="2" s="1"/>
  <c r="CX7" i="2" s="1"/>
  <c r="CW6" i="2" a="1"/>
  <c r="CW6" i="2"/>
  <c r="CW8" i="2" s="1"/>
  <c r="CV6" i="2" a="1"/>
  <c r="CV6" i="2"/>
  <c r="CV8" i="2" s="1"/>
  <c r="CU6" i="2" a="1"/>
  <c r="CU6" i="2" s="1"/>
  <c r="CU8" i="2" s="1"/>
  <c r="CT6" i="2" a="1"/>
  <c r="CT6" i="2"/>
  <c r="CT7" i="2" s="1"/>
  <c r="CS6" i="2" a="1"/>
  <c r="CS6" i="2" s="1"/>
  <c r="CR6" i="2" a="1"/>
  <c r="CR6" i="2" s="1"/>
  <c r="CQ6" i="2" a="1"/>
  <c r="CQ6" i="2"/>
  <c r="CQ8" i="2" s="1"/>
  <c r="CP6" i="2" a="1"/>
  <c r="CP6" i="2" s="1"/>
  <c r="CO6" i="2" a="1"/>
  <c r="CO6" i="2"/>
  <c r="CN6" i="2" a="1"/>
  <c r="CN6" i="2"/>
  <c r="CN7" i="2" s="1"/>
  <c r="CM6" i="2" a="1"/>
  <c r="CM6" i="2" s="1"/>
  <c r="CM7" i="2" s="1"/>
  <c r="CL6" i="2" a="1"/>
  <c r="CL6" i="2"/>
  <c r="CL8" i="2" s="1"/>
  <c r="CK6" i="2" a="1"/>
  <c r="CK6" i="2"/>
  <c r="CK8" i="2" s="1"/>
  <c r="CJ6" i="2" a="1"/>
  <c r="CJ6" i="2" s="1"/>
  <c r="CJ7" i="2" s="1"/>
  <c r="CI6" i="2" a="1"/>
  <c r="CI6" i="2"/>
  <c r="CI7" i="2" s="1"/>
  <c r="CH6" i="2" a="1"/>
  <c r="CH6" i="2"/>
  <c r="CH7" i="2" s="1"/>
  <c r="CG6" i="2" a="1"/>
  <c r="CG6" i="2" s="1"/>
  <c r="CF6" i="2" a="1"/>
  <c r="CF6" i="2"/>
  <c r="CF8" i="2" s="1"/>
  <c r="CE6" i="2" a="1"/>
  <c r="CE6" i="2" s="1"/>
  <c r="CD6" i="2" a="1"/>
  <c r="CD6" i="2"/>
  <c r="CD8" i="2" s="1"/>
  <c r="CC6" i="2" a="1"/>
  <c r="CC6" i="2"/>
  <c r="CC7" i="2" s="1"/>
  <c r="CB6" i="2" a="1"/>
  <c r="CB6" i="2" s="1"/>
  <c r="CB8" i="2" s="1"/>
  <c r="CA6" i="2" a="1"/>
  <c r="CA6" i="2"/>
  <c r="CA8" i="2" s="1"/>
  <c r="BZ6" i="2" a="1"/>
  <c r="BZ6" i="2" s="1"/>
  <c r="BY6" i="2" a="1"/>
  <c r="BY6" i="2" s="1"/>
  <c r="BY8" i="2" s="1"/>
  <c r="BX6" i="2" a="1"/>
  <c r="BX6" i="2"/>
  <c r="BX7" i="2" s="1"/>
  <c r="BW6" i="2" a="1"/>
  <c r="BW6" i="2" s="1"/>
  <c r="BV6" i="2" a="1"/>
  <c r="BV6" i="2" s="1"/>
  <c r="BU6" i="2" a="1"/>
  <c r="BU6" i="2"/>
  <c r="BU8" i="2" s="1"/>
  <c r="BT6" i="2" a="1"/>
  <c r="BT6" i="2"/>
  <c r="BT8" i="2" s="1"/>
  <c r="BS6" i="2" a="1"/>
  <c r="BS6" i="2"/>
  <c r="BS8" i="2" s="1"/>
  <c r="BR6" i="2" a="1"/>
  <c r="BR6" i="2"/>
  <c r="BR7" i="2" s="1"/>
  <c r="BQ6" i="2" a="1"/>
  <c r="BQ6" i="2" s="1"/>
  <c r="BQ7" i="2" s="1"/>
  <c r="BP6" i="2" a="1"/>
  <c r="BP6" i="2"/>
  <c r="BP8" i="2" s="1"/>
  <c r="BO6" i="2" a="1"/>
  <c r="BO6" i="2"/>
  <c r="BN6" i="2" a="1"/>
  <c r="BN6" i="2" s="1"/>
  <c r="BN7" i="2" s="1"/>
  <c r="BM6" i="2" a="1"/>
  <c r="BM6" i="2" s="1"/>
  <c r="BL6" i="2" a="1"/>
  <c r="BL6" i="2" s="1"/>
  <c r="BK6" i="2" a="1"/>
  <c r="BK6" i="2" s="1"/>
  <c r="BJ6" i="2" a="1"/>
  <c r="BJ6" i="2"/>
  <c r="BJ8" i="2" s="1"/>
  <c r="BI6" i="2" a="1"/>
  <c r="BI6" i="2" s="1"/>
  <c r="BH6" i="2" a="1"/>
  <c r="BH6" i="2"/>
  <c r="BH7" i="2" s="1"/>
  <c r="BG6" i="2" a="1"/>
  <c r="BG6" i="2" s="1"/>
  <c r="BF6" i="2" a="1"/>
  <c r="BF6" i="2" s="1"/>
  <c r="BE6" i="2" a="1"/>
  <c r="BE6" i="2"/>
  <c r="BE8" i="2" s="1"/>
  <c r="BD6" i="2" a="1"/>
  <c r="BD6" i="2" s="1"/>
  <c r="BC6" i="2" a="1"/>
  <c r="BC6" i="2" s="1"/>
  <c r="BC7" i="2" s="1"/>
  <c r="BB6" i="2" a="1"/>
  <c r="BB6" i="2"/>
  <c r="BB7" i="2" s="1"/>
  <c r="BA6" i="2" a="1"/>
  <c r="BA6" i="2"/>
  <c r="BA7" i="2" s="1"/>
  <c r="AZ6" i="2" a="1"/>
  <c r="AZ6" i="2" s="1"/>
  <c r="AY6" i="2" a="1"/>
  <c r="AY6" i="2"/>
  <c r="AY8" i="2" s="1"/>
  <c r="AX6" i="2" a="1"/>
  <c r="AX6" i="2"/>
  <c r="AX8" i="2" s="1"/>
  <c r="AW6" i="2" a="1"/>
  <c r="AW6" i="2"/>
  <c r="AW7" i="2" s="1"/>
  <c r="AV6" i="2" a="1"/>
  <c r="AV6" i="2"/>
  <c r="AV7" i="2" s="1"/>
  <c r="AU6" i="2" a="1"/>
  <c r="AU6" i="2" s="1"/>
  <c r="AU8" i="2" s="1"/>
  <c r="AT6" i="2" a="1"/>
  <c r="AT6" i="2"/>
  <c r="AT8" i="2" s="1"/>
  <c r="AS6" i="2" a="1"/>
  <c r="AS6" i="2" s="1"/>
  <c r="AR6" i="2" a="1"/>
  <c r="AR6" i="2" s="1"/>
  <c r="AR7" i="2" s="1"/>
  <c r="AQ6" i="2" a="1"/>
  <c r="AQ6" i="2" s="1"/>
  <c r="AP6" i="2" a="1"/>
  <c r="AP6" i="2" s="1"/>
  <c r="AO6" i="2" a="1"/>
  <c r="AO6" i="2" s="1"/>
  <c r="AN6" i="2" a="1"/>
  <c r="AN6" i="2"/>
  <c r="AN8" i="2" s="1"/>
  <c r="AM6" i="2" a="1"/>
  <c r="AM6" i="2"/>
  <c r="AM8" i="2" s="1"/>
  <c r="AL6" i="2" a="1"/>
  <c r="AL6" i="2"/>
  <c r="AL7" i="2" s="1"/>
  <c r="AK6" i="2" a="1"/>
  <c r="AK6" i="2" s="1"/>
  <c r="AJ6" i="2" a="1"/>
  <c r="AJ6" i="2" s="1"/>
  <c r="AJ7" i="2" s="1"/>
  <c r="AI6" i="2" a="1"/>
  <c r="AI6" i="2"/>
  <c r="AI8" i="2" s="1"/>
  <c r="AH6" i="2" a="1"/>
  <c r="AH6" i="2"/>
  <c r="AH7" i="2" s="1"/>
  <c r="AG6" i="2" a="1"/>
  <c r="AG6" i="2" s="1"/>
  <c r="AF6" i="2" a="1"/>
  <c r="AF6" i="2" s="1"/>
  <c r="AE6" i="2" a="1"/>
  <c r="AE6" i="2"/>
  <c r="AE7" i="2" s="1"/>
  <c r="AD6" i="2" a="1"/>
  <c r="AD6" i="2" s="1"/>
  <c r="AC6" i="2" a="1"/>
  <c r="AC6" i="2"/>
  <c r="AC8" i="2" s="1"/>
  <c r="AB6" i="2" a="1"/>
  <c r="AB6" i="2"/>
  <c r="AB8" i="2" s="1"/>
  <c r="AA6" i="2" a="1"/>
  <c r="AA6" i="2"/>
  <c r="Z6" i="2" a="1"/>
  <c r="Z6" i="2" s="1"/>
  <c r="Y6" i="2" a="1"/>
  <c r="Y6" i="2" s="1"/>
  <c r="Y7" i="2" s="1"/>
  <c r="X6" i="2" a="1"/>
  <c r="X6" i="2"/>
  <c r="X8" i="2" s="1"/>
  <c r="W6" i="2" a="1"/>
  <c r="W6" i="2" s="1"/>
  <c r="V6" i="2" a="1"/>
  <c r="V6" i="2" s="1"/>
  <c r="V7" i="2" s="1"/>
  <c r="U6" i="2" a="1"/>
  <c r="U6" i="2"/>
  <c r="U7" i="2" s="1"/>
  <c r="T6" i="2" a="1"/>
  <c r="T6" i="2"/>
  <c r="T7" i="2" s="1"/>
  <c r="S6" i="2" a="1"/>
  <c r="S6" i="2" s="1"/>
  <c r="R6" i="2" a="1"/>
  <c r="R6" i="2"/>
  <c r="R8" i="2" s="1"/>
  <c r="Q6" i="2" a="1"/>
  <c r="Q6" i="2"/>
  <c r="Q8" i="2" s="1"/>
  <c r="P6" i="2" a="1"/>
  <c r="P6" i="2"/>
  <c r="P7" i="2" s="1"/>
  <c r="O6" i="2" a="1"/>
  <c r="O6" i="2"/>
  <c r="O7" i="2" s="1"/>
  <c r="N6" i="2" a="1"/>
  <c r="N6" i="2" s="1"/>
  <c r="M6" i="2" a="1"/>
  <c r="M6" i="2"/>
  <c r="M8" i="2" s="1"/>
  <c r="L6" i="2" a="1"/>
  <c r="L6" i="2"/>
  <c r="L8" i="2" s="1"/>
  <c r="K6" i="2" a="1"/>
  <c r="K6" i="2" s="1"/>
  <c r="J6" i="2" a="1"/>
  <c r="J6" i="2" s="1"/>
  <c r="I6" i="2" a="1"/>
  <c r="I6" i="2"/>
  <c r="I7" i="2" s="1"/>
  <c r="H6" i="2" a="1"/>
  <c r="H6" i="2" s="1"/>
  <c r="G6" i="2" a="1"/>
  <c r="G6" i="2"/>
  <c r="G8" i="2" s="1"/>
  <c r="F6" i="2" a="1"/>
  <c r="F6" i="2"/>
  <c r="F8" i="2" s="1"/>
  <c r="E6" i="2" a="1"/>
  <c r="E6" i="2"/>
  <c r="E7" i="2" s="1"/>
  <c r="D6" i="2" a="1"/>
  <c r="D6" i="2" s="1"/>
  <c r="C6" i="2" a="1"/>
  <c r="C6" i="2" s="1"/>
  <c r="C7" i="2" s="1"/>
  <c r="EC8" i="1"/>
  <c r="DZ8" i="1"/>
  <c r="DX8" i="1"/>
  <c r="DW8" i="1"/>
  <c r="DR8" i="1"/>
  <c r="DO8" i="1"/>
  <c r="DM8" i="1"/>
  <c r="DL8" i="1"/>
  <c r="DD8" i="1"/>
  <c r="DB8" i="1"/>
  <c r="DA8" i="1"/>
  <c r="CU8" i="1"/>
  <c r="CQ8" i="1"/>
  <c r="CP8" i="1"/>
  <c r="CL8" i="1"/>
  <c r="CK8" i="1"/>
  <c r="CJ8" i="1"/>
  <c r="CF8" i="1"/>
  <c r="CE8" i="1"/>
  <c r="BW8" i="1"/>
  <c r="BV8" i="1"/>
  <c r="BT8" i="1"/>
  <c r="BL8" i="1"/>
  <c r="BI8" i="1"/>
  <c r="BE8" i="1"/>
  <c r="BD8" i="1"/>
  <c r="BC8" i="1"/>
  <c r="AX8" i="1"/>
  <c r="AR8" i="1"/>
  <c r="AM8" i="1"/>
  <c r="AB8" i="1"/>
  <c r="W8" i="1"/>
  <c r="V8" i="1"/>
  <c r="S8" i="1"/>
  <c r="Q8" i="1"/>
  <c r="L8" i="1"/>
  <c r="G8" i="1"/>
  <c r="F8" i="1"/>
  <c r="EA7" i="1"/>
  <c r="DU7" i="1"/>
  <c r="DQ7" i="1"/>
  <c r="DO7" i="1"/>
  <c r="DH7" i="1"/>
  <c r="DD7" i="1"/>
  <c r="DC7" i="1"/>
  <c r="CY7" i="1"/>
  <c r="CW7" i="1"/>
  <c r="CS7" i="1"/>
  <c r="CJ7" i="1"/>
  <c r="BY7" i="1"/>
  <c r="BR7" i="1"/>
  <c r="BQ7" i="1"/>
  <c r="BE7" i="1"/>
  <c r="BC7" i="1"/>
  <c r="AV7" i="1"/>
  <c r="AR7" i="1"/>
  <c r="Y7" i="1"/>
  <c r="V7" i="1"/>
  <c r="T7" i="1"/>
  <c r="S7" i="1"/>
  <c r="J7" i="1"/>
  <c r="D7" i="1"/>
  <c r="EF6" i="1" a="1"/>
  <c r="EF6" i="1" s="1"/>
  <c r="EF8" i="1" s="1"/>
  <c r="EE6" i="1" a="1"/>
  <c r="EE6" i="1" s="1"/>
  <c r="ED6" i="1" a="1"/>
  <c r="ED6" i="1" s="1"/>
  <c r="EC6" i="1" a="1"/>
  <c r="EC6" i="1" s="1"/>
  <c r="EC7" i="1" s="1"/>
  <c r="EB6" i="1" a="1"/>
  <c r="EB6" i="1"/>
  <c r="EB7" i="1" s="1"/>
  <c r="EA6" i="1" a="1"/>
  <c r="EA6" i="1"/>
  <c r="EA8" i="1" s="1"/>
  <c r="DZ6" i="1" a="1"/>
  <c r="DZ6" i="1"/>
  <c r="DZ7" i="1" s="1"/>
  <c r="DY6" i="1" a="1"/>
  <c r="DY6" i="1" s="1"/>
  <c r="DX6" i="1" a="1"/>
  <c r="DX6" i="1" s="1"/>
  <c r="DX7" i="1" s="1"/>
  <c r="DW6" i="1" a="1"/>
  <c r="DW6" i="1"/>
  <c r="DW7" i="1" s="1"/>
  <c r="DV6" i="1" a="1"/>
  <c r="DV6" i="1"/>
  <c r="DU6" i="1" a="1"/>
  <c r="DU6" i="1" s="1"/>
  <c r="DU8" i="1" s="1"/>
  <c r="DT6" i="1" a="1"/>
  <c r="DT6" i="1" s="1"/>
  <c r="DS6" i="1" a="1"/>
  <c r="DS6" i="1"/>
  <c r="DS8" i="1" s="1"/>
  <c r="DR6" i="1" a="1"/>
  <c r="DR6" i="1" s="1"/>
  <c r="DR7" i="1" s="1"/>
  <c r="DQ6" i="1" a="1"/>
  <c r="DQ6" i="1"/>
  <c r="DQ8" i="1" s="1"/>
  <c r="DP6" i="1" a="1"/>
  <c r="DP6" i="1"/>
  <c r="DP8" i="1" s="1"/>
  <c r="DO6" i="1" a="1"/>
  <c r="DO6" i="1"/>
  <c r="DN6" i="1" a="1"/>
  <c r="DN6" i="1" s="1"/>
  <c r="DM6" i="1" a="1"/>
  <c r="DM6" i="1" s="1"/>
  <c r="DM7" i="1" s="1"/>
  <c r="DL6" i="1" a="1"/>
  <c r="DL6" i="1"/>
  <c r="DL7" i="1" s="1"/>
  <c r="DK6" i="1" a="1"/>
  <c r="DK6" i="1" s="1"/>
  <c r="DJ6" i="1" a="1"/>
  <c r="DJ6" i="1" s="1"/>
  <c r="DJ8" i="1" s="1"/>
  <c r="DI6" i="1" a="1"/>
  <c r="DI6" i="1"/>
  <c r="DI8" i="1" s="1"/>
  <c r="DH6" i="1" a="1"/>
  <c r="DH6" i="1"/>
  <c r="DH8" i="1" s="1"/>
  <c r="DG6" i="1" a="1"/>
  <c r="DG6" i="1" s="1"/>
  <c r="DG7" i="1" s="1"/>
  <c r="DF6" i="1" a="1"/>
  <c r="DF6" i="1"/>
  <c r="DF7" i="1" s="1"/>
  <c r="DE6" i="1" a="1"/>
  <c r="DE6" i="1"/>
  <c r="DE8" i="1" s="1"/>
  <c r="DD6" i="1" a="1"/>
  <c r="DD6" i="1"/>
  <c r="DC6" i="1" a="1"/>
  <c r="DC6" i="1"/>
  <c r="DC8" i="1" s="1"/>
  <c r="DB6" i="1" a="1"/>
  <c r="DB6" i="1" s="1"/>
  <c r="DB7" i="1" s="1"/>
  <c r="DA6" i="1" a="1"/>
  <c r="DA6" i="1"/>
  <c r="DA7" i="1" s="1"/>
  <c r="CZ6" i="1" a="1"/>
  <c r="CZ6" i="1"/>
  <c r="CY6" i="1" a="1"/>
  <c r="CY6" i="1" s="1"/>
  <c r="CY8" i="1" s="1"/>
  <c r="CX6" i="1" a="1"/>
  <c r="CX6" i="1" s="1"/>
  <c r="CW6" i="1" a="1"/>
  <c r="CW6" i="1"/>
  <c r="CW8" i="1" s="1"/>
  <c r="CV6" i="1" a="1"/>
  <c r="CV6" i="1" s="1"/>
  <c r="CV7" i="1" s="1"/>
  <c r="CU6" i="1" a="1"/>
  <c r="CU6" i="1"/>
  <c r="CU7" i="1" s="1"/>
  <c r="CT6" i="1" a="1"/>
  <c r="CT6" i="1"/>
  <c r="CT8" i="1" s="1"/>
  <c r="CS6" i="1" a="1"/>
  <c r="CS6" i="1"/>
  <c r="CS8" i="1" s="1"/>
  <c r="CR6" i="1" a="1"/>
  <c r="CR6" i="1" s="1"/>
  <c r="CQ6" i="1" a="1"/>
  <c r="CQ6" i="1" s="1"/>
  <c r="CQ7" i="1" s="1"/>
  <c r="CP6" i="1" a="1"/>
  <c r="CP6" i="1"/>
  <c r="CP7" i="1" s="1"/>
  <c r="CO6" i="1" a="1"/>
  <c r="CO6" i="1"/>
  <c r="CN6" i="1" a="1"/>
  <c r="CN6" i="1" s="1"/>
  <c r="CN8" i="1" s="1"/>
  <c r="CM6" i="1" a="1"/>
  <c r="CM6" i="1"/>
  <c r="CM8" i="1" s="1"/>
  <c r="CL6" i="1" a="1"/>
  <c r="CL6" i="1"/>
  <c r="CL7" i="1" s="1"/>
  <c r="CK6" i="1" a="1"/>
  <c r="CK6" i="1" s="1"/>
  <c r="CK7" i="1" s="1"/>
  <c r="CJ6" i="1" a="1"/>
  <c r="CJ6" i="1"/>
  <c r="CI6" i="1" a="1"/>
  <c r="CI6" i="1" s="1"/>
  <c r="CH6" i="1" a="1"/>
  <c r="CH6" i="1"/>
  <c r="CH7" i="1" s="1"/>
  <c r="CG6" i="1" a="1"/>
  <c r="CG6" i="1"/>
  <c r="CG7" i="1" s="1"/>
  <c r="CF6" i="1" a="1"/>
  <c r="CF6" i="1" s="1"/>
  <c r="CF7" i="1" s="1"/>
  <c r="CE6" i="1" a="1"/>
  <c r="CE6" i="1"/>
  <c r="CE7" i="1" s="1"/>
  <c r="CD6" i="1" a="1"/>
  <c r="CD6" i="1"/>
  <c r="CC6" i="1" a="1"/>
  <c r="CC6" i="1" s="1"/>
  <c r="CC8" i="1" s="1"/>
  <c r="CB6" i="1" a="1"/>
  <c r="CB6" i="1"/>
  <c r="CB8" i="1" s="1"/>
  <c r="CA6" i="1" a="1"/>
  <c r="CA6" i="1"/>
  <c r="CA7" i="1" s="1"/>
  <c r="BZ6" i="1" a="1"/>
  <c r="BZ6" i="1" s="1"/>
  <c r="BZ7" i="1" s="1"/>
  <c r="BY6" i="1" a="1"/>
  <c r="BY6" i="1"/>
  <c r="BY8" i="1" s="1"/>
  <c r="BX6" i="1" a="1"/>
  <c r="BX6" i="1"/>
  <c r="BX8" i="1" s="1"/>
  <c r="BW6" i="1" a="1"/>
  <c r="BW6" i="1"/>
  <c r="BW7" i="1" s="1"/>
  <c r="BV6" i="1" a="1"/>
  <c r="BV6" i="1"/>
  <c r="BV7" i="1" s="1"/>
  <c r="BU6" i="1" a="1"/>
  <c r="BU6" i="1" s="1"/>
  <c r="BU7" i="1" s="1"/>
  <c r="BT6" i="1" a="1"/>
  <c r="BT6" i="1"/>
  <c r="BT7" i="1" s="1"/>
  <c r="BS6" i="1" a="1"/>
  <c r="BS6" i="1"/>
  <c r="BR6" i="1" a="1"/>
  <c r="BR6" i="1" s="1"/>
  <c r="BR8" i="1" s="1"/>
  <c r="BQ6" i="1" a="1"/>
  <c r="BQ6" i="1"/>
  <c r="BQ8" i="1" s="1"/>
  <c r="BP6" i="1" a="1"/>
  <c r="BP6" i="1" s="1"/>
  <c r="BO6" i="1" a="1"/>
  <c r="BO6" i="1" s="1"/>
  <c r="BO7" i="1" s="1"/>
  <c r="BN6" i="1" a="1"/>
  <c r="BN6" i="1"/>
  <c r="BN7" i="1" s="1"/>
  <c r="BM6" i="1" a="1"/>
  <c r="BM6" i="1" s="1"/>
  <c r="BL6" i="1" a="1"/>
  <c r="BL6" i="1"/>
  <c r="BL7" i="1" s="1"/>
  <c r="BK6" i="1" a="1"/>
  <c r="BK6" i="1"/>
  <c r="BK7" i="1" s="1"/>
  <c r="BJ6" i="1" a="1"/>
  <c r="BJ6" i="1" s="1"/>
  <c r="BJ7" i="1" s="1"/>
  <c r="BI6" i="1" a="1"/>
  <c r="BI6" i="1"/>
  <c r="BI7" i="1" s="1"/>
  <c r="BH6" i="1" a="1"/>
  <c r="BH6" i="1"/>
  <c r="BG6" i="1" a="1"/>
  <c r="BG6" i="1" s="1"/>
  <c r="BG8" i="1" s="1"/>
  <c r="BF6" i="1" a="1"/>
  <c r="BF6" i="1"/>
  <c r="BF8" i="1" s="1"/>
  <c r="BE6" i="1" a="1"/>
  <c r="BE6" i="1"/>
  <c r="BD6" i="1" a="1"/>
  <c r="BD6" i="1" s="1"/>
  <c r="BD7" i="1" s="1"/>
  <c r="BC6" i="1" a="1"/>
  <c r="BC6" i="1"/>
  <c r="BB6" i="1" a="1"/>
  <c r="BB6" i="1" s="1"/>
  <c r="BA6" i="1" a="1"/>
  <c r="BA6" i="1"/>
  <c r="BA8" i="1" s="1"/>
  <c r="AZ6" i="1" a="1"/>
  <c r="AZ6" i="1"/>
  <c r="AZ7" i="1" s="1"/>
  <c r="AY6" i="1" a="1"/>
  <c r="AY6" i="1" s="1"/>
  <c r="AY7" i="1" s="1"/>
  <c r="AX6" i="1" a="1"/>
  <c r="AX6" i="1"/>
  <c r="AX7" i="1" s="1"/>
  <c r="AW6" i="1" a="1"/>
  <c r="AW6" i="1" s="1"/>
  <c r="AV6" i="1" a="1"/>
  <c r="AV6" i="1" s="1"/>
  <c r="AV8" i="1" s="1"/>
  <c r="AU6" i="1" a="1"/>
  <c r="AU6" i="1"/>
  <c r="AU8" i="1" s="1"/>
  <c r="AT6" i="1" a="1"/>
  <c r="AT6" i="1" s="1"/>
  <c r="AS6" i="1" a="1"/>
  <c r="AS6" i="1" s="1"/>
  <c r="AS7" i="1" s="1"/>
  <c r="AR6" i="1" a="1"/>
  <c r="AR6" i="1"/>
  <c r="AQ6" i="1" a="1"/>
  <c r="AQ6" i="1"/>
  <c r="AQ8" i="1" s="1"/>
  <c r="AP6" i="1" a="1"/>
  <c r="AP6" i="1"/>
  <c r="AP7" i="1" s="1"/>
  <c r="AO6" i="1" a="1"/>
  <c r="AO6" i="1"/>
  <c r="AO7" i="1" s="1"/>
  <c r="AN6" i="1" a="1"/>
  <c r="AN6" i="1" s="1"/>
  <c r="AN7" i="1" s="1"/>
  <c r="AM6" i="1" a="1"/>
  <c r="AM6" i="1"/>
  <c r="AM7" i="1" s="1"/>
  <c r="AL6" i="1" a="1"/>
  <c r="AL6" i="1"/>
  <c r="AK6" i="1" a="1"/>
  <c r="AK6" i="1" s="1"/>
  <c r="AK8" i="1" s="1"/>
  <c r="AJ6" i="1" a="1"/>
  <c r="AJ6" i="1" s="1"/>
  <c r="AI6" i="1" a="1"/>
  <c r="AI6" i="1" s="1"/>
  <c r="AH6" i="1" a="1"/>
  <c r="AH6" i="1" s="1"/>
  <c r="AH7" i="1" s="1"/>
  <c r="AG6" i="1" a="1"/>
  <c r="AG6" i="1"/>
  <c r="AG7" i="1" s="1"/>
  <c r="AF6" i="1" a="1"/>
  <c r="AF6" i="1" s="1"/>
  <c r="AE6" i="1" a="1"/>
  <c r="AE6" i="1"/>
  <c r="AE7" i="1" s="1"/>
  <c r="AD6" i="1" a="1"/>
  <c r="AD6" i="1" s="1"/>
  <c r="AC6" i="1" a="1"/>
  <c r="AC6" i="1" s="1"/>
  <c r="AC7" i="1" s="1"/>
  <c r="AB6" i="1" a="1"/>
  <c r="AB6" i="1"/>
  <c r="AB7" i="1" s="1"/>
  <c r="AA6" i="1" a="1"/>
  <c r="AA6" i="1" s="1"/>
  <c r="Z6" i="1" a="1"/>
  <c r="Z6" i="1" s="1"/>
  <c r="Z8" i="1" s="1"/>
  <c r="Y6" i="1" a="1"/>
  <c r="Y6" i="1"/>
  <c r="Y8" i="1" s="1"/>
  <c r="X6" i="1" a="1"/>
  <c r="X6" i="1"/>
  <c r="X7" i="1" s="1"/>
  <c r="W6" i="1" a="1"/>
  <c r="W6" i="1" s="1"/>
  <c r="W7" i="1" s="1"/>
  <c r="V6" i="1" a="1"/>
  <c r="V6" i="1"/>
  <c r="U6" i="1" a="1"/>
  <c r="U6" i="1"/>
  <c r="U8" i="1" s="1"/>
  <c r="T6" i="1" a="1"/>
  <c r="T6" i="1"/>
  <c r="T8" i="1" s="1"/>
  <c r="S6" i="1" a="1"/>
  <c r="S6" i="1"/>
  <c r="R6" i="1" a="1"/>
  <c r="R6" i="1" s="1"/>
  <c r="R7" i="1" s="1"/>
  <c r="Q6" i="1" a="1"/>
  <c r="Q6" i="1"/>
  <c r="Q7" i="1" s="1"/>
  <c r="P6" i="1" a="1"/>
  <c r="P6" i="1" s="1"/>
  <c r="O6" i="1" a="1"/>
  <c r="O6" i="1" s="1"/>
  <c r="O8" i="1" s="1"/>
  <c r="N6" i="1" a="1"/>
  <c r="N6" i="1" s="1"/>
  <c r="M6" i="1" a="1"/>
  <c r="M6" i="1" s="1"/>
  <c r="L6" i="1" a="1"/>
  <c r="L6" i="1" s="1"/>
  <c r="L7" i="1" s="1"/>
  <c r="K6" i="1" a="1"/>
  <c r="K6" i="1"/>
  <c r="K7" i="1" s="1"/>
  <c r="J6" i="1" a="1"/>
  <c r="J6" i="1"/>
  <c r="J8" i="1" s="1"/>
  <c r="I6" i="1" a="1"/>
  <c r="I6" i="1"/>
  <c r="I7" i="1" s="1"/>
  <c r="H6" i="1" a="1"/>
  <c r="H6" i="1" s="1"/>
  <c r="G6" i="1" a="1"/>
  <c r="G6" i="1" s="1"/>
  <c r="G7" i="1" s="1"/>
  <c r="F6" i="1" a="1"/>
  <c r="F6" i="1"/>
  <c r="F7" i="1" s="1"/>
  <c r="E6" i="1" a="1"/>
  <c r="E6" i="1"/>
  <c r="D6" i="1" a="1"/>
  <c r="D6" i="1" s="1"/>
  <c r="D8" i="1" s="1"/>
  <c r="C6" i="1" a="1"/>
  <c r="C6" i="1" s="1"/>
  <c r="EH13" i="3" l="1"/>
  <c r="EH23" i="3"/>
  <c r="EG17" i="3"/>
  <c r="EH17" i="3"/>
  <c r="EG20" i="3"/>
  <c r="H7" i="1"/>
  <c r="H8" i="1"/>
  <c r="P8" i="1"/>
  <c r="P7" i="1"/>
  <c r="AD7" i="1"/>
  <c r="AD8" i="1"/>
  <c r="EE8" i="1"/>
  <c r="EE7" i="1"/>
  <c r="AF7" i="2"/>
  <c r="AF8" i="2"/>
  <c r="EA7" i="2"/>
  <c r="EA8" i="2"/>
  <c r="Z7" i="2"/>
  <c r="Z8" i="2"/>
  <c r="DU7" i="2"/>
  <c r="DU8" i="2"/>
  <c r="AT8" i="1"/>
  <c r="AT7" i="1"/>
  <c r="CI8" i="1"/>
  <c r="CI7" i="1"/>
  <c r="DY7" i="1"/>
  <c r="DY8" i="1"/>
  <c r="BZ8" i="2"/>
  <c r="BZ7" i="2"/>
  <c r="BA7" i="3"/>
  <c r="BA8" i="3"/>
  <c r="CS7" i="3"/>
  <c r="CS8" i="3"/>
  <c r="AF8" i="1"/>
  <c r="AF7" i="1"/>
  <c r="BB8" i="1"/>
  <c r="BB7" i="1"/>
  <c r="BP7" i="1"/>
  <c r="BP8" i="1"/>
  <c r="DK8" i="1"/>
  <c r="DK7" i="1"/>
  <c r="BD7" i="2"/>
  <c r="BD8" i="2"/>
  <c r="BL7" i="2"/>
  <c r="BL8" i="2"/>
  <c r="C7" i="3"/>
  <c r="C8" i="3"/>
  <c r="Y8" i="3"/>
  <c r="Y7" i="3"/>
  <c r="BQ7" i="3"/>
  <c r="BQ8" i="3"/>
  <c r="DO7" i="3"/>
  <c r="DO8" i="3"/>
  <c r="DW8" i="3"/>
  <c r="DW7" i="3"/>
  <c r="BO8" i="3"/>
  <c r="BO7" i="3"/>
  <c r="C8" i="1"/>
  <c r="C7" i="1"/>
  <c r="CX8" i="1"/>
  <c r="CX7" i="1"/>
  <c r="AP7" i="2"/>
  <c r="AP8" i="2"/>
  <c r="BM7" i="2"/>
  <c r="BM8" i="2"/>
  <c r="L8" i="3"/>
  <c r="L7" i="3"/>
  <c r="CR7" i="1"/>
  <c r="CR8" i="1"/>
  <c r="AQ7" i="2"/>
  <c r="AQ8" i="2"/>
  <c r="BD8" i="3"/>
  <c r="BD7" i="3"/>
  <c r="AW8" i="1"/>
  <c r="AW7" i="1"/>
  <c r="DT8" i="1"/>
  <c r="DT7" i="1"/>
  <c r="CP8" i="2"/>
  <c r="CP7" i="2"/>
  <c r="AA8" i="1"/>
  <c r="AA7" i="1"/>
  <c r="AI8" i="1"/>
  <c r="AI7" i="1"/>
  <c r="DN7" i="1"/>
  <c r="DN8" i="1"/>
  <c r="AK7" i="2"/>
  <c r="AK8" i="2"/>
  <c r="AS7" i="2"/>
  <c r="AS8" i="2"/>
  <c r="BG7" i="2"/>
  <c r="BG8" i="2"/>
  <c r="F8" i="3"/>
  <c r="F7" i="3"/>
  <c r="BT8" i="3"/>
  <c r="BT7" i="3"/>
  <c r="M7" i="1"/>
  <c r="M8" i="1"/>
  <c r="AJ8" i="1"/>
  <c r="AJ7" i="1"/>
  <c r="W7" i="2"/>
  <c r="W8" i="2"/>
  <c r="AP7" i="3"/>
  <c r="AP8" i="3"/>
  <c r="CB7" i="3"/>
  <c r="CB8" i="3"/>
  <c r="N8" i="1"/>
  <c r="N7" i="1"/>
  <c r="J7" i="2"/>
  <c r="J8" i="2"/>
  <c r="BW7" i="2"/>
  <c r="BW8" i="2"/>
  <c r="DL8" i="2"/>
  <c r="DL7" i="2"/>
  <c r="AX8" i="3"/>
  <c r="AX7" i="3"/>
  <c r="BM8" i="1"/>
  <c r="BM7" i="1"/>
  <c r="ED7" i="1"/>
  <c r="ED8" i="1"/>
  <c r="D7" i="2"/>
  <c r="D8" i="2"/>
  <c r="BI8" i="2"/>
  <c r="BI7" i="2"/>
  <c r="CE8" i="2"/>
  <c r="CE7" i="2"/>
  <c r="CS7" i="2"/>
  <c r="CS8" i="2"/>
  <c r="DL8" i="3"/>
  <c r="DL7" i="3"/>
  <c r="DT7" i="3"/>
  <c r="DT8" i="3"/>
  <c r="DS7" i="1"/>
  <c r="DN7" i="3"/>
  <c r="DN8" i="3"/>
  <c r="J7" i="3"/>
  <c r="DA7" i="3"/>
  <c r="EA7" i="3"/>
  <c r="AU8" i="3"/>
  <c r="BC8" i="4"/>
  <c r="BC7" i="4"/>
  <c r="U7" i="1"/>
  <c r="AK7" i="1"/>
  <c r="X8" i="1"/>
  <c r="AP8" i="1"/>
  <c r="DG8" i="1"/>
  <c r="S8" i="2"/>
  <c r="S7" i="2"/>
  <c r="AU7" i="2"/>
  <c r="CD7" i="2"/>
  <c r="CV7" i="2"/>
  <c r="AH8" i="2"/>
  <c r="BA8" i="2"/>
  <c r="BQ8" i="2"/>
  <c r="CJ8" i="2"/>
  <c r="DE8" i="2"/>
  <c r="DZ8" i="2"/>
  <c r="R8" i="3"/>
  <c r="R7" i="3"/>
  <c r="CG8" i="3"/>
  <c r="CG7" i="3"/>
  <c r="CN7" i="3"/>
  <c r="CN8" i="3"/>
  <c r="K7" i="3"/>
  <c r="AH7" i="3"/>
  <c r="BH7" i="3"/>
  <c r="EB7" i="3"/>
  <c r="W8" i="3"/>
  <c r="AY8" i="3"/>
  <c r="BX8" i="3"/>
  <c r="DD8" i="3"/>
  <c r="E8" i="4"/>
  <c r="E7" i="4"/>
  <c r="AH8" i="4"/>
  <c r="AH7" i="4"/>
  <c r="AV7" i="4"/>
  <c r="AV8" i="4"/>
  <c r="CR8" i="2"/>
  <c r="CR7" i="2"/>
  <c r="DM7" i="2"/>
  <c r="T8" i="2"/>
  <c r="AJ8" i="2"/>
  <c r="BR8" i="2"/>
  <c r="CM8" i="2"/>
  <c r="DF8" i="2"/>
  <c r="CH8" i="3"/>
  <c r="CH7" i="3"/>
  <c r="DI8" i="3"/>
  <c r="DI7" i="3"/>
  <c r="BI7" i="3"/>
  <c r="CI7" i="3"/>
  <c r="DF7" i="3"/>
  <c r="AZ8" i="3"/>
  <c r="CC8" i="3"/>
  <c r="EG12" i="3"/>
  <c r="EH12" i="3"/>
  <c r="CE8" i="4"/>
  <c r="CE7" i="4"/>
  <c r="BH8" i="1"/>
  <c r="BH7" i="1"/>
  <c r="AO8" i="1"/>
  <c r="DF8" i="1"/>
  <c r="BK8" i="2"/>
  <c r="BK7" i="2"/>
  <c r="L7" i="2"/>
  <c r="EC7" i="2"/>
  <c r="O8" i="2"/>
  <c r="DD8" i="2"/>
  <c r="AE8" i="3"/>
  <c r="AE7" i="3"/>
  <c r="DU7" i="3"/>
  <c r="DU8" i="3"/>
  <c r="CO8" i="1"/>
  <c r="CO7" i="1"/>
  <c r="CM7" i="1"/>
  <c r="DE7" i="1"/>
  <c r="I8" i="1"/>
  <c r="BJ8" i="1"/>
  <c r="BZ8" i="1"/>
  <c r="BF7" i="1"/>
  <c r="BX7" i="1"/>
  <c r="CN7" i="1"/>
  <c r="K8" i="1"/>
  <c r="AC8" i="1"/>
  <c r="AS8" i="1"/>
  <c r="BK8" i="1"/>
  <c r="CA8" i="1"/>
  <c r="EB8" i="1"/>
  <c r="AZ8" i="2"/>
  <c r="AZ7" i="2"/>
  <c r="AX7" i="2"/>
  <c r="CF7" i="2"/>
  <c r="C8" i="2"/>
  <c r="U8" i="2"/>
  <c r="BC8" i="2"/>
  <c r="CN8" i="2"/>
  <c r="EI19" i="2"/>
  <c r="S8" i="3"/>
  <c r="S7" i="3"/>
  <c r="Z8" i="3"/>
  <c r="Z7" i="3"/>
  <c r="BU8" i="3"/>
  <c r="BU7" i="3"/>
  <c r="P7" i="3"/>
  <c r="AM7" i="3"/>
  <c r="BM7" i="3"/>
  <c r="CJ7" i="3"/>
  <c r="DG7" i="3"/>
  <c r="EH22" i="3"/>
  <c r="CZ8" i="1"/>
  <c r="CZ7" i="1"/>
  <c r="AN8" i="1"/>
  <c r="DC8" i="2"/>
  <c r="DC7" i="2"/>
  <c r="AD8" i="3"/>
  <c r="AD7" i="3"/>
  <c r="AK7" i="3"/>
  <c r="AK8" i="3"/>
  <c r="CF8" i="3"/>
  <c r="CF7" i="3"/>
  <c r="CM7" i="3"/>
  <c r="CM8" i="3"/>
  <c r="BZ7" i="3"/>
  <c r="CZ7" i="3"/>
  <c r="CM7" i="4"/>
  <c r="CM8" i="4"/>
  <c r="Z8" i="5"/>
  <c r="Z7" i="5"/>
  <c r="CO7" i="5"/>
  <c r="CO8" i="5"/>
  <c r="DE7" i="5"/>
  <c r="DE8" i="5"/>
  <c r="DV8" i="1"/>
  <c r="DV7" i="1"/>
  <c r="AQ7" i="1"/>
  <c r="BG7" i="1"/>
  <c r="DY8" i="2"/>
  <c r="DY7" i="2"/>
  <c r="AL8" i="2"/>
  <c r="DC8" i="3"/>
  <c r="DC7" i="3"/>
  <c r="DJ8" i="3"/>
  <c r="DJ7" i="3"/>
  <c r="AX8" i="4"/>
  <c r="AX7" i="4"/>
  <c r="CP8" i="4"/>
  <c r="CP7" i="4"/>
  <c r="DL8" i="4"/>
  <c r="DL7" i="4"/>
  <c r="DT7" i="4"/>
  <c r="DT8" i="4"/>
  <c r="DI7" i="1"/>
  <c r="CV8" i="1"/>
  <c r="CG8" i="2"/>
  <c r="CG7" i="2"/>
  <c r="R7" i="2"/>
  <c r="CK7" i="2"/>
  <c r="BX8" i="2"/>
  <c r="EF8" i="2"/>
  <c r="G8" i="3"/>
  <c r="G7" i="3"/>
  <c r="BV8" i="3"/>
  <c r="BV7" i="3"/>
  <c r="EH18" i="3"/>
  <c r="EG18" i="3"/>
  <c r="DJ8" i="2"/>
  <c r="AE8" i="1"/>
  <c r="AR7" i="3"/>
  <c r="AL8" i="1"/>
  <c r="AL7" i="1"/>
  <c r="CB7" i="1"/>
  <c r="CT7" i="1"/>
  <c r="DJ7" i="1"/>
  <c r="AG8" i="1"/>
  <c r="AY8" i="1"/>
  <c r="BO8" i="1"/>
  <c r="CG8" i="1"/>
  <c r="AO8" i="2"/>
  <c r="AO7" i="2"/>
  <c r="BT7" i="2"/>
  <c r="DB7" i="2"/>
  <c r="I8" i="2"/>
  <c r="Y8" i="2"/>
  <c r="CT8" i="2"/>
  <c r="DO8" i="2"/>
  <c r="AO7" i="3"/>
  <c r="AO8" i="3"/>
  <c r="AV7" i="3"/>
  <c r="AV8" i="3"/>
  <c r="AS7" i="3"/>
  <c r="CP7" i="3"/>
  <c r="I8" i="3"/>
  <c r="BK8" i="3"/>
  <c r="CJ8" i="4"/>
  <c r="CJ7" i="4"/>
  <c r="Q7" i="4"/>
  <c r="E8" i="1"/>
  <c r="E7" i="1"/>
  <c r="H8" i="2"/>
  <c r="H7" i="2"/>
  <c r="Q7" i="3"/>
  <c r="D8" i="3"/>
  <c r="BF8" i="3"/>
  <c r="CD8" i="1"/>
  <c r="CD7" i="1"/>
  <c r="Z7" i="1"/>
  <c r="BN8" i="1"/>
  <c r="N8" i="3"/>
  <c r="N7" i="3"/>
  <c r="AU7" i="1"/>
  <c r="CC7" i="1"/>
  <c r="R8" i="1"/>
  <c r="AH8" i="1"/>
  <c r="AZ8" i="1"/>
  <c r="CH8" i="1"/>
  <c r="DN8" i="2"/>
  <c r="DN7" i="2"/>
  <c r="AM7" i="2"/>
  <c r="BU7" i="2"/>
  <c r="AR8" i="2"/>
  <c r="BH8" i="2"/>
  <c r="DP8" i="2"/>
  <c r="BJ8" i="3"/>
  <c r="BJ7" i="3"/>
  <c r="AW7" i="3"/>
  <c r="CT7" i="3"/>
  <c r="DQ7" i="3"/>
  <c r="BL8" i="3"/>
  <c r="AZ7" i="4"/>
  <c r="AZ8" i="4"/>
  <c r="CC7" i="4"/>
  <c r="CC8" i="4"/>
  <c r="BA7" i="1"/>
  <c r="AN7" i="2"/>
  <c r="DW7" i="2"/>
  <c r="CC8" i="2"/>
  <c r="C7" i="4"/>
  <c r="C8" i="4"/>
  <c r="X8" i="4"/>
  <c r="X7" i="4"/>
  <c r="DO8" i="4"/>
  <c r="DO7" i="4"/>
  <c r="DV8" i="4"/>
  <c r="DV7" i="4"/>
  <c r="BS8" i="1"/>
  <c r="BS7" i="1"/>
  <c r="BV8" i="2"/>
  <c r="BV7" i="2"/>
  <c r="F7" i="2"/>
  <c r="AC8" i="3"/>
  <c r="AC7" i="3"/>
  <c r="AJ7" i="3"/>
  <c r="AJ8" i="3"/>
  <c r="AN8" i="3"/>
  <c r="CR8" i="3"/>
  <c r="EG19" i="3"/>
  <c r="AE8" i="4"/>
  <c r="AE7" i="4"/>
  <c r="O7" i="1"/>
  <c r="DP7" i="1"/>
  <c r="EF7" i="1"/>
  <c r="BU8" i="1"/>
  <c r="AD8" i="2"/>
  <c r="AD7" i="2"/>
  <c r="G7" i="2"/>
  <c r="DX7" i="2"/>
  <c r="AE8" i="2"/>
  <c r="CY8" i="2"/>
  <c r="E7" i="3"/>
  <c r="BB7" i="3"/>
  <c r="BY7" i="3"/>
  <c r="CV7" i="3"/>
  <c r="DV7" i="3"/>
  <c r="BR8" i="3"/>
  <c r="EH15" i="3"/>
  <c r="EG15" i="3"/>
  <c r="DA8" i="4"/>
  <c r="DA7" i="4"/>
  <c r="DH8" i="4"/>
  <c r="DH7" i="4"/>
  <c r="EG16" i="3"/>
  <c r="EH16" i="3"/>
  <c r="I8" i="4"/>
  <c r="I7" i="4"/>
  <c r="BN8" i="4"/>
  <c r="BN7" i="4"/>
  <c r="DS8" i="4"/>
  <c r="DS7" i="4"/>
  <c r="DZ8" i="4"/>
  <c r="DZ7" i="4"/>
  <c r="EA7" i="5"/>
  <c r="EA8" i="5"/>
  <c r="H8" i="8"/>
  <c r="H7" i="8"/>
  <c r="V8" i="8"/>
  <c r="V7" i="8"/>
  <c r="CQ7" i="3"/>
  <c r="DB7" i="3"/>
  <c r="DM7" i="3"/>
  <c r="DX7" i="3"/>
  <c r="EH14" i="3"/>
  <c r="EH21" i="3"/>
  <c r="EG21" i="3"/>
  <c r="AT8" i="4"/>
  <c r="AT7" i="4"/>
  <c r="BA8" i="4"/>
  <c r="BA7" i="4"/>
  <c r="DF8" i="4"/>
  <c r="DF7" i="4"/>
  <c r="AM7" i="4"/>
  <c r="E7" i="5"/>
  <c r="E8" i="5"/>
  <c r="U8" i="5"/>
  <c r="U7" i="5"/>
  <c r="CI8" i="5"/>
  <c r="CI7" i="5"/>
  <c r="CA8" i="3"/>
  <c r="K8" i="4"/>
  <c r="K7" i="4"/>
  <c r="BP8" i="4"/>
  <c r="BP7" i="4"/>
  <c r="BW8" i="4"/>
  <c r="BW7" i="4"/>
  <c r="EB8" i="4"/>
  <c r="EB7" i="4"/>
  <c r="Y8" i="4"/>
  <c r="CR8" i="4"/>
  <c r="CJ7" i="5"/>
  <c r="CJ8" i="5"/>
  <c r="BP8" i="3"/>
  <c r="ED8" i="3"/>
  <c r="EG14" i="3"/>
  <c r="EG22" i="3"/>
  <c r="AG8" i="4"/>
  <c r="AG7" i="4"/>
  <c r="CL8" i="4"/>
  <c r="CL7" i="4"/>
  <c r="CS8" i="4"/>
  <c r="CS7" i="4"/>
  <c r="P7" i="4"/>
  <c r="AS7" i="4"/>
  <c r="Z8" i="4"/>
  <c r="BV8" i="4"/>
  <c r="BU8" i="5"/>
  <c r="BU7" i="5"/>
  <c r="S7" i="5"/>
  <c r="CX8" i="4"/>
  <c r="DU8" i="4"/>
  <c r="AC7" i="5"/>
  <c r="AC8" i="5"/>
  <c r="M8" i="4"/>
  <c r="M7" i="4"/>
  <c r="T8" i="4"/>
  <c r="T7" i="4"/>
  <c r="BY8" i="4"/>
  <c r="BY7" i="4"/>
  <c r="ED8" i="4"/>
  <c r="ED7" i="4"/>
  <c r="CD7" i="4"/>
  <c r="DG7" i="4"/>
  <c r="AD8" i="4"/>
  <c r="CY8" i="4"/>
  <c r="DV7" i="5"/>
  <c r="DV8" i="5"/>
  <c r="ED8" i="5"/>
  <c r="ED7" i="5"/>
  <c r="BT8" i="5"/>
  <c r="EG23" i="3"/>
  <c r="AI8" i="4"/>
  <c r="AI7" i="4"/>
  <c r="AP8" i="4"/>
  <c r="AP7" i="4"/>
  <c r="CU8" i="4"/>
  <c r="CU7" i="4"/>
  <c r="W7" i="4"/>
  <c r="H8" i="4"/>
  <c r="BF8" i="4"/>
  <c r="O8" i="5"/>
  <c r="O7" i="5"/>
  <c r="CL8" i="5"/>
  <c r="CL7" i="5"/>
  <c r="DP8" i="5"/>
  <c r="DP7" i="5"/>
  <c r="M7" i="3"/>
  <c r="X7" i="3"/>
  <c r="CW7" i="3"/>
  <c r="DH7" i="3"/>
  <c r="EH19" i="3"/>
  <c r="BE8" i="4"/>
  <c r="BE7" i="4"/>
  <c r="BL8" i="4"/>
  <c r="BL7" i="4"/>
  <c r="DQ8" i="4"/>
  <c r="DQ7" i="4"/>
  <c r="AA7" i="4"/>
  <c r="BD7" i="4"/>
  <c r="AJ8" i="4"/>
  <c r="BG8" i="4"/>
  <c r="DC8" i="4"/>
  <c r="BH7" i="5"/>
  <c r="BH8" i="5"/>
  <c r="BP8" i="5"/>
  <c r="BP7" i="5"/>
  <c r="CD8" i="5"/>
  <c r="CD7" i="5"/>
  <c r="W8" i="5"/>
  <c r="V8" i="4"/>
  <c r="V7" i="4"/>
  <c r="CA8" i="4"/>
  <c r="CA7" i="4"/>
  <c r="CH8" i="4"/>
  <c r="CH7" i="4"/>
  <c r="BH7" i="4"/>
  <c r="CK7" i="4"/>
  <c r="BC8" i="5"/>
  <c r="BC7" i="5"/>
  <c r="EG13" i="3"/>
  <c r="EH20" i="3"/>
  <c r="EH24" i="3"/>
  <c r="EG24" i="3"/>
  <c r="AR8" i="4"/>
  <c r="AR7" i="4"/>
  <c r="CW8" i="4"/>
  <c r="CW7" i="4"/>
  <c r="DD8" i="4"/>
  <c r="DD7" i="4"/>
  <c r="BI7" i="4"/>
  <c r="CO7" i="4"/>
  <c r="DR7" i="4"/>
  <c r="O8" i="4"/>
  <c r="BK8" i="4"/>
  <c r="DI8" i="4"/>
  <c r="EF8" i="4"/>
  <c r="AN8" i="5"/>
  <c r="AN7" i="5"/>
  <c r="EF7" i="5"/>
  <c r="EF8" i="5"/>
  <c r="CT7" i="5"/>
  <c r="CP8" i="5"/>
  <c r="P8" i="5"/>
  <c r="P7" i="5"/>
  <c r="BA7" i="5"/>
  <c r="BA8" i="5"/>
  <c r="BG8" i="5"/>
  <c r="BG7" i="5"/>
  <c r="BV8" i="5"/>
  <c r="BV7" i="5"/>
  <c r="AU7" i="5"/>
  <c r="BW8" i="5"/>
  <c r="AL8" i="5"/>
  <c r="AL7" i="5"/>
  <c r="CY8" i="5"/>
  <c r="CY7" i="5"/>
  <c r="AG8" i="5"/>
  <c r="AG7" i="5"/>
  <c r="AM8" i="5"/>
  <c r="AM7" i="5"/>
  <c r="CS7" i="5"/>
  <c r="CS8" i="5"/>
  <c r="T7" i="5"/>
  <c r="T8" i="5"/>
  <c r="AH8" i="5"/>
  <c r="AH7" i="5"/>
  <c r="AO8" i="5"/>
  <c r="AO7" i="5"/>
  <c r="F8" i="5"/>
  <c r="F7" i="5"/>
  <c r="AQ8" i="5"/>
  <c r="AQ7" i="5"/>
  <c r="DI8" i="5"/>
  <c r="DI7" i="5"/>
  <c r="DW8" i="5"/>
  <c r="DW7" i="5"/>
  <c r="CV7" i="5"/>
  <c r="CN8" i="5"/>
  <c r="CN7" i="5"/>
  <c r="DC8" i="5"/>
  <c r="DC7" i="5"/>
  <c r="AF7" i="5"/>
  <c r="BO7" i="5"/>
  <c r="CW7" i="5"/>
  <c r="G8" i="5"/>
  <c r="BS8" i="5"/>
  <c r="BS7" i="5"/>
  <c r="DD8" i="5"/>
  <c r="DD7" i="5"/>
  <c r="BR7" i="5"/>
  <c r="DB7" i="5"/>
  <c r="DK8" i="5"/>
  <c r="DK7" i="5"/>
  <c r="DY8" i="5"/>
  <c r="DY7" i="5"/>
  <c r="CX7" i="5"/>
  <c r="Q7" i="5"/>
  <c r="AI7" i="5"/>
  <c r="AZ7" i="5"/>
  <c r="DT7" i="5"/>
  <c r="K8" i="5"/>
  <c r="BE8" i="5"/>
  <c r="CZ8" i="5"/>
  <c r="AR7" i="5"/>
  <c r="AR8" i="5"/>
  <c r="DG8" i="5"/>
  <c r="DG7" i="5"/>
  <c r="DM8" i="5"/>
  <c r="DM7" i="5"/>
  <c r="AK7" i="5"/>
  <c r="BD7" i="5"/>
  <c r="BJ8" i="5"/>
  <c r="AE8" i="5"/>
  <c r="AE7" i="5"/>
  <c r="CF8" i="5"/>
  <c r="CF7" i="5"/>
  <c r="EB8" i="5"/>
  <c r="EB7" i="5"/>
  <c r="D7" i="5"/>
  <c r="CM7" i="5"/>
  <c r="BL8" i="5"/>
  <c r="X7" i="5"/>
  <c r="BF7" i="5"/>
  <c r="BX7" i="5"/>
  <c r="DH7" i="5"/>
  <c r="DZ7" i="5"/>
  <c r="AP8" i="5"/>
  <c r="R8" i="5"/>
  <c r="R7" i="5"/>
  <c r="CH7" i="5"/>
  <c r="CH8" i="5"/>
  <c r="DA8" i="5"/>
  <c r="DA7" i="5"/>
  <c r="H7" i="5"/>
  <c r="V8" i="5"/>
  <c r="BN8" i="5"/>
  <c r="B21" i="6"/>
  <c r="B21" i="7"/>
  <c r="AL8" i="8"/>
  <c r="AL7" i="8"/>
  <c r="BD7" i="8"/>
  <c r="BD8" i="8"/>
  <c r="BK8" i="8"/>
  <c r="BK7" i="8"/>
  <c r="BS8" i="8"/>
  <c r="BS7" i="8"/>
  <c r="BZ7" i="8"/>
  <c r="BZ8" i="8"/>
  <c r="CH7" i="8"/>
  <c r="CH8" i="8"/>
  <c r="CZ8" i="8"/>
  <c r="CZ7" i="8"/>
  <c r="CV7" i="8"/>
  <c r="CV8" i="8"/>
  <c r="DU8" i="8"/>
  <c r="DU7" i="8"/>
  <c r="EB8" i="8"/>
  <c r="EB7" i="8"/>
  <c r="Y8" i="8"/>
  <c r="Y7" i="8"/>
  <c r="AF8" i="8"/>
  <c r="AF7" i="8"/>
  <c r="C8" i="8"/>
  <c r="C7" i="8"/>
  <c r="BE7" i="8"/>
  <c r="BE8" i="8"/>
  <c r="CA7" i="8"/>
  <c r="CA8" i="8"/>
  <c r="G8" i="8"/>
  <c r="G7" i="8"/>
  <c r="AQ8" i="8"/>
  <c r="AQ7" i="8"/>
  <c r="BL7" i="8"/>
  <c r="BL8" i="8"/>
  <c r="BT8" i="8"/>
  <c r="BT7" i="8"/>
  <c r="CB8" i="8"/>
  <c r="CB7" i="8"/>
  <c r="CI8" i="8"/>
  <c r="CI7" i="8"/>
  <c r="N7" i="8"/>
  <c r="U8" i="8"/>
  <c r="U7" i="8"/>
  <c r="AR8" i="8"/>
  <c r="AR7" i="8"/>
  <c r="AY8" i="8"/>
  <c r="AY7" i="8"/>
  <c r="CJ8" i="8"/>
  <c r="CJ7" i="8"/>
  <c r="AD8" i="8"/>
  <c r="AD7" i="8"/>
  <c r="DK8" i="8"/>
  <c r="DK7" i="8"/>
  <c r="Q8" i="8"/>
  <c r="Q7" i="8"/>
  <c r="AE7" i="8"/>
  <c r="AE8" i="8"/>
  <c r="AZ8" i="8"/>
  <c r="AZ7" i="8"/>
  <c r="DL8" i="8"/>
  <c r="DL7" i="8"/>
  <c r="J8" i="8"/>
  <c r="J7" i="8"/>
  <c r="AM8" i="8"/>
  <c r="AM7" i="8"/>
  <c r="DD7" i="8"/>
  <c r="DD8" i="8"/>
  <c r="DT8" i="8"/>
  <c r="DT7" i="8"/>
  <c r="EA8" i="8"/>
  <c r="EA7" i="8"/>
  <c r="S8" i="8"/>
  <c r="S7" i="8"/>
  <c r="Z8" i="8"/>
  <c r="Z7" i="8"/>
  <c r="CO8" i="8"/>
  <c r="CO7" i="8"/>
  <c r="CW7" i="8"/>
  <c r="CW8" i="8"/>
  <c r="DE8" i="8"/>
  <c r="DE7" i="8"/>
  <c r="DV8" i="8"/>
  <c r="DV7" i="8"/>
  <c r="DS8" i="8"/>
  <c r="E8" i="8"/>
  <c r="E7" i="8"/>
  <c r="AA8" i="8"/>
  <c r="AA7" i="8"/>
  <c r="AG8" i="8"/>
  <c r="AG7" i="8"/>
  <c r="BB8" i="8"/>
  <c r="BB7" i="8"/>
  <c r="CP8" i="8"/>
  <c r="CP7" i="8"/>
  <c r="DF8" i="8"/>
  <c r="DF7" i="8"/>
  <c r="L8" i="8"/>
  <c r="F8" i="8"/>
  <c r="F7" i="8"/>
  <c r="M7" i="8"/>
  <c r="M8" i="8"/>
  <c r="T7" i="8"/>
  <c r="T8" i="8"/>
  <c r="AO8" i="8"/>
  <c r="AO7" i="8"/>
  <c r="BY8" i="8"/>
  <c r="BY7" i="8"/>
  <c r="CG8" i="8"/>
  <c r="CG7" i="8"/>
  <c r="AN8" i="8"/>
  <c r="AN7" i="8"/>
  <c r="BM8" i="8"/>
  <c r="BM7" i="8"/>
  <c r="BU8" i="8"/>
  <c r="BU7" i="8"/>
  <c r="DN8" i="8"/>
  <c r="DN7" i="8"/>
  <c r="BQ7" i="8"/>
  <c r="CS8" i="8"/>
  <c r="ED8" i="8"/>
  <c r="P8" i="8"/>
  <c r="P7" i="8"/>
  <c r="AB8" i="8"/>
  <c r="AB7" i="8"/>
  <c r="BH8" i="8"/>
  <c r="BH7" i="8"/>
  <c r="CD8" i="8"/>
  <c r="CD7" i="8"/>
  <c r="CR8" i="8"/>
  <c r="CR7" i="8"/>
  <c r="DW8" i="8"/>
  <c r="DW7" i="8"/>
  <c r="BV8" i="8"/>
  <c r="BV7" i="8"/>
  <c r="DA8" i="8"/>
  <c r="DA7" i="8"/>
  <c r="AJ7" i="8"/>
  <c r="DJ7" i="8"/>
  <c r="W8" i="8"/>
  <c r="AC8" i="8"/>
  <c r="AC7" i="8"/>
  <c r="BI8" i="8"/>
  <c r="BI7" i="8"/>
  <c r="CE8" i="8"/>
  <c r="CE7" i="8"/>
  <c r="DP8" i="8"/>
  <c r="DP7" i="8"/>
  <c r="AK7" i="8"/>
  <c r="DQ7" i="8"/>
  <c r="X8" i="8"/>
  <c r="BO8" i="8"/>
  <c r="AW8" i="8"/>
  <c r="AW7" i="8"/>
  <c r="CT8" i="8"/>
  <c r="CT7" i="8"/>
  <c r="BP8" i="8"/>
  <c r="DG8" i="8"/>
  <c r="R8" i="8"/>
  <c r="R7" i="8"/>
  <c r="BJ8" i="8"/>
  <c r="BJ7" i="8"/>
  <c r="BX8" i="8"/>
  <c r="BX7" i="8"/>
  <c r="DY8" i="8"/>
  <c r="DY7" i="8"/>
  <c r="D7" i="8"/>
  <c r="AU7" i="8"/>
  <c r="AH8" i="8"/>
  <c r="BW8" i="8"/>
  <c r="DH8" i="8"/>
  <c r="AX8" i="8"/>
  <c r="AX7" i="8"/>
  <c r="DC8" i="8"/>
  <c r="DC7" i="8"/>
  <c r="K7" i="8"/>
  <c r="AV7" i="8"/>
  <c r="CM7" i="8"/>
  <c r="AI8" i="8"/>
  <c r="DO8" i="8"/>
  <c r="CF7" i="8"/>
  <c r="CQ7" i="8"/>
  <c r="DB7" i="8"/>
  <c r="DM7" i="8"/>
  <c r="DX7" i="8"/>
</calcChain>
</file>

<file path=xl/sharedStrings.xml><?xml version="1.0" encoding="utf-8"?>
<sst xmlns="http://schemas.openxmlformats.org/spreadsheetml/2006/main" count="2554" uniqueCount="206">
  <si>
    <t>NN3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</si>
  <si>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</si>
  <si>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</si>
  <si>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</si>
  <si>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</si>
  <si>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</si>
  <si>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</si>
  <si>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</si>
  <si>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</si>
  <si>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</si>
  <si>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</si>
  <si>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</si>
  <si>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</si>
  <si>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</si>
  <si>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</si>
  <si>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</si>
  <si>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</si>
  <si>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</si>
  <si>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</si>
  <si>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</si>
  <si>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</si>
  <si>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</si>
  <si>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</si>
  <si>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</si>
  <si>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</si>
  <si>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</si>
  <si>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</si>
  <si>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</si>
  <si>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</si>
  <si>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</si>
  <si>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</si>
  <si>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</si>
  <si>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</si>
  <si>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</si>
  <si>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</si>
  <si>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</si>
  <si>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</si>
  <si>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</si>
  <si>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</si>
  <si>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</si>
  <si>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</si>
  <si>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</si>
  <si>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</si>
  <si>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</si>
  <si>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</si>
  <si>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</si>
  <si>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</si>
  <si>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</si>
  <si>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</si>
  <si>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</si>
  <si>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</si>
  <si>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</si>
  <si>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</si>
  <si>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</si>
  <si>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</si>
  <si>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</si>
  <si>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</si>
  <si>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</si>
  <si>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</si>
  <si>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</si>
  <si>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</si>
  <si>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</si>
  <si>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</si>
  <si>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</si>
  <si>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</si>
  <si>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</si>
  <si>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</si>
  <si>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</si>
  <si>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</si>
  <si>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</si>
  <si>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</si>
  <si>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</si>
  <si>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</si>
  <si>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</si>
  <si>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</si>
  <si>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</si>
  <si>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</si>
  <si>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</si>
  <si>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</si>
  <si>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</si>
  <si>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</si>
  <si>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</si>
  <si>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</si>
  <si>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</si>
  <si>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</si>
  <si>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</si>
  <si>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</si>
  <si>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</si>
  <si>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</si>
  <si>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</si>
  <si>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</si>
  <si>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</si>
  <si>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</si>
  <si>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</si>
  <si>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</si>
  <si>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</si>
  <si>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</si>
  <si>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</si>
  <si>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</si>
  <si>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</si>
  <si>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</si>
  <si>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</si>
  <si>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</si>
  <si>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</si>
  <si>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</si>
  <si>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</si>
  <si>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</si>
  <si>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</si>
  <si>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</si>
  <si>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</si>
  <si>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</si>
  <si>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</si>
  <si>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</si>
  <si>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</si>
  <si>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</si>
  <si>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</si>
  <si>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</si>
  <si>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</si>
  <si>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</si>
  <si>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</si>
  <si>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</si>
  <si>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</si>
  <si>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</si>
  <si>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</si>
  <si>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</si>
  <si>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</si>
  <si>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</si>
  <si>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</si>
  <si>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</si>
  <si>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</si>
  <si>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</si>
  <si>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</si>
  <si>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</si>
  <si>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</si>
  <si>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</si>
  <si>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</si>
  <si>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bm</t>
  </si>
  <si>
    <t>size</t>
  </si>
  <si>
    <t>mom</t>
  </si>
  <si>
    <t>選絕對值最大</t>
  </si>
  <si>
    <t xml:space="preserve">投資組合                  </t>
  </si>
  <si>
    <t>公司數</t>
  </si>
  <si>
    <t>等分</t>
  </si>
  <si>
    <t>分數</t>
  </si>
  <si>
    <t>大盤</t>
  </si>
  <si>
    <t>TWII</t>
  </si>
  <si>
    <t>愛山林</t>
  </si>
  <si>
    <t>昇益</t>
  </si>
  <si>
    <t>常珵</t>
  </si>
  <si>
    <t>沛亨</t>
  </si>
  <si>
    <t>立康</t>
  </si>
  <si>
    <t>天瀚</t>
  </si>
  <si>
    <t>科風</t>
  </si>
  <si>
    <t>印鉐</t>
  </si>
  <si>
    <t>中茂</t>
  </si>
  <si>
    <t>元隆</t>
  </si>
  <si>
    <t>華冠</t>
  </si>
  <si>
    <t>泰偉</t>
  </si>
  <si>
    <t>巨虹</t>
  </si>
  <si>
    <t>華城</t>
  </si>
  <si>
    <t>皇家美食</t>
  </si>
  <si>
    <t>世紀</t>
  </si>
  <si>
    <t>華新科</t>
  </si>
  <si>
    <t>台積電</t>
  </si>
  <si>
    <t>中環</t>
  </si>
  <si>
    <t>海灣</t>
  </si>
  <si>
    <t>寶隆</t>
  </si>
  <si>
    <t>福華</t>
  </si>
  <si>
    <t>裕隆</t>
  </si>
  <si>
    <t>友達</t>
  </si>
  <si>
    <t>閎暉</t>
  </si>
  <si>
    <t>東訊</t>
  </si>
  <si>
    <t>四維航</t>
  </si>
  <si>
    <t>中石化</t>
  </si>
  <si>
    <t>如興</t>
  </si>
  <si>
    <t>藍天</t>
  </si>
  <si>
    <t>長榮</t>
  </si>
  <si>
    <t>國喬</t>
  </si>
  <si>
    <t>2025/02</t>
  </si>
  <si>
    <t>平均值</t>
  </si>
  <si>
    <t>標準差</t>
  </si>
  <si>
    <t>夏普比率</t>
  </si>
  <si>
    <t>sum</t>
  </si>
  <si>
    <t>勝率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</si>
  <si>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</si>
  <si>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</si>
  <si>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</si>
  <si>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</si>
  <si>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</si>
  <si>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</si>
  <si>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</si>
  <si>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</si>
  <si>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</si>
  <si>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</si>
  <si>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</si>
  <si>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</si>
  <si>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</si>
  <si>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OLS</t>
  </si>
  <si>
    <t>Real</t>
  </si>
  <si>
    <t>(預測-真實)^2</t>
  </si>
  <si>
    <t>真實^2</t>
  </si>
  <si>
    <t>R^2</t>
  </si>
  <si>
    <t>家數</t>
  </si>
  <si>
    <t>低</t>
    <phoneticPr fontId="1" type="noConversion"/>
  </si>
  <si>
    <t>公司名稱</t>
    <phoneticPr fontId="1" type="noConversion"/>
  </si>
  <si>
    <t>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</si>
</sst>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C00000"/>
      <name val="新細明體"/>
      <family val="2"/>
      <charset val="136"/>
      <scheme val="minor"/>
    </font>
    <font>
      <b/>
      <sz val="12"/>
      <color rgb="FF000000"/>
      <name val="新細明體"/>
      <family val="1"/>
      <charset val="136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B5C1"/>
        <bgColor indexed="64"/>
      </patternFill>
    </fill>
    <fill>
      <patternFill patternType="solid">
        <fgColor rgb="FFFFE5C6"/>
        <bgColor indexed="64"/>
      </patternFill>
    </fill>
    <fill>
      <patternFill patternType="solid">
        <fgColor rgb="FFFFB1BD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/>
    <xf numFmtId="0" fontId="0" fillId="2" borderId="1" xfId="0" applyFill="1" applyBorder="1">
      <alignment vertical="center"/>
    </xf>
    <xf numFmtId="17" fontId="2" fillId="0" borderId="1" xfId="0" applyNumberFormat="1" applyFont="1" applyBorder="1" applyAlignment="1"/>
    <xf numFmtId="0" fontId="2" fillId="0" borderId="3" xfId="0" applyFont="1" applyBorder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3" fillId="7" borderId="0" xfId="0" applyFont="1" applyFill="1">
      <alignment vertical="center"/>
    </xf>
    <xf numFmtId="0" fontId="0" fillId="0" borderId="0" xfId="0" applyAlignment="1"/>
    <xf numFmtId="0" fontId="0" fillId="8" borderId="1" xfId="0" applyFill="1" applyBorder="1">
      <alignment vertical="center"/>
    </xf>
    <xf numFmtId="0" fontId="0" fillId="8" borderId="2" xfId="0" applyFill="1" applyBorder="1">
      <alignment vertical="center"/>
    </xf>
    <xf numFmtId="0" fontId="0" fillId="10" borderId="0" xfId="0" applyFill="1">
      <alignment vertical="center"/>
    </xf>
    <xf numFmtId="0" fontId="0" fillId="8" borderId="0" xfId="0" applyFill="1">
      <alignment vertical="center"/>
    </xf>
    <xf numFmtId="0" fontId="4" fillId="0" borderId="1" xfId="0" applyFont="1" applyBorder="1">
      <alignment vertical="center"/>
    </xf>
    <xf numFmtId="0" fontId="0" fillId="10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>
      <alignment vertical="center"/>
    </xf>
    <xf numFmtId="0" fontId="3" fillId="9" borderId="1" xfId="0" applyFont="1" applyFill="1" applyBorder="1">
      <alignment vertical="center"/>
    </xf>
    <xf numFmtId="0" fontId="0" fillId="6" borderId="1" xfId="0" applyFill="1" applyBorder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NN3</a:t>
            </a:r>
            <a:r>
              <a:rPr lang="zh-TW" altLang="en-US"/>
              <a:t>累積報酬</a:t>
            </a:r>
            <a:endParaRPr lang="en-US" alt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預測累積畫圖!$B$12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預測累積畫圖!$C$12:$EF$12</c:f>
              <c:numCache>
                <c:formatCode>General</c:formatCode>
                <c:ptCount val="134"/>
                <c:pt idx="0">
                  <c:v>4.701350899422875E-2</c:v>
                </c:pt>
                <c:pt idx="1">
                  <c:v>0.16170201941089546</c:v>
                </c:pt>
                <c:pt idx="2">
                  <c:v>0.15494799105253754</c:v>
                </c:pt>
                <c:pt idx="3">
                  <c:v>0.16836939730253753</c:v>
                </c:pt>
                <c:pt idx="4">
                  <c:v>0.17627374404846588</c:v>
                </c:pt>
                <c:pt idx="5">
                  <c:v>0.21480446279846588</c:v>
                </c:pt>
                <c:pt idx="6">
                  <c:v>0.22761441071513253</c:v>
                </c:pt>
                <c:pt idx="7">
                  <c:v>0.19820660863179917</c:v>
                </c:pt>
                <c:pt idx="8">
                  <c:v>0.18721820477897708</c:v>
                </c:pt>
                <c:pt idx="9">
                  <c:v>0.18494097399801382</c:v>
                </c:pt>
                <c:pt idx="10">
                  <c:v>0.18454428649801383</c:v>
                </c:pt>
                <c:pt idx="11">
                  <c:v>0.25387103649801379</c:v>
                </c:pt>
                <c:pt idx="12">
                  <c:v>0.2711118802480138</c:v>
                </c:pt>
                <c:pt idx="13">
                  <c:v>0.27134221358134714</c:v>
                </c:pt>
                <c:pt idx="14">
                  <c:v>0.30661268233134709</c:v>
                </c:pt>
                <c:pt idx="15">
                  <c:v>0.31327576566468041</c:v>
                </c:pt>
                <c:pt idx="16">
                  <c:v>0.29680353649801372</c:v>
                </c:pt>
                <c:pt idx="17">
                  <c:v>0.28906315108134706</c:v>
                </c:pt>
                <c:pt idx="18">
                  <c:v>0.27288435941468037</c:v>
                </c:pt>
                <c:pt idx="19">
                  <c:v>0.27908916149801366</c:v>
                </c:pt>
                <c:pt idx="20">
                  <c:v>0.34312880733134699</c:v>
                </c:pt>
                <c:pt idx="21">
                  <c:v>0.37020254691468035</c:v>
                </c:pt>
                <c:pt idx="22">
                  <c:v>0.38564265108134704</c:v>
                </c:pt>
                <c:pt idx="23">
                  <c:v>0.39080869274801372</c:v>
                </c:pt>
                <c:pt idx="24">
                  <c:v>0.35140503134690193</c:v>
                </c:pt>
                <c:pt idx="25">
                  <c:v>0.34769370843023528</c:v>
                </c:pt>
                <c:pt idx="26">
                  <c:v>0.35286115634690196</c:v>
                </c:pt>
                <c:pt idx="27">
                  <c:v>0.34701404634766475</c:v>
                </c:pt>
                <c:pt idx="28">
                  <c:v>0.2886970359309981</c:v>
                </c:pt>
                <c:pt idx="29">
                  <c:v>0.26826488462713316</c:v>
                </c:pt>
                <c:pt idx="30">
                  <c:v>0.28034407212713319</c:v>
                </c:pt>
                <c:pt idx="31">
                  <c:v>0.26693826747749994</c:v>
                </c:pt>
                <c:pt idx="32">
                  <c:v>0.29018522581083328</c:v>
                </c:pt>
                <c:pt idx="33">
                  <c:v>0.3112476008108333</c:v>
                </c:pt>
                <c:pt idx="34">
                  <c:v>0.32075164247749999</c:v>
                </c:pt>
                <c:pt idx="35">
                  <c:v>0.33861064549942205</c:v>
                </c:pt>
                <c:pt idx="36">
                  <c:v>0.36869676111201999</c:v>
                </c:pt>
                <c:pt idx="37">
                  <c:v>0.43792999542544853</c:v>
                </c:pt>
                <c:pt idx="38">
                  <c:v>0.44015878846512158</c:v>
                </c:pt>
                <c:pt idx="39">
                  <c:v>0.43552512179845493</c:v>
                </c:pt>
                <c:pt idx="40">
                  <c:v>0.4279031854098711</c:v>
                </c:pt>
                <c:pt idx="41">
                  <c:v>0.44142944485983748</c:v>
                </c:pt>
                <c:pt idx="42">
                  <c:v>0.46052916331453808</c:v>
                </c:pt>
                <c:pt idx="43">
                  <c:v>0.47436406802220926</c:v>
                </c:pt>
                <c:pt idx="44">
                  <c:v>0.49507272670308466</c:v>
                </c:pt>
                <c:pt idx="45">
                  <c:v>0.45371264195805966</c:v>
                </c:pt>
                <c:pt idx="46">
                  <c:v>0.45433411897607573</c:v>
                </c:pt>
                <c:pt idx="47">
                  <c:v>0.44567613980940907</c:v>
                </c:pt>
                <c:pt idx="48">
                  <c:v>0.47063143287708231</c:v>
                </c:pt>
                <c:pt idx="49">
                  <c:v>0.46833140680542468</c:v>
                </c:pt>
                <c:pt idx="50">
                  <c:v>0.47326929498866649</c:v>
                </c:pt>
                <c:pt idx="51">
                  <c:v>0.48854390024112593</c:v>
                </c:pt>
                <c:pt idx="52">
                  <c:v>0.50081668927960243</c:v>
                </c:pt>
                <c:pt idx="53">
                  <c:v>0.51444724622125504</c:v>
                </c:pt>
                <c:pt idx="54">
                  <c:v>0.53305605606064033</c:v>
                </c:pt>
                <c:pt idx="55">
                  <c:v>0.60084840854384047</c:v>
                </c:pt>
                <c:pt idx="56">
                  <c:v>0.6345192709851033</c:v>
                </c:pt>
                <c:pt idx="57">
                  <c:v>0.64874263099642526</c:v>
                </c:pt>
                <c:pt idx="58">
                  <c:v>0.69876388402741607</c:v>
                </c:pt>
                <c:pt idx="59">
                  <c:v>0.69796789070749821</c:v>
                </c:pt>
                <c:pt idx="60">
                  <c:v>0.67668322574736428</c:v>
                </c:pt>
                <c:pt idx="61">
                  <c:v>0.70139247157751294</c:v>
                </c:pt>
                <c:pt idx="62">
                  <c:v>0.69622337962128311</c:v>
                </c:pt>
                <c:pt idx="63">
                  <c:v>0.70773991513337964</c:v>
                </c:pt>
                <c:pt idx="64">
                  <c:v>0.73198622538961655</c:v>
                </c:pt>
                <c:pt idx="65">
                  <c:v>0.72147724008432246</c:v>
                </c:pt>
                <c:pt idx="66">
                  <c:v>0.73537398970306911</c:v>
                </c:pt>
                <c:pt idx="67">
                  <c:v>0.73311298124967028</c:v>
                </c:pt>
                <c:pt idx="68">
                  <c:v>0.75197627463406624</c:v>
                </c:pt>
                <c:pt idx="69">
                  <c:v>0.77400774331151045</c:v>
                </c:pt>
                <c:pt idx="70">
                  <c:v>0.78278926045160691</c:v>
                </c:pt>
                <c:pt idx="71">
                  <c:v>0.80585171618479789</c:v>
                </c:pt>
                <c:pt idx="72">
                  <c:v>0.77636794746526838</c:v>
                </c:pt>
                <c:pt idx="73">
                  <c:v>0.78784510946921849</c:v>
                </c:pt>
                <c:pt idx="74">
                  <c:v>0.75447430913764701</c:v>
                </c:pt>
                <c:pt idx="75">
                  <c:v>0.79983125482892004</c:v>
                </c:pt>
                <c:pt idx="76">
                  <c:v>0.81441183816225338</c:v>
                </c:pt>
                <c:pt idx="77">
                  <c:v>0.81635508029401627</c:v>
                </c:pt>
                <c:pt idx="78">
                  <c:v>0.79958411589990597</c:v>
                </c:pt>
                <c:pt idx="79">
                  <c:v>0.91051774948435849</c:v>
                </c:pt>
                <c:pt idx="80">
                  <c:v>0.92213715792658768</c:v>
                </c:pt>
                <c:pt idx="81">
                  <c:v>0.94990474134035985</c:v>
                </c:pt>
                <c:pt idx="82">
                  <c:v>0.99176197539042288</c:v>
                </c:pt>
                <c:pt idx="83">
                  <c:v>1.0550593477683827</c:v>
                </c:pt>
                <c:pt idx="84">
                  <c:v>1.0204034353561771</c:v>
                </c:pt>
                <c:pt idx="85">
                  <c:v>1.0358486158348659</c:v>
                </c:pt>
                <c:pt idx="86">
                  <c:v>1.0486517599897007</c:v>
                </c:pt>
                <c:pt idx="87">
                  <c:v>1.1666673676593111</c:v>
                </c:pt>
                <c:pt idx="88">
                  <c:v>1.1514476414919703</c:v>
                </c:pt>
                <c:pt idx="89">
                  <c:v>1.124363940277411</c:v>
                </c:pt>
                <c:pt idx="90">
                  <c:v>1.0970978133973053</c:v>
                </c:pt>
                <c:pt idx="91">
                  <c:v>1.142396834864799</c:v>
                </c:pt>
                <c:pt idx="92">
                  <c:v>1.1789690297747326</c:v>
                </c:pt>
                <c:pt idx="93">
                  <c:v>1.181086908205385</c:v>
                </c:pt>
                <c:pt idx="94">
                  <c:v>1.1658852605183394</c:v>
                </c:pt>
                <c:pt idx="95">
                  <c:v>1.1650612244948084</c:v>
                </c:pt>
                <c:pt idx="96">
                  <c:v>1.2006849401570037</c:v>
                </c:pt>
                <c:pt idx="97">
                  <c:v>1.2087975665325408</c:v>
                </c:pt>
                <c:pt idx="98">
                  <c:v>1.214345491277073</c:v>
                </c:pt>
                <c:pt idx="99">
                  <c:v>1.2753353738140647</c:v>
                </c:pt>
                <c:pt idx="100">
                  <c:v>1.2693524316025742</c:v>
                </c:pt>
                <c:pt idx="101">
                  <c:v>1.3471447589420749</c:v>
                </c:pt>
                <c:pt idx="102">
                  <c:v>1.3527485430124353</c:v>
                </c:pt>
                <c:pt idx="103">
                  <c:v>1.3297666670583084</c:v>
                </c:pt>
                <c:pt idx="104">
                  <c:v>1.3637398699330832</c:v>
                </c:pt>
                <c:pt idx="105">
                  <c:v>1.3886288479903237</c:v>
                </c:pt>
                <c:pt idx="106">
                  <c:v>1.3898269563715449</c:v>
                </c:pt>
                <c:pt idx="107">
                  <c:v>1.3829924306355044</c:v>
                </c:pt>
                <c:pt idx="108">
                  <c:v>1.3820447216961875</c:v>
                </c:pt>
                <c:pt idx="109">
                  <c:v>1.3782220397247549</c:v>
                </c:pt>
                <c:pt idx="110">
                  <c:v>1.3237788667326225</c:v>
                </c:pt>
                <c:pt idx="111">
                  <c:v>1.3318414649873929</c:v>
                </c:pt>
                <c:pt idx="112">
                  <c:v>1.3158955118603766</c:v>
                </c:pt>
                <c:pt idx="113">
                  <c:v>1.3155408358377327</c:v>
                </c:pt>
                <c:pt idx="114">
                  <c:v>1.3107004865926528</c:v>
                </c:pt>
                <c:pt idx="115">
                  <c:v>1.3531108519787176</c:v>
                </c:pt>
                <c:pt idx="116">
                  <c:v>1.3757105856590464</c:v>
                </c:pt>
                <c:pt idx="117">
                  <c:v>1.4082950352593435</c:v>
                </c:pt>
                <c:pt idx="118">
                  <c:v>1.3855251703503075</c:v>
                </c:pt>
                <c:pt idx="119">
                  <c:v>1.4043041136296945</c:v>
                </c:pt>
                <c:pt idx="120">
                  <c:v>1.3685779581779967</c:v>
                </c:pt>
                <c:pt idx="121">
                  <c:v>1.3232800747835962</c:v>
                </c:pt>
                <c:pt idx="122">
                  <c:v>1.3370327228699788</c:v>
                </c:pt>
                <c:pt idx="123">
                  <c:v>1.3855835473475095</c:v>
                </c:pt>
                <c:pt idx="124">
                  <c:v>1.4293091115675469</c:v>
                </c:pt>
                <c:pt idx="125">
                  <c:v>1.3791570310251853</c:v>
                </c:pt>
                <c:pt idx="126">
                  <c:v>1.3945143011436802</c:v>
                </c:pt>
                <c:pt idx="127">
                  <c:v>1.3903785756635028</c:v>
                </c:pt>
                <c:pt idx="128">
                  <c:v>1.4543825169866997</c:v>
                </c:pt>
                <c:pt idx="129">
                  <c:v>1.4572108437615525</c:v>
                </c:pt>
                <c:pt idx="130">
                  <c:v>1.4838623533412179</c:v>
                </c:pt>
                <c:pt idx="131">
                  <c:v>1.4233542005327338</c:v>
                </c:pt>
                <c:pt idx="132">
                  <c:v>1.4352712968052213</c:v>
                </c:pt>
                <c:pt idx="133">
                  <c:v>1.4745046448440169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E8-8649-AD13-25AEA5180C8E}"/>
            </c:ext>
          </c:extLst>
        </c:ser>
        <c:ser>
          <c:idx val="1"/>
          <c:order val="1"/>
          <c:tx>
            <c:strRef>
              <c:f>預測累積畫圖!$B$13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預測累積畫圖!$C$13:$EF$13</c:f>
              <c:numCache>
                <c:formatCode>General</c:formatCode>
                <c:ptCount val="134"/>
                <c:pt idx="0">
                  <c:v>4.2506117601795589E-2</c:v>
                </c:pt>
                <c:pt idx="1">
                  <c:v>0.16625122176846219</c:v>
                </c:pt>
                <c:pt idx="2">
                  <c:v>0.13175460227710914</c:v>
                </c:pt>
                <c:pt idx="3">
                  <c:v>0.12029978977710915</c:v>
                </c:pt>
                <c:pt idx="4">
                  <c:v>0.10539181001980576</c:v>
                </c:pt>
                <c:pt idx="5">
                  <c:v>0.13538216418647242</c:v>
                </c:pt>
                <c:pt idx="6">
                  <c:v>0.16451270585313907</c:v>
                </c:pt>
                <c:pt idx="7">
                  <c:v>0.12061389335313905</c:v>
                </c:pt>
                <c:pt idx="8">
                  <c:v>7.5282903110920035E-2</c:v>
                </c:pt>
                <c:pt idx="9">
                  <c:v>4.6147234073474569E-2</c:v>
                </c:pt>
                <c:pt idx="10">
                  <c:v>7.1834525740141236E-2</c:v>
                </c:pt>
                <c:pt idx="11">
                  <c:v>0.17164125490680793</c:v>
                </c:pt>
                <c:pt idx="12">
                  <c:v>0.21143062990680792</c:v>
                </c:pt>
                <c:pt idx="13">
                  <c:v>0.22822277574014124</c:v>
                </c:pt>
                <c:pt idx="14">
                  <c:v>0.30144779657347454</c:v>
                </c:pt>
                <c:pt idx="15">
                  <c:v>0.31560762990680785</c:v>
                </c:pt>
                <c:pt idx="16">
                  <c:v>0.30336431740680786</c:v>
                </c:pt>
                <c:pt idx="17">
                  <c:v>0.28125983824014122</c:v>
                </c:pt>
                <c:pt idx="18">
                  <c:v>0.28285615074014125</c:v>
                </c:pt>
                <c:pt idx="19">
                  <c:v>0.26276202574014129</c:v>
                </c:pt>
                <c:pt idx="20">
                  <c:v>0.33823842157347461</c:v>
                </c:pt>
                <c:pt idx="21">
                  <c:v>0.39151487990680794</c:v>
                </c:pt>
                <c:pt idx="22">
                  <c:v>0.40543525490680793</c:v>
                </c:pt>
                <c:pt idx="23">
                  <c:v>0.42601917157347458</c:v>
                </c:pt>
                <c:pt idx="24">
                  <c:v>0.39389966123500331</c:v>
                </c:pt>
                <c:pt idx="25">
                  <c:v>0.37786368206833665</c:v>
                </c:pt>
                <c:pt idx="26">
                  <c:v>0.38589495290166997</c:v>
                </c:pt>
                <c:pt idx="27">
                  <c:v>0.37931590769912921</c:v>
                </c:pt>
                <c:pt idx="28">
                  <c:v>0.3135964285324625</c:v>
                </c:pt>
                <c:pt idx="29">
                  <c:v>0.28165596469816129</c:v>
                </c:pt>
                <c:pt idx="30">
                  <c:v>0.28493842303149464</c:v>
                </c:pt>
                <c:pt idx="31">
                  <c:v>0.27529708379197826</c:v>
                </c:pt>
                <c:pt idx="32">
                  <c:v>0.29520712545864491</c:v>
                </c:pt>
                <c:pt idx="33">
                  <c:v>0.31509304212531158</c:v>
                </c:pt>
                <c:pt idx="34">
                  <c:v>0.31841200045864493</c:v>
                </c:pt>
                <c:pt idx="35">
                  <c:v>0.34156342905381598</c:v>
                </c:pt>
                <c:pt idx="36">
                  <c:v>0.3878458725906449</c:v>
                </c:pt>
                <c:pt idx="37">
                  <c:v>0.493176110726679</c:v>
                </c:pt>
                <c:pt idx="38">
                  <c:v>0.50248729862609398</c:v>
                </c:pt>
                <c:pt idx="39">
                  <c:v>0.49589948612609397</c:v>
                </c:pt>
                <c:pt idx="40">
                  <c:v>0.48985019735719426</c:v>
                </c:pt>
                <c:pt idx="41">
                  <c:v>0.50053938289312994</c:v>
                </c:pt>
                <c:pt idx="42">
                  <c:v>0.54185250137736407</c:v>
                </c:pt>
                <c:pt idx="43">
                  <c:v>0.58231558923180382</c:v>
                </c:pt>
                <c:pt idx="44">
                  <c:v>0.62329171570778263</c:v>
                </c:pt>
                <c:pt idx="45">
                  <c:v>0.61381624306822957</c:v>
                </c:pt>
                <c:pt idx="46">
                  <c:v>0.617896256651293</c:v>
                </c:pt>
                <c:pt idx="47">
                  <c:v>0.60601563165129302</c:v>
                </c:pt>
                <c:pt idx="48">
                  <c:v>0.62357997799991793</c:v>
                </c:pt>
                <c:pt idx="49">
                  <c:v>0.61547651053041852</c:v>
                </c:pt>
                <c:pt idx="50">
                  <c:v>0.6220174481374795</c:v>
                </c:pt>
                <c:pt idx="51">
                  <c:v>0.66489282263429039</c:v>
                </c:pt>
                <c:pt idx="52">
                  <c:v>0.67617658974594808</c:v>
                </c:pt>
                <c:pt idx="53">
                  <c:v>0.67952101812962939</c:v>
                </c:pt>
                <c:pt idx="54">
                  <c:v>0.70691282443527093</c:v>
                </c:pt>
                <c:pt idx="55">
                  <c:v>0.79084223974276768</c:v>
                </c:pt>
                <c:pt idx="56">
                  <c:v>0.83740870208147933</c:v>
                </c:pt>
                <c:pt idx="57">
                  <c:v>0.84588443189309837</c:v>
                </c:pt>
                <c:pt idx="58">
                  <c:v>0.89829356434979979</c:v>
                </c:pt>
                <c:pt idx="59">
                  <c:v>0.88144647835953494</c:v>
                </c:pt>
                <c:pt idx="60">
                  <c:v>0.86305545347978552</c:v>
                </c:pt>
                <c:pt idx="61">
                  <c:v>0.89500331369296071</c:v>
                </c:pt>
                <c:pt idx="62">
                  <c:v>0.91192192931184235</c:v>
                </c:pt>
                <c:pt idx="63">
                  <c:v>0.92297447118711862</c:v>
                </c:pt>
                <c:pt idx="64">
                  <c:v>0.95385318742059277</c:v>
                </c:pt>
                <c:pt idx="65">
                  <c:v>0.96328588311524432</c:v>
                </c:pt>
                <c:pt idx="66">
                  <c:v>1.0049389469046701</c:v>
                </c:pt>
                <c:pt idx="67">
                  <c:v>0.99825752942111268</c:v>
                </c:pt>
                <c:pt idx="68">
                  <c:v>1.0056770012613323</c:v>
                </c:pt>
                <c:pt idx="69">
                  <c:v>1.0440205068778052</c:v>
                </c:pt>
                <c:pt idx="70">
                  <c:v>1.0617270619143591</c:v>
                </c:pt>
                <c:pt idx="71">
                  <c:v>1.0823806587905678</c:v>
                </c:pt>
                <c:pt idx="72">
                  <c:v>1.0841438966012449</c:v>
                </c:pt>
                <c:pt idx="73">
                  <c:v>1.1052219641252714</c:v>
                </c:pt>
                <c:pt idx="74">
                  <c:v>1.090709566454781</c:v>
                </c:pt>
                <c:pt idx="75">
                  <c:v>1.1668476895138311</c:v>
                </c:pt>
                <c:pt idx="76">
                  <c:v>1.190859877013831</c:v>
                </c:pt>
                <c:pt idx="77">
                  <c:v>1.1842640502886108</c:v>
                </c:pt>
                <c:pt idx="78">
                  <c:v>1.1717331380759775</c:v>
                </c:pt>
                <c:pt idx="79">
                  <c:v>1.2768189709683049</c:v>
                </c:pt>
                <c:pt idx="80">
                  <c:v>1.2860399552937187</c:v>
                </c:pt>
                <c:pt idx="81">
                  <c:v>1.330554222018788</c:v>
                </c:pt>
                <c:pt idx="82">
                  <c:v>1.3710032849877432</c:v>
                </c:pt>
                <c:pt idx="83">
                  <c:v>1.4293378968149504</c:v>
                </c:pt>
                <c:pt idx="84">
                  <c:v>1.377484387680687</c:v>
                </c:pt>
                <c:pt idx="85">
                  <c:v>1.3743782997087359</c:v>
                </c:pt>
                <c:pt idx="86">
                  <c:v>1.4064235689451998</c:v>
                </c:pt>
                <c:pt idx="87">
                  <c:v>1.4878769350473806</c:v>
                </c:pt>
                <c:pt idx="88">
                  <c:v>1.4775801312909855</c:v>
                </c:pt>
                <c:pt idx="89">
                  <c:v>1.4506925652921332</c:v>
                </c:pt>
                <c:pt idx="90">
                  <c:v>1.4372351067289058</c:v>
                </c:pt>
                <c:pt idx="91">
                  <c:v>1.50696164700664</c:v>
                </c:pt>
                <c:pt idx="92">
                  <c:v>1.5451465972027998</c:v>
                </c:pt>
                <c:pt idx="93">
                  <c:v>1.5534263782004483</c:v>
                </c:pt>
                <c:pt idx="94">
                  <c:v>1.5642594293157228</c:v>
                </c:pt>
                <c:pt idx="95">
                  <c:v>1.5723302286321015</c:v>
                </c:pt>
                <c:pt idx="96">
                  <c:v>1.6094916309144127</c:v>
                </c:pt>
                <c:pt idx="97">
                  <c:v>1.6065383187411548</c:v>
                </c:pt>
                <c:pt idx="98">
                  <c:v>1.6125153495974009</c:v>
                </c:pt>
                <c:pt idx="99">
                  <c:v>1.672548604837454</c:v>
                </c:pt>
                <c:pt idx="100">
                  <c:v>1.6594298647224415</c:v>
                </c:pt>
                <c:pt idx="101">
                  <c:v>1.7166540850759267</c:v>
                </c:pt>
                <c:pt idx="102">
                  <c:v>1.7110704081501054</c:v>
                </c:pt>
                <c:pt idx="103">
                  <c:v>1.6693088384333208</c:v>
                </c:pt>
                <c:pt idx="104">
                  <c:v>1.6990844043116138</c:v>
                </c:pt>
                <c:pt idx="105">
                  <c:v>1.7097820049123496</c:v>
                </c:pt>
                <c:pt idx="106">
                  <c:v>1.7157109620384245</c:v>
                </c:pt>
                <c:pt idx="107">
                  <c:v>1.6871921652447899</c:v>
                </c:pt>
                <c:pt idx="108">
                  <c:v>1.6855615080719</c:v>
                </c:pt>
                <c:pt idx="109">
                  <c:v>1.696857275953815</c:v>
                </c:pt>
                <c:pt idx="110">
                  <c:v>1.6508802508591383</c:v>
                </c:pt>
                <c:pt idx="111">
                  <c:v>1.6475484946796275</c:v>
                </c:pt>
                <c:pt idx="112">
                  <c:v>1.6599575688982551</c:v>
                </c:pt>
                <c:pt idx="113">
                  <c:v>1.6436573224069406</c:v>
                </c:pt>
                <c:pt idx="114">
                  <c:v>1.6369984533584967</c:v>
                </c:pt>
                <c:pt idx="115">
                  <c:v>1.6484980312810098</c:v>
                </c:pt>
                <c:pt idx="116">
                  <c:v>1.6953894436691415</c:v>
                </c:pt>
                <c:pt idx="117">
                  <c:v>1.7441760795254109</c:v>
                </c:pt>
                <c:pt idx="118">
                  <c:v>1.7177459981082821</c:v>
                </c:pt>
                <c:pt idx="119">
                  <c:v>1.731517207380594</c:v>
                </c:pt>
                <c:pt idx="120">
                  <c:v>1.6926295795409241</c:v>
                </c:pt>
                <c:pt idx="121">
                  <c:v>1.6572032784932593</c:v>
                </c:pt>
                <c:pt idx="122">
                  <c:v>1.675908442130404</c:v>
                </c:pt>
                <c:pt idx="123">
                  <c:v>1.7555285861545926</c:v>
                </c:pt>
                <c:pt idx="124">
                  <c:v>1.7999463757789429</c:v>
                </c:pt>
                <c:pt idx="125">
                  <c:v>1.7354229962004468</c:v>
                </c:pt>
                <c:pt idx="126">
                  <c:v>1.7708090408542803</c:v>
                </c:pt>
                <c:pt idx="127">
                  <c:v>1.756200226367062</c:v>
                </c:pt>
                <c:pt idx="128">
                  <c:v>1.829443095409744</c:v>
                </c:pt>
                <c:pt idx="129">
                  <c:v>1.8508163136091305</c:v>
                </c:pt>
                <c:pt idx="130">
                  <c:v>1.8924760670443594</c:v>
                </c:pt>
                <c:pt idx="131">
                  <c:v>1.8267939733851244</c:v>
                </c:pt>
                <c:pt idx="132">
                  <c:v>1.8347465669600889</c:v>
                </c:pt>
                <c:pt idx="133">
                  <c:v>1.9013237823236451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E8-8649-AD13-25AEA5180C8E}"/>
            </c:ext>
          </c:extLst>
        </c:ser>
        <c:ser>
          <c:idx val="2"/>
          <c:order val="2"/>
          <c:tx>
            <c:strRef>
              <c:f>預測累積畫圖!$B$14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預測累積畫圖!$C$14:$EF$14</c:f>
              <c:numCache>
                <c:formatCode>General</c:formatCode>
                <c:ptCount val="134"/>
                <c:pt idx="0">
                  <c:v>-3.7017512404591897E-2</c:v>
                </c:pt>
                <c:pt idx="1">
                  <c:v>0.18529127706909232</c:v>
                </c:pt>
                <c:pt idx="2">
                  <c:v>0.13776533380183631</c:v>
                </c:pt>
                <c:pt idx="3">
                  <c:v>0.1723085443281521</c:v>
                </c:pt>
                <c:pt idx="4">
                  <c:v>0.13128862783022666</c:v>
                </c:pt>
                <c:pt idx="5">
                  <c:v>0.19087757519864768</c:v>
                </c:pt>
                <c:pt idx="6">
                  <c:v>0.26799257519864766</c:v>
                </c:pt>
                <c:pt idx="7">
                  <c:v>0.16289899625127927</c:v>
                </c:pt>
                <c:pt idx="8">
                  <c:v>2.8720292537225772E-2</c:v>
                </c:pt>
                <c:pt idx="9">
                  <c:v>3.3567489724932578E-2</c:v>
                </c:pt>
                <c:pt idx="10">
                  <c:v>-4.238387869612005E-2</c:v>
                </c:pt>
                <c:pt idx="11">
                  <c:v>0.16244880551440627</c:v>
                </c:pt>
                <c:pt idx="12">
                  <c:v>0.20209117393545889</c:v>
                </c:pt>
                <c:pt idx="13">
                  <c:v>0.24987112130387992</c:v>
                </c:pt>
                <c:pt idx="14">
                  <c:v>0.30811017393545886</c:v>
                </c:pt>
                <c:pt idx="15">
                  <c:v>0.29395848972493255</c:v>
                </c:pt>
                <c:pt idx="16">
                  <c:v>0.33249375288282729</c:v>
                </c:pt>
                <c:pt idx="17">
                  <c:v>0.315132016040722</c:v>
                </c:pt>
                <c:pt idx="18">
                  <c:v>0.35171027919861675</c:v>
                </c:pt>
                <c:pt idx="19">
                  <c:v>0.31333596340914305</c:v>
                </c:pt>
                <c:pt idx="20">
                  <c:v>0.42950133183019568</c:v>
                </c:pt>
                <c:pt idx="21">
                  <c:v>0.48308312130387987</c:v>
                </c:pt>
                <c:pt idx="22">
                  <c:v>0.46631954235651146</c:v>
                </c:pt>
                <c:pt idx="23">
                  <c:v>0.48757154235651146</c:v>
                </c:pt>
                <c:pt idx="24">
                  <c:v>0.44812136205442926</c:v>
                </c:pt>
                <c:pt idx="25">
                  <c:v>0.37313873047548191</c:v>
                </c:pt>
                <c:pt idx="26">
                  <c:v>0.34384609889653456</c:v>
                </c:pt>
                <c:pt idx="27">
                  <c:v>0.3567662055077529</c:v>
                </c:pt>
                <c:pt idx="28">
                  <c:v>0.35274715287617397</c:v>
                </c:pt>
                <c:pt idx="29">
                  <c:v>0.31232645033377487</c:v>
                </c:pt>
                <c:pt idx="30">
                  <c:v>0.31871702928114332</c:v>
                </c:pt>
                <c:pt idx="31">
                  <c:v>0.31346675135063728</c:v>
                </c:pt>
                <c:pt idx="32">
                  <c:v>0.32443206714011097</c:v>
                </c:pt>
                <c:pt idx="33">
                  <c:v>0.42072675135063731</c:v>
                </c:pt>
                <c:pt idx="34">
                  <c:v>0.40921733029800572</c:v>
                </c:pt>
                <c:pt idx="35">
                  <c:v>0.44718652002046644</c:v>
                </c:pt>
                <c:pt idx="36">
                  <c:v>0.50842868639909167</c:v>
                </c:pt>
                <c:pt idx="37">
                  <c:v>0.60702335316863543</c:v>
                </c:pt>
                <c:pt idx="38">
                  <c:v>0.66792905863404539</c:v>
                </c:pt>
                <c:pt idx="39">
                  <c:v>0.67498421652878227</c:v>
                </c:pt>
                <c:pt idx="40">
                  <c:v>0.67461624879102233</c:v>
                </c:pt>
                <c:pt idx="41">
                  <c:v>0.71226208855328521</c:v>
                </c:pt>
                <c:pt idx="42">
                  <c:v>0.79763907450633198</c:v>
                </c:pt>
                <c:pt idx="43">
                  <c:v>0.83214565419147646</c:v>
                </c:pt>
                <c:pt idx="44">
                  <c:v>0.87213730319478033</c:v>
                </c:pt>
                <c:pt idx="45">
                  <c:v>0.85345441776116315</c:v>
                </c:pt>
                <c:pt idx="46">
                  <c:v>0.83509148625520568</c:v>
                </c:pt>
                <c:pt idx="47">
                  <c:v>0.83591385467625834</c:v>
                </c:pt>
                <c:pt idx="48">
                  <c:v>0.85098197344801985</c:v>
                </c:pt>
                <c:pt idx="49">
                  <c:v>0.79763340427586382</c:v>
                </c:pt>
                <c:pt idx="50">
                  <c:v>0.81525504982010699</c:v>
                </c:pt>
                <c:pt idx="51">
                  <c:v>0.87698933182178185</c:v>
                </c:pt>
                <c:pt idx="52">
                  <c:v>0.86716833286650441</c:v>
                </c:pt>
                <c:pt idx="53">
                  <c:v>0.91049611453390988</c:v>
                </c:pt>
                <c:pt idx="54">
                  <c:v>0.95428317706939692</c:v>
                </c:pt>
                <c:pt idx="55">
                  <c:v>0.99505369861508675</c:v>
                </c:pt>
                <c:pt idx="56">
                  <c:v>1.0364279626890196</c:v>
                </c:pt>
                <c:pt idx="57">
                  <c:v>1.0417707182576204</c:v>
                </c:pt>
                <c:pt idx="58">
                  <c:v>1.0919559311484741</c:v>
                </c:pt>
                <c:pt idx="59">
                  <c:v>1.0719387074772408</c:v>
                </c:pt>
                <c:pt idx="60">
                  <c:v>1.0663449558201681</c:v>
                </c:pt>
                <c:pt idx="61">
                  <c:v>1.1260827226625385</c:v>
                </c:pt>
                <c:pt idx="62">
                  <c:v>1.1653399378689655</c:v>
                </c:pt>
                <c:pt idx="63">
                  <c:v>1.186276475941517</c:v>
                </c:pt>
                <c:pt idx="64">
                  <c:v>1.2198855216187814</c:v>
                </c:pt>
                <c:pt idx="65">
                  <c:v>1.2355592551117405</c:v>
                </c:pt>
                <c:pt idx="66">
                  <c:v>1.2514027789816913</c:v>
                </c:pt>
                <c:pt idx="67">
                  <c:v>1.2234733494490733</c:v>
                </c:pt>
                <c:pt idx="68">
                  <c:v>1.1819793943044954</c:v>
                </c:pt>
                <c:pt idx="69">
                  <c:v>1.2559923566408067</c:v>
                </c:pt>
                <c:pt idx="70">
                  <c:v>1.2471375212827758</c:v>
                </c:pt>
                <c:pt idx="71">
                  <c:v>1.2728647032992031</c:v>
                </c:pt>
                <c:pt idx="72">
                  <c:v>1.2853726515567965</c:v>
                </c:pt>
                <c:pt idx="73">
                  <c:v>1.3403434116787496</c:v>
                </c:pt>
                <c:pt idx="74">
                  <c:v>1.3337471183137846</c:v>
                </c:pt>
                <c:pt idx="75">
                  <c:v>1.3937811751425668</c:v>
                </c:pt>
                <c:pt idx="76">
                  <c:v>1.4272358067215143</c:v>
                </c:pt>
                <c:pt idx="77">
                  <c:v>1.4493634232636892</c:v>
                </c:pt>
                <c:pt idx="78">
                  <c:v>1.4365693424785106</c:v>
                </c:pt>
                <c:pt idx="79">
                  <c:v>1.5345860524107084</c:v>
                </c:pt>
                <c:pt idx="80">
                  <c:v>1.4624293331990106</c:v>
                </c:pt>
                <c:pt idx="81">
                  <c:v>1.5547600164810722</c:v>
                </c:pt>
                <c:pt idx="82">
                  <c:v>1.6078270447769112</c:v>
                </c:pt>
                <c:pt idx="83">
                  <c:v>1.6724884370551283</c:v>
                </c:pt>
                <c:pt idx="84">
                  <c:v>1.5666036596917694</c:v>
                </c:pt>
                <c:pt idx="85">
                  <c:v>1.5379358047475948</c:v>
                </c:pt>
                <c:pt idx="86">
                  <c:v>1.551952169138241</c:v>
                </c:pt>
                <c:pt idx="87">
                  <c:v>1.6142221240170775</c:v>
                </c:pt>
                <c:pt idx="88">
                  <c:v>1.6462621343853947</c:v>
                </c:pt>
                <c:pt idx="89">
                  <c:v>1.6232354457144686</c:v>
                </c:pt>
                <c:pt idx="90">
                  <c:v>1.5496477256755756</c:v>
                </c:pt>
                <c:pt idx="91">
                  <c:v>1.6494570571573284</c:v>
                </c:pt>
                <c:pt idx="92">
                  <c:v>1.7026686852490029</c:v>
                </c:pt>
                <c:pt idx="93">
                  <c:v>1.7585778228735043</c:v>
                </c:pt>
                <c:pt idx="94">
                  <c:v>1.8176049431371599</c:v>
                </c:pt>
                <c:pt idx="95">
                  <c:v>1.8367055196878448</c:v>
                </c:pt>
                <c:pt idx="96">
                  <c:v>1.7927884169906301</c:v>
                </c:pt>
                <c:pt idx="97">
                  <c:v>1.8155341321288854</c:v>
                </c:pt>
                <c:pt idx="98">
                  <c:v>1.8121357496654147</c:v>
                </c:pt>
                <c:pt idx="99">
                  <c:v>1.8484351585536538</c:v>
                </c:pt>
                <c:pt idx="100">
                  <c:v>1.8196760382621795</c:v>
                </c:pt>
                <c:pt idx="101">
                  <c:v>1.8837396016125629</c:v>
                </c:pt>
                <c:pt idx="102">
                  <c:v>1.8594353124419785</c:v>
                </c:pt>
                <c:pt idx="103">
                  <c:v>1.8358742392537877</c:v>
                </c:pt>
                <c:pt idx="104">
                  <c:v>1.8595068484586352</c:v>
                </c:pt>
                <c:pt idx="105">
                  <c:v>1.8427482986662187</c:v>
                </c:pt>
                <c:pt idx="106">
                  <c:v>1.8481325982739831</c:v>
                </c:pt>
                <c:pt idx="107">
                  <c:v>1.8122759677169207</c:v>
                </c:pt>
                <c:pt idx="108">
                  <c:v>1.8237225241102379</c:v>
                </c:pt>
                <c:pt idx="109">
                  <c:v>1.8284973613531494</c:v>
                </c:pt>
                <c:pt idx="110">
                  <c:v>1.7698995416442325</c:v>
                </c:pt>
                <c:pt idx="111">
                  <c:v>1.7709232659115299</c:v>
                </c:pt>
                <c:pt idx="112">
                  <c:v>1.7899943290291858</c:v>
                </c:pt>
                <c:pt idx="113">
                  <c:v>1.7748291674742973</c:v>
                </c:pt>
                <c:pt idx="114">
                  <c:v>1.7803334365679477</c:v>
                </c:pt>
                <c:pt idx="115">
                  <c:v>1.8229959324612119</c:v>
                </c:pt>
                <c:pt idx="116">
                  <c:v>1.8643715776240093</c:v>
                </c:pt>
                <c:pt idx="117">
                  <c:v>1.9079112939816614</c:v>
                </c:pt>
                <c:pt idx="118">
                  <c:v>1.8185434339408495</c:v>
                </c:pt>
                <c:pt idx="119">
                  <c:v>1.871165953399849</c:v>
                </c:pt>
                <c:pt idx="120">
                  <c:v>1.8361210471289322</c:v>
                </c:pt>
                <c:pt idx="121">
                  <c:v>1.791604093531477</c:v>
                </c:pt>
                <c:pt idx="122">
                  <c:v>1.7466891449124951</c:v>
                </c:pt>
                <c:pt idx="123">
                  <c:v>1.8549514994426024</c:v>
                </c:pt>
                <c:pt idx="124">
                  <c:v>1.9532958664603801</c:v>
                </c:pt>
                <c:pt idx="125">
                  <c:v>1.8513643609079591</c:v>
                </c:pt>
                <c:pt idx="126">
                  <c:v>1.8893614408548076</c:v>
                </c:pt>
                <c:pt idx="127">
                  <c:v>1.8674798675363453</c:v>
                </c:pt>
                <c:pt idx="128">
                  <c:v>1.9455851334242815</c:v>
                </c:pt>
                <c:pt idx="129">
                  <c:v>1.9787624665368724</c:v>
                </c:pt>
                <c:pt idx="130">
                  <c:v>1.9848418486850055</c:v>
                </c:pt>
                <c:pt idx="131">
                  <c:v>1.8822121394988185</c:v>
                </c:pt>
                <c:pt idx="132">
                  <c:v>1.9010792963437111</c:v>
                </c:pt>
                <c:pt idx="133">
                  <c:v>1.9710357168422692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E8-8649-AD13-25AEA5180C8E}"/>
            </c:ext>
          </c:extLst>
        </c:ser>
        <c:ser>
          <c:idx val="3"/>
          <c:order val="3"/>
          <c:tx>
            <c:strRef>
              <c:f>預測累積畫圖!$B$15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預測累積畫圖!$C$15:$EF$15</c:f>
              <c:numCache>
                <c:formatCode>General</c:formatCode>
                <c:ptCount val="134"/>
                <c:pt idx="0">
                  <c:v>-9.6503141994516081E-2</c:v>
                </c:pt>
                <c:pt idx="1">
                  <c:v>0.27620655800548399</c:v>
                </c:pt>
                <c:pt idx="2">
                  <c:v>0.26600813173340049</c:v>
                </c:pt>
                <c:pt idx="3">
                  <c:v>0.3563127317334005</c:v>
                </c:pt>
                <c:pt idx="4">
                  <c:v>0.29567580306186625</c:v>
                </c:pt>
                <c:pt idx="5">
                  <c:v>0.41452020306186627</c:v>
                </c:pt>
                <c:pt idx="6">
                  <c:v>0.54124910306186624</c:v>
                </c:pt>
                <c:pt idx="7">
                  <c:v>0.47672490306186621</c:v>
                </c:pt>
                <c:pt idx="8">
                  <c:v>0.19013027532549559</c:v>
                </c:pt>
                <c:pt idx="9">
                  <c:v>0.22268878048268023</c:v>
                </c:pt>
                <c:pt idx="10">
                  <c:v>3.4197380482680229E-2</c:v>
                </c:pt>
                <c:pt idx="11">
                  <c:v>0.36450698048268021</c:v>
                </c:pt>
                <c:pt idx="12">
                  <c:v>0.41061048048268023</c:v>
                </c:pt>
                <c:pt idx="13">
                  <c:v>0.46359388048268024</c:v>
                </c:pt>
                <c:pt idx="14">
                  <c:v>0.56397068048268029</c:v>
                </c:pt>
                <c:pt idx="15">
                  <c:v>0.58072588048268026</c:v>
                </c:pt>
                <c:pt idx="16">
                  <c:v>0.53769228048268025</c:v>
                </c:pt>
                <c:pt idx="17">
                  <c:v>0.48835258048268027</c:v>
                </c:pt>
                <c:pt idx="18">
                  <c:v>0.53514128048268028</c:v>
                </c:pt>
                <c:pt idx="19">
                  <c:v>0.44946088048268029</c:v>
                </c:pt>
                <c:pt idx="20">
                  <c:v>0.55639548048268028</c:v>
                </c:pt>
                <c:pt idx="21">
                  <c:v>0.6348319804826803</c:v>
                </c:pt>
                <c:pt idx="22">
                  <c:v>0.61064228048268032</c:v>
                </c:pt>
                <c:pt idx="23">
                  <c:v>0.58698608048268031</c:v>
                </c:pt>
                <c:pt idx="24">
                  <c:v>0.53290493345464662</c:v>
                </c:pt>
                <c:pt idx="25">
                  <c:v>0.45890953345464663</c:v>
                </c:pt>
                <c:pt idx="26">
                  <c:v>0.41885473345464663</c:v>
                </c:pt>
                <c:pt idx="27">
                  <c:v>0.39991845042382823</c:v>
                </c:pt>
                <c:pt idx="28">
                  <c:v>0.44720405042382821</c:v>
                </c:pt>
                <c:pt idx="29">
                  <c:v>0.38138443792678833</c:v>
                </c:pt>
                <c:pt idx="30">
                  <c:v>0.37163943792678833</c:v>
                </c:pt>
                <c:pt idx="31">
                  <c:v>0.40524381128446479</c:v>
                </c:pt>
                <c:pt idx="32">
                  <c:v>0.47952121128446479</c:v>
                </c:pt>
                <c:pt idx="33">
                  <c:v>0.48370461128446479</c:v>
                </c:pt>
                <c:pt idx="34">
                  <c:v>0.44670651128446481</c:v>
                </c:pt>
                <c:pt idx="35">
                  <c:v>0.49113817378027935</c:v>
                </c:pt>
                <c:pt idx="36">
                  <c:v>0.54626079591490651</c:v>
                </c:pt>
                <c:pt idx="37">
                  <c:v>0.64794950182729005</c:v>
                </c:pt>
                <c:pt idx="38">
                  <c:v>0.71131931429075712</c:v>
                </c:pt>
                <c:pt idx="39">
                  <c:v>0.72390151429075711</c:v>
                </c:pt>
                <c:pt idx="40">
                  <c:v>0.68653438749463547</c:v>
                </c:pt>
                <c:pt idx="41">
                  <c:v>0.7768282429705522</c:v>
                </c:pt>
                <c:pt idx="42">
                  <c:v>0.83064942200766623</c:v>
                </c:pt>
                <c:pt idx="43">
                  <c:v>0.8959044126600948</c:v>
                </c:pt>
                <c:pt idx="44">
                  <c:v>0.93584767374956113</c:v>
                </c:pt>
                <c:pt idx="45">
                  <c:v>0.88862085542212221</c:v>
                </c:pt>
                <c:pt idx="46">
                  <c:v>0.90428079467670319</c:v>
                </c:pt>
                <c:pt idx="47">
                  <c:v>0.90844279467670319</c:v>
                </c:pt>
                <c:pt idx="48">
                  <c:v>0.9364598587867361</c:v>
                </c:pt>
                <c:pt idx="49">
                  <c:v>0.84513657871823256</c:v>
                </c:pt>
                <c:pt idx="50">
                  <c:v>0.85575009352588549</c:v>
                </c:pt>
                <c:pt idx="51">
                  <c:v>0.96847495960469865</c:v>
                </c:pt>
                <c:pt idx="52">
                  <c:v>1.0306301032725289</c:v>
                </c:pt>
                <c:pt idx="53">
                  <c:v>1.083673377177325</c:v>
                </c:pt>
                <c:pt idx="54">
                  <c:v>1.1321160981949883</c:v>
                </c:pt>
                <c:pt idx="55">
                  <c:v>1.1797790776517405</c:v>
                </c:pt>
                <c:pt idx="56">
                  <c:v>1.1822686163863056</c:v>
                </c:pt>
                <c:pt idx="57">
                  <c:v>1.2167104618679951</c:v>
                </c:pt>
                <c:pt idx="58">
                  <c:v>1.2852971209829649</c:v>
                </c:pt>
                <c:pt idx="59">
                  <c:v>1.2740320938955196</c:v>
                </c:pt>
                <c:pt idx="60">
                  <c:v>1.2748558461633257</c:v>
                </c:pt>
                <c:pt idx="61">
                  <c:v>1.3342597175046742</c:v>
                </c:pt>
                <c:pt idx="62">
                  <c:v>1.4010845388714035</c:v>
                </c:pt>
                <c:pt idx="63">
                  <c:v>1.4412271086045934</c:v>
                </c:pt>
                <c:pt idx="64">
                  <c:v>1.4689615845595243</c:v>
                </c:pt>
                <c:pt idx="65">
                  <c:v>1.483145805267329</c:v>
                </c:pt>
                <c:pt idx="66">
                  <c:v>1.4959487365576567</c:v>
                </c:pt>
                <c:pt idx="67">
                  <c:v>1.445791307435597</c:v>
                </c:pt>
                <c:pt idx="68">
                  <c:v>1.4289675299853106</c:v>
                </c:pt>
                <c:pt idx="69">
                  <c:v>1.518027735716645</c:v>
                </c:pt>
                <c:pt idx="70">
                  <c:v>1.5375041555124385</c:v>
                </c:pt>
                <c:pt idx="71">
                  <c:v>1.5964191232649871</c:v>
                </c:pt>
                <c:pt idx="72">
                  <c:v>1.5604732331355835</c:v>
                </c:pt>
                <c:pt idx="73">
                  <c:v>1.589109128201315</c:v>
                </c:pt>
                <c:pt idx="74">
                  <c:v>1.5274150367222552</c:v>
                </c:pt>
                <c:pt idx="75">
                  <c:v>1.6303215056996025</c:v>
                </c:pt>
                <c:pt idx="76">
                  <c:v>1.6602844056996025</c:v>
                </c:pt>
                <c:pt idx="77">
                  <c:v>1.675341299711427</c:v>
                </c:pt>
                <c:pt idx="78">
                  <c:v>1.5230230346572655</c:v>
                </c:pt>
                <c:pt idx="79">
                  <c:v>1.6431751186203498</c:v>
                </c:pt>
                <c:pt idx="80">
                  <c:v>1.5266585495502292</c:v>
                </c:pt>
                <c:pt idx="81">
                  <c:v>1.6210151999436493</c:v>
                </c:pt>
                <c:pt idx="82">
                  <c:v>1.616716320690285</c:v>
                </c:pt>
                <c:pt idx="83">
                  <c:v>1.6796022789739864</c:v>
                </c:pt>
                <c:pt idx="84">
                  <c:v>1.6408038640790057</c:v>
                </c:pt>
                <c:pt idx="85">
                  <c:v>1.5537595080062876</c:v>
                </c:pt>
                <c:pt idx="86">
                  <c:v>1.610432153778387</c:v>
                </c:pt>
                <c:pt idx="87">
                  <c:v>1.6418541287716353</c:v>
                </c:pt>
                <c:pt idx="88">
                  <c:v>1.7164852449000891</c:v>
                </c:pt>
                <c:pt idx="89">
                  <c:v>1.6738511291009288</c:v>
                </c:pt>
                <c:pt idx="90">
                  <c:v>1.5444021042188874</c:v>
                </c:pt>
                <c:pt idx="91">
                  <c:v>1.671937939651837</c:v>
                </c:pt>
                <c:pt idx="92">
                  <c:v>1.7093159504169659</c:v>
                </c:pt>
                <c:pt idx="93">
                  <c:v>1.7575530207051302</c:v>
                </c:pt>
                <c:pt idx="94">
                  <c:v>1.8177381931687249</c:v>
                </c:pt>
                <c:pt idx="95">
                  <c:v>1.8251327681441796</c:v>
                </c:pt>
                <c:pt idx="96">
                  <c:v>1.7619541082294068</c:v>
                </c:pt>
                <c:pt idx="97">
                  <c:v>1.7558122613245979</c:v>
                </c:pt>
                <c:pt idx="98">
                  <c:v>1.7433276011441576</c:v>
                </c:pt>
                <c:pt idx="99">
                  <c:v>1.7673672081974885</c:v>
                </c:pt>
                <c:pt idx="100">
                  <c:v>1.7248965351197261</c:v>
                </c:pt>
                <c:pt idx="101">
                  <c:v>1.8047834830640683</c:v>
                </c:pt>
                <c:pt idx="102">
                  <c:v>1.7784076476221917</c:v>
                </c:pt>
                <c:pt idx="103">
                  <c:v>1.748181029408068</c:v>
                </c:pt>
                <c:pt idx="104">
                  <c:v>1.78325617938265</c:v>
                </c:pt>
                <c:pt idx="105">
                  <c:v>1.7338624888827654</c:v>
                </c:pt>
                <c:pt idx="106">
                  <c:v>1.7588112036278085</c:v>
                </c:pt>
                <c:pt idx="107">
                  <c:v>1.7164198972284137</c:v>
                </c:pt>
                <c:pt idx="108">
                  <c:v>1.7326166288466549</c:v>
                </c:pt>
                <c:pt idx="109">
                  <c:v>1.7139076178027628</c:v>
                </c:pt>
                <c:pt idx="110">
                  <c:v>1.7021891687933051</c:v>
                </c:pt>
                <c:pt idx="111">
                  <c:v>1.6503353156988982</c:v>
                </c:pt>
                <c:pt idx="112">
                  <c:v>1.7521101497503662</c:v>
                </c:pt>
                <c:pt idx="113">
                  <c:v>1.8147456438388041</c:v>
                </c:pt>
                <c:pt idx="114">
                  <c:v>1.7909370969711353</c:v>
                </c:pt>
                <c:pt idx="115">
                  <c:v>1.8349335943947549</c:v>
                </c:pt>
                <c:pt idx="116">
                  <c:v>1.8812303216285557</c:v>
                </c:pt>
                <c:pt idx="117">
                  <c:v>1.9049659236354484</c:v>
                </c:pt>
                <c:pt idx="118">
                  <c:v>1.8099250161760199</c:v>
                </c:pt>
                <c:pt idx="119">
                  <c:v>1.8799355827939583</c:v>
                </c:pt>
                <c:pt idx="120">
                  <c:v>1.8036936743821612</c:v>
                </c:pt>
                <c:pt idx="121">
                  <c:v>1.7315300426639981</c:v>
                </c:pt>
                <c:pt idx="122">
                  <c:v>1.6857593137123175</c:v>
                </c:pt>
                <c:pt idx="123">
                  <c:v>1.8255276706531889</c:v>
                </c:pt>
                <c:pt idx="124">
                  <c:v>1.8510662978000214</c:v>
                </c:pt>
                <c:pt idx="125">
                  <c:v>1.732450047150035</c:v>
                </c:pt>
                <c:pt idx="126">
                  <c:v>1.8389892137510446</c:v>
                </c:pt>
                <c:pt idx="127">
                  <c:v>1.8200689696816603</c:v>
                </c:pt>
                <c:pt idx="128">
                  <c:v>1.8474076958915</c:v>
                </c:pt>
                <c:pt idx="129">
                  <c:v>1.895926269022745</c:v>
                </c:pt>
                <c:pt idx="130">
                  <c:v>1.9620081250706913</c:v>
                </c:pt>
                <c:pt idx="131">
                  <c:v>1.8486510691353799</c:v>
                </c:pt>
                <c:pt idx="132">
                  <c:v>1.8324056545992917</c:v>
                </c:pt>
                <c:pt idx="133">
                  <c:v>1.8981066457381339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E8-8649-AD13-25AEA5180C8E}"/>
            </c:ext>
          </c:extLst>
        </c:ser>
        <c:ser>
          <c:idx val="4"/>
          <c:order val="4"/>
          <c:tx>
            <c:strRef>
              <c:f>預測累積畫圖!$B$16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預測累積畫圖!$C$16:$EF$16</c:f>
              <c:numCache>
                <c:formatCode>General</c:formatCode>
                <c:ptCount val="134"/>
                <c:pt idx="0">
                  <c:v>-2.7383644610379052E-2</c:v>
                </c:pt>
                <c:pt idx="1">
                  <c:v>0.38081179983406532</c:v>
                </c:pt>
                <c:pt idx="2">
                  <c:v>0.37798162322397993</c:v>
                </c:pt>
                <c:pt idx="3">
                  <c:v>0.50224228989064668</c:v>
                </c:pt>
                <c:pt idx="4">
                  <c:v>0.42854602476372283</c:v>
                </c:pt>
                <c:pt idx="5">
                  <c:v>0.50139480254150059</c:v>
                </c:pt>
                <c:pt idx="6">
                  <c:v>0.6131868025415006</c:v>
                </c:pt>
                <c:pt idx="7">
                  <c:v>0.54449335809705612</c:v>
                </c:pt>
                <c:pt idx="8">
                  <c:v>0.25982280787052403</c:v>
                </c:pt>
                <c:pt idx="9">
                  <c:v>0.26970934245839284</c:v>
                </c:pt>
                <c:pt idx="10">
                  <c:v>7.4833564680615056E-2</c:v>
                </c:pt>
                <c:pt idx="11">
                  <c:v>0.44182145356950397</c:v>
                </c:pt>
                <c:pt idx="12">
                  <c:v>0.45744256468061506</c:v>
                </c:pt>
                <c:pt idx="13">
                  <c:v>0.51942234245839281</c:v>
                </c:pt>
                <c:pt idx="14">
                  <c:v>0.61604223134728175</c:v>
                </c:pt>
                <c:pt idx="15">
                  <c:v>0.63522467579172626</c:v>
                </c:pt>
                <c:pt idx="16">
                  <c:v>0.59280956468061519</c:v>
                </c:pt>
                <c:pt idx="17">
                  <c:v>0.56958212023617072</c:v>
                </c:pt>
                <c:pt idx="18">
                  <c:v>0.61823178690283742</c:v>
                </c:pt>
                <c:pt idx="19">
                  <c:v>0.5139165646806152</c:v>
                </c:pt>
                <c:pt idx="20">
                  <c:v>0.59229000912505969</c:v>
                </c:pt>
                <c:pt idx="21">
                  <c:v>0.66596834245839309</c:v>
                </c:pt>
                <c:pt idx="22">
                  <c:v>0.66167978690283757</c:v>
                </c:pt>
                <c:pt idx="23">
                  <c:v>0.64160400912505977</c:v>
                </c:pt>
                <c:pt idx="24">
                  <c:v>0.59811637328906764</c:v>
                </c:pt>
                <c:pt idx="25">
                  <c:v>0.52710037328906767</c:v>
                </c:pt>
                <c:pt idx="26">
                  <c:v>0.48606026217795656</c:v>
                </c:pt>
                <c:pt idx="27">
                  <c:v>0.48493823632888028</c:v>
                </c:pt>
                <c:pt idx="28">
                  <c:v>0.5364722363288803</c:v>
                </c:pt>
                <c:pt idx="29">
                  <c:v>0.47278639374729114</c:v>
                </c:pt>
                <c:pt idx="30">
                  <c:v>0.46448483819173558</c:v>
                </c:pt>
                <c:pt idx="31">
                  <c:v>0.49625023864117612</c:v>
                </c:pt>
                <c:pt idx="32">
                  <c:v>0.58677334975228723</c:v>
                </c:pt>
                <c:pt idx="33">
                  <c:v>0.5691433497522872</c:v>
                </c:pt>
                <c:pt idx="34">
                  <c:v>0.56115701641895388</c:v>
                </c:pt>
                <c:pt idx="35">
                  <c:v>0.60984594952347715</c:v>
                </c:pt>
                <c:pt idx="36">
                  <c:v>0.67592268012527512</c:v>
                </c:pt>
                <c:pt idx="37">
                  <c:v>0.78237888021495072</c:v>
                </c:pt>
                <c:pt idx="38">
                  <c:v>0.84380355204086299</c:v>
                </c:pt>
                <c:pt idx="39">
                  <c:v>0.84904399648530748</c:v>
                </c:pt>
                <c:pt idx="40">
                  <c:v>0.81057779633923888</c:v>
                </c:pt>
                <c:pt idx="41">
                  <c:v>0.91386897539973133</c:v>
                </c:pt>
                <c:pt idx="42">
                  <c:v>0.97893720087370073</c:v>
                </c:pt>
                <c:pt idx="43">
                  <c:v>1.0284843561920707</c:v>
                </c:pt>
                <c:pt idx="44">
                  <c:v>1.0703111944469659</c:v>
                </c:pt>
                <c:pt idx="45">
                  <c:v>1.0612386876669471</c:v>
                </c:pt>
                <c:pt idx="46">
                  <c:v>1.1004916177415978</c:v>
                </c:pt>
                <c:pt idx="47">
                  <c:v>1.0936360621860421</c:v>
                </c:pt>
                <c:pt idx="48">
                  <c:v>1.1274486520303881</c:v>
                </c:pt>
                <c:pt idx="49">
                  <c:v>1.0225390168516759</c:v>
                </c:pt>
                <c:pt idx="50">
                  <c:v>1.0374621219092619</c:v>
                </c:pt>
                <c:pt idx="51">
                  <c:v>1.1455010460620001</c:v>
                </c:pt>
                <c:pt idx="52">
                  <c:v>1.2126225121696919</c:v>
                </c:pt>
                <c:pt idx="53">
                  <c:v>1.2485592237155958</c:v>
                </c:pt>
                <c:pt idx="54">
                  <c:v>1.2999702181100707</c:v>
                </c:pt>
                <c:pt idx="55">
                  <c:v>1.364238272429789</c:v>
                </c:pt>
                <c:pt idx="56">
                  <c:v>1.3777115544777456</c:v>
                </c:pt>
                <c:pt idx="57">
                  <c:v>1.3639359399937838</c:v>
                </c:pt>
                <c:pt idx="58">
                  <c:v>1.4053797477570458</c:v>
                </c:pt>
                <c:pt idx="59">
                  <c:v>1.3848759314738381</c:v>
                </c:pt>
                <c:pt idx="60">
                  <c:v>1.3878479217690352</c:v>
                </c:pt>
                <c:pt idx="61">
                  <c:v>1.4584714874765583</c:v>
                </c:pt>
                <c:pt idx="62">
                  <c:v>1.5399953625185234</c:v>
                </c:pt>
                <c:pt idx="63">
                  <c:v>1.5879011951225506</c:v>
                </c:pt>
                <c:pt idx="64">
                  <c:v>1.6097915550762083</c:v>
                </c:pt>
                <c:pt idx="65">
                  <c:v>1.6306347386237889</c:v>
                </c:pt>
                <c:pt idx="66">
                  <c:v>1.6471127548787174</c:v>
                </c:pt>
                <c:pt idx="67">
                  <c:v>1.6208159068572729</c:v>
                </c:pt>
                <c:pt idx="68">
                  <c:v>1.6076243337098088</c:v>
                </c:pt>
                <c:pt idx="69">
                  <c:v>1.6931075249776084</c:v>
                </c:pt>
                <c:pt idx="70">
                  <c:v>1.7508726351624089</c:v>
                </c:pt>
                <c:pt idx="71">
                  <c:v>1.8115838746092496</c:v>
                </c:pt>
                <c:pt idx="72">
                  <c:v>1.745842947182715</c:v>
                </c:pt>
                <c:pt idx="73">
                  <c:v>1.7774021847038459</c:v>
                </c:pt>
                <c:pt idx="74">
                  <c:v>1.7268384518566029</c:v>
                </c:pt>
                <c:pt idx="75">
                  <c:v>1.8383643003582522</c:v>
                </c:pt>
                <c:pt idx="76">
                  <c:v>1.8657953003582521</c:v>
                </c:pt>
                <c:pt idx="77">
                  <c:v>1.8643672553690349</c:v>
                </c:pt>
                <c:pt idx="78">
                  <c:v>1.7052947408851005</c:v>
                </c:pt>
                <c:pt idx="79">
                  <c:v>1.8603660125114623</c:v>
                </c:pt>
                <c:pt idx="80">
                  <c:v>1.7277709517179509</c:v>
                </c:pt>
                <c:pt idx="81">
                  <c:v>1.832972215727702</c:v>
                </c:pt>
                <c:pt idx="82">
                  <c:v>1.8275936966963719</c:v>
                </c:pt>
                <c:pt idx="83">
                  <c:v>1.8692911113993991</c:v>
                </c:pt>
                <c:pt idx="84">
                  <c:v>1.8305812295708817</c:v>
                </c:pt>
                <c:pt idx="85">
                  <c:v>1.7850576787832151</c:v>
                </c:pt>
                <c:pt idx="86">
                  <c:v>1.8615306625009054</c:v>
                </c:pt>
                <c:pt idx="87">
                  <c:v>1.8774093448356146</c:v>
                </c:pt>
                <c:pt idx="88">
                  <c:v>1.9663979729851262</c:v>
                </c:pt>
                <c:pt idx="89">
                  <c:v>1.9333404578441762</c:v>
                </c:pt>
                <c:pt idx="90">
                  <c:v>1.7508885033043469</c:v>
                </c:pt>
                <c:pt idx="91">
                  <c:v>1.8875201927864382</c:v>
                </c:pt>
                <c:pt idx="92">
                  <c:v>1.9289557984458487</c:v>
                </c:pt>
                <c:pt idx="93">
                  <c:v>1.9772555651291652</c:v>
                </c:pt>
                <c:pt idx="94">
                  <c:v>2.043814725003239</c:v>
                </c:pt>
                <c:pt idx="95">
                  <c:v>2.0488821315040799</c:v>
                </c:pt>
                <c:pt idx="96">
                  <c:v>1.9854474771451052</c:v>
                </c:pt>
                <c:pt idx="97">
                  <c:v>1.9686963930643844</c:v>
                </c:pt>
                <c:pt idx="98">
                  <c:v>1.9595022335317627</c:v>
                </c:pt>
                <c:pt idx="99">
                  <c:v>1.9717425182860127</c:v>
                </c:pt>
                <c:pt idx="100">
                  <c:v>1.9226254691693871</c:v>
                </c:pt>
                <c:pt idx="101">
                  <c:v>2.0252587283475196</c:v>
                </c:pt>
                <c:pt idx="102">
                  <c:v>1.9954539343802842</c:v>
                </c:pt>
                <c:pt idx="103">
                  <c:v>1.9527417646000582</c:v>
                </c:pt>
                <c:pt idx="104">
                  <c:v>1.9956841269205585</c:v>
                </c:pt>
                <c:pt idx="105">
                  <c:v>1.9256131918632009</c:v>
                </c:pt>
                <c:pt idx="106">
                  <c:v>1.9600575642044298</c:v>
                </c:pt>
                <c:pt idx="107">
                  <c:v>1.9369111309788707</c:v>
                </c:pt>
                <c:pt idx="108">
                  <c:v>1.9513640786103092</c:v>
                </c:pt>
                <c:pt idx="109">
                  <c:v>1.9322347351923381</c:v>
                </c:pt>
                <c:pt idx="110">
                  <c:v>1.919001309479816</c:v>
                </c:pt>
                <c:pt idx="111">
                  <c:v>1.8898599033991863</c:v>
                </c:pt>
                <c:pt idx="112">
                  <c:v>2.0234542600247671</c:v>
                </c:pt>
                <c:pt idx="113">
                  <c:v>2.0885672961534119</c:v>
                </c:pt>
                <c:pt idx="114">
                  <c:v>2.0582363463950708</c:v>
                </c:pt>
                <c:pt idx="115">
                  <c:v>2.100674199754478</c:v>
                </c:pt>
                <c:pt idx="116">
                  <c:v>2.1538961073106218</c:v>
                </c:pt>
                <c:pt idx="117">
                  <c:v>2.1737380558898476</c:v>
                </c:pt>
                <c:pt idx="118">
                  <c:v>2.0907043978128312</c:v>
                </c:pt>
                <c:pt idx="119">
                  <c:v>2.1458956494623465</c:v>
                </c:pt>
                <c:pt idx="120">
                  <c:v>2.0521435844725922</c:v>
                </c:pt>
                <c:pt idx="121">
                  <c:v>1.9516094566481266</c:v>
                </c:pt>
                <c:pt idx="122">
                  <c:v>1.8871357228785879</c:v>
                </c:pt>
                <c:pt idx="123">
                  <c:v>2.0240894548963815</c:v>
                </c:pt>
                <c:pt idx="124">
                  <c:v>2.0650071845960722</c:v>
                </c:pt>
                <c:pt idx="125">
                  <c:v>1.9397224782720948</c:v>
                </c:pt>
                <c:pt idx="126">
                  <c:v>2.0560768131824378</c:v>
                </c:pt>
                <c:pt idx="127">
                  <c:v>2.0247997333577614</c:v>
                </c:pt>
                <c:pt idx="128">
                  <c:v>2.0714611049134883</c:v>
                </c:pt>
                <c:pt idx="129">
                  <c:v>2.1500717436566217</c:v>
                </c:pt>
                <c:pt idx="130">
                  <c:v>2.2136038102911915</c:v>
                </c:pt>
                <c:pt idx="131">
                  <c:v>2.0981870627922703</c:v>
                </c:pt>
                <c:pt idx="132">
                  <c:v>2.0750963512676588</c:v>
                </c:pt>
                <c:pt idx="133">
                  <c:v>2.1175707527615661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E8-8649-AD13-25AEA5180C8E}"/>
            </c:ext>
          </c:extLst>
        </c:ser>
        <c:ser>
          <c:idx val="5"/>
          <c:order val="5"/>
          <c:tx>
            <c:strRef>
              <c:f>預測累積畫圖!$B$17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預測累積畫圖!$C$17:$EF$17</c:f>
              <c:numCache>
                <c:formatCode>General</c:formatCode>
                <c:ptCount val="134"/>
                <c:pt idx="0">
                  <c:v>-4.1028984252961823E-2</c:v>
                </c:pt>
                <c:pt idx="1">
                  <c:v>0.39855939074703817</c:v>
                </c:pt>
                <c:pt idx="2">
                  <c:v>0.40593839224233952</c:v>
                </c:pt>
                <c:pt idx="3">
                  <c:v>0.55271039224233953</c:v>
                </c:pt>
                <c:pt idx="4">
                  <c:v>0.48148762536415779</c:v>
                </c:pt>
                <c:pt idx="5">
                  <c:v>0.58648237536415782</c:v>
                </c:pt>
                <c:pt idx="6">
                  <c:v>0.65397162536415787</c:v>
                </c:pt>
                <c:pt idx="7">
                  <c:v>0.53867325036415792</c:v>
                </c:pt>
                <c:pt idx="8">
                  <c:v>0.24184669926359553</c:v>
                </c:pt>
                <c:pt idx="9">
                  <c:v>0.25155758877175355</c:v>
                </c:pt>
                <c:pt idx="10">
                  <c:v>2.4617713771753535E-2</c:v>
                </c:pt>
                <c:pt idx="11">
                  <c:v>0.42972596377175354</c:v>
                </c:pt>
                <c:pt idx="12">
                  <c:v>0.45435808877175354</c:v>
                </c:pt>
                <c:pt idx="13">
                  <c:v>0.53127371377175359</c:v>
                </c:pt>
                <c:pt idx="14">
                  <c:v>0.63770608877175361</c:v>
                </c:pt>
                <c:pt idx="15">
                  <c:v>0.63968108877175367</c:v>
                </c:pt>
                <c:pt idx="16">
                  <c:v>0.58454933877175363</c:v>
                </c:pt>
                <c:pt idx="17">
                  <c:v>0.56104096377175361</c:v>
                </c:pt>
                <c:pt idx="18">
                  <c:v>0.61332933877175366</c:v>
                </c:pt>
                <c:pt idx="19">
                  <c:v>0.49697421377175366</c:v>
                </c:pt>
                <c:pt idx="20">
                  <c:v>0.57611633877175361</c:v>
                </c:pt>
                <c:pt idx="21">
                  <c:v>0.67630271377175366</c:v>
                </c:pt>
                <c:pt idx="22">
                  <c:v>0.67780183877175371</c:v>
                </c:pt>
                <c:pt idx="23">
                  <c:v>0.65619333877175368</c:v>
                </c:pt>
                <c:pt idx="24">
                  <c:v>0.62098354918955456</c:v>
                </c:pt>
                <c:pt idx="25">
                  <c:v>0.56264917418955451</c:v>
                </c:pt>
                <c:pt idx="26">
                  <c:v>0.52185004918955447</c:v>
                </c:pt>
                <c:pt idx="27">
                  <c:v>0.49993720501591388</c:v>
                </c:pt>
                <c:pt idx="28">
                  <c:v>0.55938045501591382</c:v>
                </c:pt>
                <c:pt idx="29">
                  <c:v>0.49795114489397369</c:v>
                </c:pt>
                <c:pt idx="30">
                  <c:v>0.49659989489397371</c:v>
                </c:pt>
                <c:pt idx="31">
                  <c:v>0.53207251406686251</c:v>
                </c:pt>
                <c:pt idx="32">
                  <c:v>0.64693763906686252</c:v>
                </c:pt>
                <c:pt idx="33">
                  <c:v>0.62472938906686248</c:v>
                </c:pt>
                <c:pt idx="34">
                  <c:v>0.6114047640668625</c:v>
                </c:pt>
                <c:pt idx="35">
                  <c:v>0.66212916981541903</c:v>
                </c:pt>
                <c:pt idx="36">
                  <c:v>0.73749853740307603</c:v>
                </c:pt>
                <c:pt idx="37">
                  <c:v>0.85078565774899373</c:v>
                </c:pt>
                <c:pt idx="38">
                  <c:v>0.86341799234471794</c:v>
                </c:pt>
                <c:pt idx="39">
                  <c:v>0.86717724234471794</c:v>
                </c:pt>
                <c:pt idx="40">
                  <c:v>0.80665010494321887</c:v>
                </c:pt>
                <c:pt idx="41">
                  <c:v>0.92058081483803611</c:v>
                </c:pt>
                <c:pt idx="42">
                  <c:v>0.97690437687251186</c:v>
                </c:pt>
                <c:pt idx="43">
                  <c:v>1.029172183322234</c:v>
                </c:pt>
                <c:pt idx="44">
                  <c:v>1.0837276906089217</c:v>
                </c:pt>
                <c:pt idx="45">
                  <c:v>1.0625217878266533</c:v>
                </c:pt>
                <c:pt idx="46">
                  <c:v>1.07094367586849</c:v>
                </c:pt>
                <c:pt idx="47">
                  <c:v>1.0815360508684901</c:v>
                </c:pt>
                <c:pt idx="48">
                  <c:v>1.1089597475590911</c:v>
                </c:pt>
                <c:pt idx="49">
                  <c:v>0.98380214529889998</c:v>
                </c:pt>
                <c:pt idx="50">
                  <c:v>0.99362732440601298</c:v>
                </c:pt>
                <c:pt idx="51">
                  <c:v>1.1173913875198573</c:v>
                </c:pt>
                <c:pt idx="52">
                  <c:v>1.201254582697671</c:v>
                </c:pt>
                <c:pt idx="53">
                  <c:v>1.2236110649438758</c:v>
                </c:pt>
                <c:pt idx="54">
                  <c:v>1.3009613071819361</c:v>
                </c:pt>
                <c:pt idx="55">
                  <c:v>1.3561588037908898</c:v>
                </c:pt>
                <c:pt idx="56">
                  <c:v>1.3207645677028526</c:v>
                </c:pt>
                <c:pt idx="57">
                  <c:v>1.3342840285546056</c:v>
                </c:pt>
                <c:pt idx="58">
                  <c:v>1.4213959739945528</c:v>
                </c:pt>
                <c:pt idx="59">
                  <c:v>1.4115379097213163</c:v>
                </c:pt>
                <c:pt idx="60">
                  <c:v>1.3977149576512109</c:v>
                </c:pt>
                <c:pt idx="61">
                  <c:v>1.475197924451157</c:v>
                </c:pt>
                <c:pt idx="62">
                  <c:v>1.5511956948970169</c:v>
                </c:pt>
                <c:pt idx="63">
                  <c:v>1.5981112204908949</c:v>
                </c:pt>
                <c:pt idx="64">
                  <c:v>1.6332908359076186</c:v>
                </c:pt>
                <c:pt idx="65">
                  <c:v>1.6692868155620995</c:v>
                </c:pt>
                <c:pt idx="66">
                  <c:v>1.6806633260085511</c:v>
                </c:pt>
                <c:pt idx="67">
                  <c:v>1.6710169508838011</c:v>
                </c:pt>
                <c:pt idx="68">
                  <c:v>1.6669134817731945</c:v>
                </c:pt>
                <c:pt idx="69">
                  <c:v>1.7763298606436178</c:v>
                </c:pt>
                <c:pt idx="70">
                  <c:v>1.8474576793943702</c:v>
                </c:pt>
                <c:pt idx="71">
                  <c:v>1.9176679824139986</c:v>
                </c:pt>
                <c:pt idx="72">
                  <c:v>1.8372362698147326</c:v>
                </c:pt>
                <c:pt idx="73">
                  <c:v>1.8660592344344054</c:v>
                </c:pt>
                <c:pt idx="74">
                  <c:v>1.781813766805711</c:v>
                </c:pt>
                <c:pt idx="75">
                  <c:v>1.9023919226867962</c:v>
                </c:pt>
                <c:pt idx="76">
                  <c:v>1.9295880476867961</c:v>
                </c:pt>
                <c:pt idx="77">
                  <c:v>1.9191103401948035</c:v>
                </c:pt>
                <c:pt idx="78">
                  <c:v>1.7441523662051226</c:v>
                </c:pt>
                <c:pt idx="79">
                  <c:v>1.9171121074242712</c:v>
                </c:pt>
                <c:pt idx="80">
                  <c:v>1.7419958619182196</c:v>
                </c:pt>
                <c:pt idx="81">
                  <c:v>1.8407420593444181</c:v>
                </c:pt>
                <c:pt idx="82">
                  <c:v>1.825214954269341</c:v>
                </c:pt>
                <c:pt idx="83">
                  <c:v>1.8838514008763909</c:v>
                </c:pt>
                <c:pt idx="84">
                  <c:v>1.8693202158868023</c:v>
                </c:pt>
                <c:pt idx="85">
                  <c:v>1.8185778944023603</c:v>
                </c:pt>
                <c:pt idx="86">
                  <c:v>1.9103164670602732</c:v>
                </c:pt>
                <c:pt idx="87">
                  <c:v>1.900890122291242</c:v>
                </c:pt>
                <c:pt idx="88">
                  <c:v>2.0354594667228163</c:v>
                </c:pt>
                <c:pt idx="89">
                  <c:v>2.0087414055718291</c:v>
                </c:pt>
                <c:pt idx="90">
                  <c:v>1.8062027783088397</c:v>
                </c:pt>
                <c:pt idx="91">
                  <c:v>1.9543620475061834</c:v>
                </c:pt>
                <c:pt idx="92">
                  <c:v>1.9954499806895867</c:v>
                </c:pt>
                <c:pt idx="93">
                  <c:v>2.0461264713918097</c:v>
                </c:pt>
                <c:pt idx="94">
                  <c:v>2.1429681026913796</c:v>
                </c:pt>
                <c:pt idx="95">
                  <c:v>2.1922281590805728</c:v>
                </c:pt>
                <c:pt idx="96">
                  <c:v>2.1178198514973188</c:v>
                </c:pt>
                <c:pt idx="97">
                  <c:v>2.121699459437246</c:v>
                </c:pt>
                <c:pt idx="98">
                  <c:v>2.1019376055278931</c:v>
                </c:pt>
                <c:pt idx="99">
                  <c:v>2.1127100000518411</c:v>
                </c:pt>
                <c:pt idx="100">
                  <c:v>2.0633267013357512</c:v>
                </c:pt>
                <c:pt idx="101">
                  <c:v>2.1875755391833716</c:v>
                </c:pt>
                <c:pt idx="102">
                  <c:v>2.1436796800382374</c:v>
                </c:pt>
                <c:pt idx="103">
                  <c:v>2.1087966692457694</c:v>
                </c:pt>
                <c:pt idx="104">
                  <c:v>2.1521601382232687</c:v>
                </c:pt>
                <c:pt idx="105">
                  <c:v>2.0670262051391148</c:v>
                </c:pt>
                <c:pt idx="106">
                  <c:v>2.1107496209224181</c:v>
                </c:pt>
                <c:pt idx="107">
                  <c:v>2.099518250595759</c:v>
                </c:pt>
                <c:pt idx="108">
                  <c:v>2.0976789686668504</c:v>
                </c:pt>
                <c:pt idx="109">
                  <c:v>2.0589523177288376</c:v>
                </c:pt>
                <c:pt idx="110">
                  <c:v>2.053659073405055</c:v>
                </c:pt>
                <c:pt idx="111">
                  <c:v>2.0083229158642353</c:v>
                </c:pt>
                <c:pt idx="112">
                  <c:v>2.1643593439807813</c:v>
                </c:pt>
                <c:pt idx="113">
                  <c:v>2.2378749449179525</c:v>
                </c:pt>
                <c:pt idx="114">
                  <c:v>2.1856220343356365</c:v>
                </c:pt>
                <c:pt idx="115">
                  <c:v>2.2211110670499754</c:v>
                </c:pt>
                <c:pt idx="116">
                  <c:v>2.274562437389879</c:v>
                </c:pt>
                <c:pt idx="117">
                  <c:v>2.2580439291332555</c:v>
                </c:pt>
                <c:pt idx="118">
                  <c:v>2.1503414603366249</c:v>
                </c:pt>
                <c:pt idx="119">
                  <c:v>2.2062262752129533</c:v>
                </c:pt>
                <c:pt idx="120">
                  <c:v>2.0819101154081423</c:v>
                </c:pt>
                <c:pt idx="121">
                  <c:v>1.9887711657229907</c:v>
                </c:pt>
                <c:pt idx="122">
                  <c:v>1.9170404596724855</c:v>
                </c:pt>
                <c:pt idx="123">
                  <c:v>2.0348058577834398</c:v>
                </c:pt>
                <c:pt idx="124">
                  <c:v>2.08348734119759</c:v>
                </c:pt>
                <c:pt idx="125">
                  <c:v>1.9539483586011159</c:v>
                </c:pt>
                <c:pt idx="126">
                  <c:v>2.0660868134071899</c:v>
                </c:pt>
                <c:pt idx="127">
                  <c:v>2.0342586408074039</c:v>
                </c:pt>
                <c:pt idx="128">
                  <c:v>2.0460765646731165</c:v>
                </c:pt>
                <c:pt idx="129">
                  <c:v>2.1331769138678558</c:v>
                </c:pt>
                <c:pt idx="130">
                  <c:v>2.1496021310839164</c:v>
                </c:pt>
                <c:pt idx="131">
                  <c:v>2.0212776871550036</c:v>
                </c:pt>
                <c:pt idx="132">
                  <c:v>1.9958643268449696</c:v>
                </c:pt>
                <c:pt idx="133">
                  <c:v>2.0435740938548212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FE8-8649-AD13-25AEA5180C8E}"/>
            </c:ext>
          </c:extLst>
        </c:ser>
        <c:ser>
          <c:idx val="6"/>
          <c:order val="6"/>
          <c:tx>
            <c:strRef>
              <c:f>預測累積畫圖!$B$18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預測累積畫圖!$C$18:$EF$18</c:f>
              <c:numCache>
                <c:formatCode>General</c:formatCode>
                <c:ptCount val="134"/>
                <c:pt idx="0">
                  <c:v>-5.3942228163147227E-2</c:v>
                </c:pt>
                <c:pt idx="1">
                  <c:v>0.34794177183685282</c:v>
                </c:pt>
                <c:pt idx="2">
                  <c:v>0.28894111473864503</c:v>
                </c:pt>
                <c:pt idx="3">
                  <c:v>0.50103197188150217</c:v>
                </c:pt>
                <c:pt idx="4">
                  <c:v>0.42023772486064231</c:v>
                </c:pt>
                <c:pt idx="5">
                  <c:v>0.54877772486064225</c:v>
                </c:pt>
                <c:pt idx="6">
                  <c:v>0.60373029628921371</c:v>
                </c:pt>
                <c:pt idx="7">
                  <c:v>0.47856943914635652</c:v>
                </c:pt>
                <c:pt idx="8">
                  <c:v>0.1198873406384568</c:v>
                </c:pt>
                <c:pt idx="9">
                  <c:v>0.13286982748543841</c:v>
                </c:pt>
                <c:pt idx="10">
                  <c:v>-0.1206430296574188</c:v>
                </c:pt>
                <c:pt idx="11">
                  <c:v>0.34117739891400978</c:v>
                </c:pt>
                <c:pt idx="12">
                  <c:v>0.36550154177115263</c:v>
                </c:pt>
                <c:pt idx="13">
                  <c:v>0.4200712560568669</c:v>
                </c:pt>
                <c:pt idx="14">
                  <c:v>0.54180997034258116</c:v>
                </c:pt>
                <c:pt idx="15">
                  <c:v>0.56113654177115257</c:v>
                </c:pt>
                <c:pt idx="16">
                  <c:v>0.49212325605686685</c:v>
                </c:pt>
                <c:pt idx="17">
                  <c:v>0.48709368462829544</c:v>
                </c:pt>
                <c:pt idx="18">
                  <c:v>0.51522725605686692</c:v>
                </c:pt>
                <c:pt idx="19">
                  <c:v>0.38397425605686691</c:v>
                </c:pt>
                <c:pt idx="20">
                  <c:v>0.46127125605686692</c:v>
                </c:pt>
                <c:pt idx="21">
                  <c:v>0.58839454177115258</c:v>
                </c:pt>
                <c:pt idx="22">
                  <c:v>0.6126063989140097</c:v>
                </c:pt>
                <c:pt idx="23">
                  <c:v>0.59570082748543829</c:v>
                </c:pt>
                <c:pt idx="24">
                  <c:v>0.55399558230271417</c:v>
                </c:pt>
                <c:pt idx="25">
                  <c:v>0.49228158230271418</c:v>
                </c:pt>
                <c:pt idx="26">
                  <c:v>0.41756172515985701</c:v>
                </c:pt>
                <c:pt idx="27">
                  <c:v>0.3909661347807768</c:v>
                </c:pt>
                <c:pt idx="28">
                  <c:v>0.46816713478077676</c:v>
                </c:pt>
                <c:pt idx="29">
                  <c:v>0.43629371662015115</c:v>
                </c:pt>
                <c:pt idx="30">
                  <c:v>0.42767585947729403</c:v>
                </c:pt>
                <c:pt idx="31">
                  <c:v>0.46787332044580876</c:v>
                </c:pt>
                <c:pt idx="32">
                  <c:v>0.58595974901723735</c:v>
                </c:pt>
                <c:pt idx="33">
                  <c:v>0.57863160616009446</c:v>
                </c:pt>
                <c:pt idx="34">
                  <c:v>0.6059228918743802</c:v>
                </c:pt>
                <c:pt idx="35">
                  <c:v>0.65345065550663795</c:v>
                </c:pt>
                <c:pt idx="36">
                  <c:v>0.72009406093140915</c:v>
                </c:pt>
                <c:pt idx="37">
                  <c:v>0.79938870088661096</c:v>
                </c:pt>
                <c:pt idx="38">
                  <c:v>0.80481623585430373</c:v>
                </c:pt>
                <c:pt idx="39">
                  <c:v>0.80683195014001796</c:v>
                </c:pt>
                <c:pt idx="40">
                  <c:v>0.73060110481356799</c:v>
                </c:pt>
                <c:pt idx="41">
                  <c:v>0.85514661117651225</c:v>
                </c:pt>
                <c:pt idx="42">
                  <c:v>0.94097316273048137</c:v>
                </c:pt>
                <c:pt idx="43">
                  <c:v>0.98429881255106011</c:v>
                </c:pt>
                <c:pt idx="44">
                  <c:v>1.0488744566306516</c:v>
                </c:pt>
                <c:pt idx="45">
                  <c:v>1.0201057007489345</c:v>
                </c:pt>
                <c:pt idx="46">
                  <c:v>1.0446437349900419</c:v>
                </c:pt>
                <c:pt idx="47">
                  <c:v>1.0782480207043277</c:v>
                </c:pt>
                <c:pt idx="48">
                  <c:v>1.1130312993454758</c:v>
                </c:pt>
                <c:pt idx="49">
                  <c:v>0.96462221695657679</c:v>
                </c:pt>
                <c:pt idx="50">
                  <c:v>0.96525452788126231</c:v>
                </c:pt>
                <c:pt idx="51">
                  <c:v>1.1029105700385995</c:v>
                </c:pt>
                <c:pt idx="52">
                  <c:v>1.1861121426319201</c:v>
                </c:pt>
                <c:pt idx="53">
                  <c:v>1.1620958709446196</c:v>
                </c:pt>
                <c:pt idx="54">
                  <c:v>1.2304570841827824</c:v>
                </c:pt>
                <c:pt idx="55">
                  <c:v>1.2763416204823612</c:v>
                </c:pt>
                <c:pt idx="56">
                  <c:v>1.259535379256157</c:v>
                </c:pt>
                <c:pt idx="57">
                  <c:v>1.2800392323199625</c:v>
                </c:pt>
                <c:pt idx="58">
                  <c:v>1.3890392392386282</c:v>
                </c:pt>
                <c:pt idx="59">
                  <c:v>1.3949953032890876</c:v>
                </c:pt>
                <c:pt idx="60">
                  <c:v>1.3369920591188851</c:v>
                </c:pt>
                <c:pt idx="61">
                  <c:v>1.4181497329390891</c:v>
                </c:pt>
                <c:pt idx="62">
                  <c:v>1.5209236720025288</c:v>
                </c:pt>
                <c:pt idx="63">
                  <c:v>1.5736980616263589</c:v>
                </c:pt>
                <c:pt idx="64">
                  <c:v>1.5939255577327336</c:v>
                </c:pt>
                <c:pt idx="65">
                  <c:v>1.6407830980674156</c:v>
                </c:pt>
                <c:pt idx="66">
                  <c:v>1.6426998821772647</c:v>
                </c:pt>
                <c:pt idx="67">
                  <c:v>1.63695168859331</c:v>
                </c:pt>
                <c:pt idx="68">
                  <c:v>1.6329680634961907</c:v>
                </c:pt>
                <c:pt idx="69">
                  <c:v>1.7482048115320774</c:v>
                </c:pt>
                <c:pt idx="70">
                  <c:v>1.8288822555721183</c:v>
                </c:pt>
                <c:pt idx="71">
                  <c:v>1.9098056508491605</c:v>
                </c:pt>
                <c:pt idx="72">
                  <c:v>1.8244945639159651</c:v>
                </c:pt>
                <c:pt idx="73">
                  <c:v>1.8435130386320007</c:v>
                </c:pt>
                <c:pt idx="74">
                  <c:v>1.7204380628079758</c:v>
                </c:pt>
                <c:pt idx="75">
                  <c:v>1.873758050610574</c:v>
                </c:pt>
                <c:pt idx="76">
                  <c:v>1.9070439077534311</c:v>
                </c:pt>
                <c:pt idx="77">
                  <c:v>1.8824665511409828</c:v>
                </c:pt>
                <c:pt idx="78">
                  <c:v>1.8542931071215827</c:v>
                </c:pt>
                <c:pt idx="79">
                  <c:v>2.0480099257684135</c:v>
                </c:pt>
                <c:pt idx="80">
                  <c:v>1.8700835694595361</c:v>
                </c:pt>
                <c:pt idx="81">
                  <c:v>1.9419011611599102</c:v>
                </c:pt>
                <c:pt idx="82">
                  <c:v>1.9390998022204946</c:v>
                </c:pt>
                <c:pt idx="83">
                  <c:v>2.1017568489077276</c:v>
                </c:pt>
                <c:pt idx="84">
                  <c:v>2.0628877090300382</c:v>
                </c:pt>
                <c:pt idx="85">
                  <c:v>2.0005740312051286</c:v>
                </c:pt>
                <c:pt idx="86">
                  <c:v>2.0912418154974124</c:v>
                </c:pt>
                <c:pt idx="87">
                  <c:v>2.0602522704392192</c:v>
                </c:pt>
                <c:pt idx="88">
                  <c:v>2.2039008136036129</c:v>
                </c:pt>
                <c:pt idx="89">
                  <c:v>2.1688145596254365</c:v>
                </c:pt>
                <c:pt idx="90">
                  <c:v>1.9372406810760072</c:v>
                </c:pt>
                <c:pt idx="91">
                  <c:v>2.1000797900240178</c:v>
                </c:pt>
                <c:pt idx="92">
                  <c:v>2.1480563264322852</c:v>
                </c:pt>
                <c:pt idx="93">
                  <c:v>2.203212455148877</c:v>
                </c:pt>
                <c:pt idx="94">
                  <c:v>2.2812397018808483</c:v>
                </c:pt>
                <c:pt idx="95">
                  <c:v>2.3717551308830975</c:v>
                </c:pt>
                <c:pt idx="96">
                  <c:v>2.3001064396779873</c:v>
                </c:pt>
                <c:pt idx="97">
                  <c:v>2.3911467219082758</c:v>
                </c:pt>
                <c:pt idx="98">
                  <c:v>2.3826906363437499</c:v>
                </c:pt>
                <c:pt idx="99">
                  <c:v>2.4442508221775281</c:v>
                </c:pt>
                <c:pt idx="100">
                  <c:v>2.3928934084027458</c:v>
                </c:pt>
                <c:pt idx="101">
                  <c:v>2.5257362717045173</c:v>
                </c:pt>
                <c:pt idx="102">
                  <c:v>2.4783553321858238</c:v>
                </c:pt>
                <c:pt idx="103">
                  <c:v>2.4326201235070646</c:v>
                </c:pt>
                <c:pt idx="104">
                  <c:v>2.4690289050025709</c:v>
                </c:pt>
                <c:pt idx="105">
                  <c:v>2.3865665515071566</c:v>
                </c:pt>
                <c:pt idx="106">
                  <c:v>2.4357399963987976</c:v>
                </c:pt>
                <c:pt idx="107">
                  <c:v>2.4006972176164272</c:v>
                </c:pt>
                <c:pt idx="108">
                  <c:v>2.3930777444587994</c:v>
                </c:pt>
                <c:pt idx="109">
                  <c:v>2.3650397312101505</c:v>
                </c:pt>
                <c:pt idx="110">
                  <c:v>2.3489251019721236</c:v>
                </c:pt>
                <c:pt idx="111">
                  <c:v>2.3037210621868343</c:v>
                </c:pt>
                <c:pt idx="112">
                  <c:v>2.4622346892792617</c:v>
                </c:pt>
                <c:pt idx="113">
                  <c:v>2.5436324321955031</c:v>
                </c:pt>
                <c:pt idx="114">
                  <c:v>2.4771242914634648</c:v>
                </c:pt>
                <c:pt idx="115">
                  <c:v>2.4604022273854436</c:v>
                </c:pt>
                <c:pt idx="116">
                  <c:v>2.5025071349360739</c:v>
                </c:pt>
                <c:pt idx="117">
                  <c:v>2.4819024484692083</c:v>
                </c:pt>
                <c:pt idx="118">
                  <c:v>2.3811751701633765</c:v>
                </c:pt>
                <c:pt idx="119">
                  <c:v>2.4580158249353374</c:v>
                </c:pt>
                <c:pt idx="120">
                  <c:v>2.3102938264836048</c:v>
                </c:pt>
                <c:pt idx="121">
                  <c:v>2.1942764363726277</c:v>
                </c:pt>
                <c:pt idx="122">
                  <c:v>2.0973812502957232</c:v>
                </c:pt>
                <c:pt idx="123">
                  <c:v>2.2030218590957853</c:v>
                </c:pt>
                <c:pt idx="124">
                  <c:v>2.2849305513801585</c:v>
                </c:pt>
                <c:pt idx="125">
                  <c:v>2.1313275739176767</c:v>
                </c:pt>
                <c:pt idx="126">
                  <c:v>2.2287556108936264</c:v>
                </c:pt>
                <c:pt idx="127">
                  <c:v>2.1532392515972609</c:v>
                </c:pt>
                <c:pt idx="128">
                  <c:v>2.1468776888532792</c:v>
                </c:pt>
                <c:pt idx="129">
                  <c:v>2.2467240668315998</c:v>
                </c:pt>
                <c:pt idx="130">
                  <c:v>2.2494881822569712</c:v>
                </c:pt>
                <c:pt idx="131">
                  <c:v>2.1390101603912055</c:v>
                </c:pt>
                <c:pt idx="132">
                  <c:v>2.1251564064166986</c:v>
                </c:pt>
                <c:pt idx="133">
                  <c:v>2.1741114235271151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E8-8649-AD13-25AEA5180C8E}"/>
            </c:ext>
          </c:extLst>
        </c:ser>
        <c:ser>
          <c:idx val="7"/>
          <c:order val="7"/>
          <c:tx>
            <c:strRef>
              <c:f>預測累積畫圖!$B$19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預測累積畫圖!$C$19:$EF$19</c:f>
              <c:numCache>
                <c:formatCode>General</c:formatCode>
                <c:ptCount val="134"/>
                <c:pt idx="0">
                  <c:v>-7.7959416087486216E-2</c:v>
                </c:pt>
                <c:pt idx="1">
                  <c:v>0.32956191724584716</c:v>
                </c:pt>
                <c:pt idx="2">
                  <c:v>0.27466382347843499</c:v>
                </c:pt>
                <c:pt idx="3">
                  <c:v>0.51083465681176832</c:v>
                </c:pt>
                <c:pt idx="4">
                  <c:v>0.41332256625016817</c:v>
                </c:pt>
                <c:pt idx="5">
                  <c:v>0.5909327329168349</c:v>
                </c:pt>
                <c:pt idx="6">
                  <c:v>0.6383960662501682</c:v>
                </c:pt>
                <c:pt idx="7">
                  <c:v>0.48216689958350151</c:v>
                </c:pt>
                <c:pt idx="8">
                  <c:v>6.382904861386729E-2</c:v>
                </c:pt>
                <c:pt idx="9">
                  <c:v>0.10687800624903332</c:v>
                </c:pt>
                <c:pt idx="10">
                  <c:v>-0.15466366041763335</c:v>
                </c:pt>
                <c:pt idx="11">
                  <c:v>0.37771083958236662</c:v>
                </c:pt>
                <c:pt idx="12">
                  <c:v>0.35791383958236661</c:v>
                </c:pt>
                <c:pt idx="13">
                  <c:v>0.38069917291569993</c:v>
                </c:pt>
                <c:pt idx="14">
                  <c:v>0.55116350624903321</c:v>
                </c:pt>
                <c:pt idx="15">
                  <c:v>0.59310650624903327</c:v>
                </c:pt>
                <c:pt idx="16">
                  <c:v>0.51441033958236659</c:v>
                </c:pt>
                <c:pt idx="17">
                  <c:v>0.4048835062490333</c:v>
                </c:pt>
                <c:pt idx="18">
                  <c:v>0.44906767291569993</c:v>
                </c:pt>
                <c:pt idx="19">
                  <c:v>0.33038417291569994</c:v>
                </c:pt>
                <c:pt idx="20">
                  <c:v>0.40280000624903328</c:v>
                </c:pt>
                <c:pt idx="21">
                  <c:v>0.52572367291569999</c:v>
                </c:pt>
                <c:pt idx="22">
                  <c:v>0.54978583958236671</c:v>
                </c:pt>
                <c:pt idx="23">
                  <c:v>0.52756283958236672</c:v>
                </c:pt>
                <c:pt idx="24">
                  <c:v>0.48599265504421096</c:v>
                </c:pt>
                <c:pt idx="25">
                  <c:v>0.42523015504421097</c:v>
                </c:pt>
                <c:pt idx="26">
                  <c:v>0.34171732171087765</c:v>
                </c:pt>
                <c:pt idx="27">
                  <c:v>0.30662839312292733</c:v>
                </c:pt>
                <c:pt idx="28">
                  <c:v>0.42185955978959394</c:v>
                </c:pt>
                <c:pt idx="29">
                  <c:v>0.38307389298069416</c:v>
                </c:pt>
                <c:pt idx="30">
                  <c:v>0.40237239298069416</c:v>
                </c:pt>
                <c:pt idx="31">
                  <c:v>0.45893010820239771</c:v>
                </c:pt>
                <c:pt idx="32">
                  <c:v>0.55047944153573103</c:v>
                </c:pt>
                <c:pt idx="33">
                  <c:v>0.56264577486906431</c:v>
                </c:pt>
                <c:pt idx="34">
                  <c:v>0.61170644153573095</c:v>
                </c:pt>
                <c:pt idx="35">
                  <c:v>0.68197738720653645</c:v>
                </c:pt>
                <c:pt idx="36">
                  <c:v>0.72508339901794139</c:v>
                </c:pt>
                <c:pt idx="37">
                  <c:v>0.80865169338362342</c:v>
                </c:pt>
                <c:pt idx="38">
                  <c:v>0.83454459642903778</c:v>
                </c:pt>
                <c:pt idx="39">
                  <c:v>0.84425759642903775</c:v>
                </c:pt>
                <c:pt idx="40">
                  <c:v>0.75600483936838714</c:v>
                </c:pt>
                <c:pt idx="41">
                  <c:v>0.90952240168124454</c:v>
                </c:pt>
                <c:pt idx="42">
                  <c:v>1.0073193569495591</c:v>
                </c:pt>
                <c:pt idx="43">
                  <c:v>1.0566143387152604</c:v>
                </c:pt>
                <c:pt idx="44">
                  <c:v>1.1330430544289145</c:v>
                </c:pt>
                <c:pt idx="45">
                  <c:v>1.0830100337319366</c:v>
                </c:pt>
                <c:pt idx="46">
                  <c:v>1.105366201886073</c:v>
                </c:pt>
                <c:pt idx="47">
                  <c:v>1.1694312018860731</c:v>
                </c:pt>
                <c:pt idx="48">
                  <c:v>1.198960172279453</c:v>
                </c:pt>
                <c:pt idx="49">
                  <c:v>1.0120805541112787</c:v>
                </c:pt>
                <c:pt idx="50">
                  <c:v>0.97771667015720576</c:v>
                </c:pt>
                <c:pt idx="51">
                  <c:v>1.1374628692296374</c:v>
                </c:pt>
                <c:pt idx="52">
                  <c:v>1.2015183555758231</c:v>
                </c:pt>
                <c:pt idx="53">
                  <c:v>1.1982839629457549</c:v>
                </c:pt>
                <c:pt idx="54">
                  <c:v>1.2494158369094215</c:v>
                </c:pt>
                <c:pt idx="55">
                  <c:v>1.26298681105856</c:v>
                </c:pt>
                <c:pt idx="56">
                  <c:v>1.2466431527257178</c:v>
                </c:pt>
                <c:pt idx="57">
                  <c:v>1.2486613544271488</c:v>
                </c:pt>
                <c:pt idx="58">
                  <c:v>1.3764599832463675</c:v>
                </c:pt>
                <c:pt idx="59">
                  <c:v>1.3981672847849467</c:v>
                </c:pt>
                <c:pt idx="60">
                  <c:v>1.3464177586929542</c:v>
                </c:pt>
                <c:pt idx="61">
                  <c:v>1.4263824168394574</c:v>
                </c:pt>
                <c:pt idx="62">
                  <c:v>1.540633017098153</c:v>
                </c:pt>
                <c:pt idx="63">
                  <c:v>1.6078856645654249</c:v>
                </c:pt>
                <c:pt idx="64">
                  <c:v>1.6336146258305404</c:v>
                </c:pt>
                <c:pt idx="65">
                  <c:v>1.6964334333646724</c:v>
                </c:pt>
                <c:pt idx="66">
                  <c:v>1.7063674778189954</c:v>
                </c:pt>
                <c:pt idx="67">
                  <c:v>1.7130427238425154</c:v>
                </c:pt>
                <c:pt idx="68">
                  <c:v>1.6887863850980334</c:v>
                </c:pt>
                <c:pt idx="69">
                  <c:v>1.8304190649516068</c:v>
                </c:pt>
                <c:pt idx="70">
                  <c:v>1.9063553161858449</c:v>
                </c:pt>
                <c:pt idx="71">
                  <c:v>2.0000105573391913</c:v>
                </c:pt>
                <c:pt idx="72">
                  <c:v>1.8910435959555463</c:v>
                </c:pt>
                <c:pt idx="73">
                  <c:v>1.9251313812274045</c:v>
                </c:pt>
                <c:pt idx="74">
                  <c:v>1.8174816446717563</c:v>
                </c:pt>
                <c:pt idx="75">
                  <c:v>1.8861837694938102</c:v>
                </c:pt>
                <c:pt idx="76">
                  <c:v>1.9217939361604768</c:v>
                </c:pt>
                <c:pt idx="77">
                  <c:v>1.8737527676522319</c:v>
                </c:pt>
                <c:pt idx="78">
                  <c:v>1.8490295148864044</c:v>
                </c:pt>
                <c:pt idx="79">
                  <c:v>2.0646487129801225</c:v>
                </c:pt>
                <c:pt idx="80">
                  <c:v>1.8663828838031633</c:v>
                </c:pt>
                <c:pt idx="81">
                  <c:v>1.9462872810092127</c:v>
                </c:pt>
                <c:pt idx="82">
                  <c:v>1.8956537509945592</c:v>
                </c:pt>
                <c:pt idx="83">
                  <c:v>2.0485436180444854</c:v>
                </c:pt>
                <c:pt idx="84">
                  <c:v>2.01147667188429</c:v>
                </c:pt>
                <c:pt idx="85">
                  <c:v>1.9495361719182538</c:v>
                </c:pt>
                <c:pt idx="86">
                  <c:v>2.0535038897353521</c:v>
                </c:pt>
                <c:pt idx="87">
                  <c:v>2.0102636097605622</c:v>
                </c:pt>
                <c:pt idx="88">
                  <c:v>2.1856112513422774</c:v>
                </c:pt>
                <c:pt idx="89">
                  <c:v>2.1086785966749741</c:v>
                </c:pt>
                <c:pt idx="90">
                  <c:v>1.8362241920464677</c:v>
                </c:pt>
                <c:pt idx="91">
                  <c:v>1.9952567910288004</c:v>
                </c:pt>
                <c:pt idx="92">
                  <c:v>1.9925268828742384</c:v>
                </c:pt>
                <c:pt idx="93">
                  <c:v>2.0422210724266412</c:v>
                </c:pt>
                <c:pt idx="94">
                  <c:v>2.1029219233251792</c:v>
                </c:pt>
                <c:pt idx="95">
                  <c:v>2.2255423499552101</c:v>
                </c:pt>
                <c:pt idx="96">
                  <c:v>2.1421059528413169</c:v>
                </c:pt>
                <c:pt idx="97">
                  <c:v>2.2440858143577205</c:v>
                </c:pt>
                <c:pt idx="98">
                  <c:v>2.222184006575822</c:v>
                </c:pt>
                <c:pt idx="99">
                  <c:v>2.2798187329440069</c:v>
                </c:pt>
                <c:pt idx="100">
                  <c:v>2.2088968633796373</c:v>
                </c:pt>
                <c:pt idx="101">
                  <c:v>2.3217486920211012</c:v>
                </c:pt>
                <c:pt idx="102">
                  <c:v>2.2635248153178646</c:v>
                </c:pt>
                <c:pt idx="103">
                  <c:v>2.2278039162926491</c:v>
                </c:pt>
                <c:pt idx="104">
                  <c:v>2.1926245163905551</c:v>
                </c:pt>
                <c:pt idx="105">
                  <c:v>2.0863671804357544</c:v>
                </c:pt>
                <c:pt idx="106">
                  <c:v>2.140392135818364</c:v>
                </c:pt>
                <c:pt idx="107">
                  <c:v>2.0706990889253412</c:v>
                </c:pt>
                <c:pt idx="108">
                  <c:v>2.0579526140146922</c:v>
                </c:pt>
                <c:pt idx="109">
                  <c:v>2.0577956308852876</c:v>
                </c:pt>
                <c:pt idx="110">
                  <c:v>2.0614620553277088</c:v>
                </c:pt>
                <c:pt idx="111">
                  <c:v>2.0129477046047324</c:v>
                </c:pt>
                <c:pt idx="112">
                  <c:v>2.1370922923889402</c:v>
                </c:pt>
                <c:pt idx="113">
                  <c:v>2.2072597001888097</c:v>
                </c:pt>
                <c:pt idx="114">
                  <c:v>2.1253074451548155</c:v>
                </c:pt>
                <c:pt idx="115">
                  <c:v>2.1277825682524538</c:v>
                </c:pt>
                <c:pt idx="116">
                  <c:v>2.1829091316523979</c:v>
                </c:pt>
                <c:pt idx="117">
                  <c:v>2.2107471461353918</c:v>
                </c:pt>
                <c:pt idx="118">
                  <c:v>2.0902577667747568</c:v>
                </c:pt>
                <c:pt idx="119">
                  <c:v>2.1662201200998048</c:v>
                </c:pt>
                <c:pt idx="120">
                  <c:v>1.9882245731458346</c:v>
                </c:pt>
                <c:pt idx="121">
                  <c:v>1.8550960725264851</c:v>
                </c:pt>
                <c:pt idx="122">
                  <c:v>1.7122653744720449</c:v>
                </c:pt>
                <c:pt idx="123">
                  <c:v>1.8237900809126493</c:v>
                </c:pt>
                <c:pt idx="124">
                  <c:v>1.8843992202533335</c:v>
                </c:pt>
                <c:pt idx="125">
                  <c:v>1.7460340860151558</c:v>
                </c:pt>
                <c:pt idx="126">
                  <c:v>1.8161436637030788</c:v>
                </c:pt>
                <c:pt idx="127">
                  <c:v>1.7042228348390858</c:v>
                </c:pt>
                <c:pt idx="128">
                  <c:v>1.6761434813634184</c:v>
                </c:pt>
                <c:pt idx="129">
                  <c:v>1.6979162513761969</c:v>
                </c:pt>
                <c:pt idx="130">
                  <c:v>1.6857262081524949</c:v>
                </c:pt>
                <c:pt idx="131">
                  <c:v>1.534790891162338</c:v>
                </c:pt>
                <c:pt idx="132">
                  <c:v>1.5474249341027604</c:v>
                </c:pt>
                <c:pt idx="133">
                  <c:v>1.5644028889775294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FE8-8649-AD13-25AEA5180C8E}"/>
            </c:ext>
          </c:extLst>
        </c:ser>
        <c:ser>
          <c:idx val="8"/>
          <c:order val="8"/>
          <c:tx>
            <c:strRef>
              <c:f>預測累積畫圖!$B$20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預測累積畫圖!$C$20:$EF$20</c:f>
              <c:numCache>
                <c:formatCode>General</c:formatCode>
                <c:ptCount val="134"/>
                <c:pt idx="0">
                  <c:v>-0.13932460396499161</c:v>
                </c:pt>
                <c:pt idx="1">
                  <c:v>0.24270119603500842</c:v>
                </c:pt>
                <c:pt idx="2">
                  <c:v>0.2582011841793424</c:v>
                </c:pt>
                <c:pt idx="3">
                  <c:v>0.44062038417934241</c:v>
                </c:pt>
                <c:pt idx="4">
                  <c:v>0.3402544722604785</c:v>
                </c:pt>
                <c:pt idx="5">
                  <c:v>0.48418667226047851</c:v>
                </c:pt>
                <c:pt idx="6">
                  <c:v>0.51212287226047848</c:v>
                </c:pt>
                <c:pt idx="7">
                  <c:v>0.37891667226047848</c:v>
                </c:pt>
                <c:pt idx="8">
                  <c:v>0.28880801813780449</c:v>
                </c:pt>
                <c:pt idx="9">
                  <c:v>0.38451665364234022</c:v>
                </c:pt>
                <c:pt idx="10">
                  <c:v>0.11582265364234023</c:v>
                </c:pt>
                <c:pt idx="11">
                  <c:v>0.61583425364234023</c:v>
                </c:pt>
                <c:pt idx="12">
                  <c:v>0.5057204536423402</c:v>
                </c:pt>
                <c:pt idx="13">
                  <c:v>0.54574945364234018</c:v>
                </c:pt>
                <c:pt idx="14">
                  <c:v>0.77057605364234016</c:v>
                </c:pt>
                <c:pt idx="15">
                  <c:v>0.83704565364234018</c:v>
                </c:pt>
                <c:pt idx="16">
                  <c:v>0.77970425364234019</c:v>
                </c:pt>
                <c:pt idx="17">
                  <c:v>0.67885845364234021</c:v>
                </c:pt>
                <c:pt idx="18">
                  <c:v>0.71109345364234022</c:v>
                </c:pt>
                <c:pt idx="19">
                  <c:v>0.57480525364234025</c:v>
                </c:pt>
                <c:pt idx="20">
                  <c:v>0.66589025364234022</c:v>
                </c:pt>
                <c:pt idx="21">
                  <c:v>0.81593325364234026</c:v>
                </c:pt>
                <c:pt idx="22">
                  <c:v>0.81107525364234023</c:v>
                </c:pt>
                <c:pt idx="23">
                  <c:v>0.84023365364234026</c:v>
                </c:pt>
                <c:pt idx="24">
                  <c:v>0.81863910025504316</c:v>
                </c:pt>
                <c:pt idx="25">
                  <c:v>0.75821610025504316</c:v>
                </c:pt>
                <c:pt idx="26">
                  <c:v>0.6619079002550432</c:v>
                </c:pt>
                <c:pt idx="27">
                  <c:v>0.6274539974032135</c:v>
                </c:pt>
                <c:pt idx="28">
                  <c:v>0.64476419740321356</c:v>
                </c:pt>
                <c:pt idx="29">
                  <c:v>0.60571951901563359</c:v>
                </c:pt>
                <c:pt idx="30">
                  <c:v>0.59947991901563358</c:v>
                </c:pt>
                <c:pt idx="31">
                  <c:v>0.68965811973041624</c:v>
                </c:pt>
                <c:pt idx="32">
                  <c:v>0.80599531973041627</c:v>
                </c:pt>
                <c:pt idx="33">
                  <c:v>0.82323591973041621</c:v>
                </c:pt>
                <c:pt idx="34">
                  <c:v>0.89020451973041625</c:v>
                </c:pt>
                <c:pt idx="35">
                  <c:v>0.9630979717673932</c:v>
                </c:pt>
                <c:pt idx="36">
                  <c:v>0.9961939525161958</c:v>
                </c:pt>
                <c:pt idx="37">
                  <c:v>1.0716641460351941</c:v>
                </c:pt>
                <c:pt idx="38">
                  <c:v>1.1169492279998825</c:v>
                </c:pt>
                <c:pt idx="39">
                  <c:v>1.1295548279998826</c:v>
                </c:pt>
                <c:pt idx="40">
                  <c:v>1.1570073133328336</c:v>
                </c:pt>
                <c:pt idx="41">
                  <c:v>1.3270563180117578</c:v>
                </c:pt>
                <c:pt idx="42">
                  <c:v>1.4391521276945749</c:v>
                </c:pt>
                <c:pt idx="43">
                  <c:v>1.4450109014547807</c:v>
                </c:pt>
                <c:pt idx="44">
                  <c:v>1.5207032883499065</c:v>
                </c:pt>
                <c:pt idx="45">
                  <c:v>1.4660775745674284</c:v>
                </c:pt>
                <c:pt idx="46">
                  <c:v>1.4729428427465794</c:v>
                </c:pt>
                <c:pt idx="47">
                  <c:v>1.5588316427465794</c:v>
                </c:pt>
                <c:pt idx="48">
                  <c:v>1.5975063411894888</c:v>
                </c:pt>
                <c:pt idx="49">
                  <c:v>1.3837039100124</c:v>
                </c:pt>
                <c:pt idx="50">
                  <c:v>1.3469050451518596</c:v>
                </c:pt>
                <c:pt idx="51">
                  <c:v>1.5145604685284288</c:v>
                </c:pt>
                <c:pt idx="52">
                  <c:v>1.585166036206169</c:v>
                </c:pt>
                <c:pt idx="53">
                  <c:v>1.5317362229845717</c:v>
                </c:pt>
                <c:pt idx="54">
                  <c:v>1.5257894258453113</c:v>
                </c:pt>
                <c:pt idx="55">
                  <c:v>1.5314780081766399</c:v>
                </c:pt>
                <c:pt idx="56">
                  <c:v>1.5245518654679466</c:v>
                </c:pt>
                <c:pt idx="57">
                  <c:v>1.4529454183538357</c:v>
                </c:pt>
                <c:pt idx="58">
                  <c:v>1.5846906854390106</c:v>
                </c:pt>
                <c:pt idx="59">
                  <c:v>1.6063201972721972</c:v>
                </c:pt>
                <c:pt idx="60">
                  <c:v>1.5470870294293699</c:v>
                </c:pt>
                <c:pt idx="61">
                  <c:v>1.6333792606058246</c:v>
                </c:pt>
                <c:pt idx="62">
                  <c:v>1.7702969219342628</c:v>
                </c:pt>
                <c:pt idx="63">
                  <c:v>1.8888541633796343</c:v>
                </c:pt>
                <c:pt idx="64">
                  <c:v>1.8503924458636551</c:v>
                </c:pt>
                <c:pt idx="65">
                  <c:v>1.9107999666266102</c:v>
                </c:pt>
                <c:pt idx="66">
                  <c:v>1.9262516735874533</c:v>
                </c:pt>
                <c:pt idx="67">
                  <c:v>1.9383253053179259</c:v>
                </c:pt>
                <c:pt idx="68">
                  <c:v>1.943732811509117</c:v>
                </c:pt>
                <c:pt idx="69">
                  <c:v>2.0915358446877641</c:v>
                </c:pt>
                <c:pt idx="70">
                  <c:v>2.1902907940554708</c:v>
                </c:pt>
                <c:pt idx="71">
                  <c:v>2.3062091256185426</c:v>
                </c:pt>
                <c:pt idx="72">
                  <c:v>2.1707058738060665</c:v>
                </c:pt>
                <c:pt idx="73">
                  <c:v>2.2013995104893107</c:v>
                </c:pt>
                <c:pt idx="74">
                  <c:v>2.0961655441200073</c:v>
                </c:pt>
                <c:pt idx="75">
                  <c:v>2.1864369483802908</c:v>
                </c:pt>
                <c:pt idx="76">
                  <c:v>2.2366531483802907</c:v>
                </c:pt>
                <c:pt idx="77">
                  <c:v>2.1984011983693628</c:v>
                </c:pt>
                <c:pt idx="78">
                  <c:v>2.1723581645862975</c:v>
                </c:pt>
                <c:pt idx="79">
                  <c:v>2.3533856620768945</c:v>
                </c:pt>
                <c:pt idx="80">
                  <c:v>2.1094218666071614</c:v>
                </c:pt>
                <c:pt idx="81">
                  <c:v>2.190379803805838</c:v>
                </c:pt>
                <c:pt idx="82">
                  <c:v>2.091326915275749</c:v>
                </c:pt>
                <c:pt idx="83">
                  <c:v>2.1631909408728873</c:v>
                </c:pt>
                <c:pt idx="84">
                  <c:v>2.1327962671038052</c:v>
                </c:pt>
                <c:pt idx="85">
                  <c:v>2.0093559472164544</c:v>
                </c:pt>
                <c:pt idx="86">
                  <c:v>2.1003343439665612</c:v>
                </c:pt>
                <c:pt idx="87">
                  <c:v>2.0081494097774319</c:v>
                </c:pt>
                <c:pt idx="88">
                  <c:v>2.1972005749480528</c:v>
                </c:pt>
                <c:pt idx="89">
                  <c:v>2.2193599863185374</c:v>
                </c:pt>
                <c:pt idx="90">
                  <c:v>1.803388651149525</c:v>
                </c:pt>
                <c:pt idx="91">
                  <c:v>1.9954198562585523</c:v>
                </c:pt>
                <c:pt idx="92">
                  <c:v>2.0015312141876147</c:v>
                </c:pt>
                <c:pt idx="93">
                  <c:v>2.0746474586934651</c:v>
                </c:pt>
                <c:pt idx="94">
                  <c:v>2.1630117357057266</c:v>
                </c:pt>
                <c:pt idx="95">
                  <c:v>2.2534857731199929</c:v>
                </c:pt>
                <c:pt idx="96">
                  <c:v>2.1586181148534807</c:v>
                </c:pt>
                <c:pt idx="97">
                  <c:v>2.2511291905489066</c:v>
                </c:pt>
                <c:pt idx="98">
                  <c:v>2.2610822534701893</c:v>
                </c:pt>
                <c:pt idx="99">
                  <c:v>2.3513808043379538</c:v>
                </c:pt>
                <c:pt idx="100">
                  <c:v>2.3389010716696568</c:v>
                </c:pt>
                <c:pt idx="101">
                  <c:v>2.4940627168188549</c:v>
                </c:pt>
                <c:pt idx="102">
                  <c:v>2.4465908236636773</c:v>
                </c:pt>
                <c:pt idx="103">
                  <c:v>2.3896881139065433</c:v>
                </c:pt>
                <c:pt idx="104">
                  <c:v>2.3400750446709875</c:v>
                </c:pt>
                <c:pt idx="105">
                  <c:v>2.1919662303321648</c:v>
                </c:pt>
                <c:pt idx="106">
                  <c:v>2.165216366411236</c:v>
                </c:pt>
                <c:pt idx="107">
                  <c:v>2.1660754879436568</c:v>
                </c:pt>
                <c:pt idx="108">
                  <c:v>2.161873277323286</c:v>
                </c:pt>
                <c:pt idx="109">
                  <c:v>2.1508978655807591</c:v>
                </c:pt>
                <c:pt idx="110">
                  <c:v>2.1280211337957065</c:v>
                </c:pt>
                <c:pt idx="111">
                  <c:v>2.0885611875268189</c:v>
                </c:pt>
                <c:pt idx="112">
                  <c:v>2.1735151689728736</c:v>
                </c:pt>
                <c:pt idx="113">
                  <c:v>2.249341805151416</c:v>
                </c:pt>
                <c:pt idx="114">
                  <c:v>2.2586254554308529</c:v>
                </c:pt>
                <c:pt idx="115">
                  <c:v>2.3166446620850523</c:v>
                </c:pt>
                <c:pt idx="116">
                  <c:v>2.3824604639230227</c:v>
                </c:pt>
                <c:pt idx="117">
                  <c:v>2.39229099531391</c:v>
                </c:pt>
                <c:pt idx="118">
                  <c:v>2.2050836775793692</c:v>
                </c:pt>
                <c:pt idx="119">
                  <c:v>2.2835963376076598</c:v>
                </c:pt>
                <c:pt idx="120">
                  <c:v>2.0775152400293049</c:v>
                </c:pt>
                <c:pt idx="121">
                  <c:v>1.9440792554071666</c:v>
                </c:pt>
                <c:pt idx="122">
                  <c:v>1.7720101482012973</c:v>
                </c:pt>
                <c:pt idx="123">
                  <c:v>1.901355620040156</c:v>
                </c:pt>
                <c:pt idx="124">
                  <c:v>1.9704158239981957</c:v>
                </c:pt>
                <c:pt idx="125">
                  <c:v>1.816549494391881</c:v>
                </c:pt>
                <c:pt idx="126">
                  <c:v>1.8701681037435298</c:v>
                </c:pt>
                <c:pt idx="127">
                  <c:v>1.7856935254338377</c:v>
                </c:pt>
                <c:pt idx="128">
                  <c:v>1.8006105508614616</c:v>
                </c:pt>
                <c:pt idx="129">
                  <c:v>1.8396781842124268</c:v>
                </c:pt>
                <c:pt idx="130">
                  <c:v>1.8737277656263687</c:v>
                </c:pt>
                <c:pt idx="131">
                  <c:v>1.6968089045593584</c:v>
                </c:pt>
                <c:pt idx="132">
                  <c:v>1.6991761354867403</c:v>
                </c:pt>
                <c:pt idx="133">
                  <c:v>1.7194575521026476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FE8-8649-AD13-25AEA5180C8E}"/>
            </c:ext>
          </c:extLst>
        </c:ser>
        <c:ser>
          <c:idx val="9"/>
          <c:order val="9"/>
          <c:tx>
            <c:strRef>
              <c:f>預測累積畫圖!$B$21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預測累積畫圖!$C$21:$EF$21</c:f>
              <c:numCache>
                <c:formatCode>General</c:formatCode>
                <c:ptCount val="134"/>
                <c:pt idx="0">
                  <c:v>-0.19764916434148611</c:v>
                </c:pt>
                <c:pt idx="1">
                  <c:v>-7.1260164341486104E-2</c:v>
                </c:pt>
                <c:pt idx="2">
                  <c:v>-7.1539516612277948E-2</c:v>
                </c:pt>
                <c:pt idx="3">
                  <c:v>0.13187348338772206</c:v>
                </c:pt>
                <c:pt idx="4">
                  <c:v>0.12457734535987061</c:v>
                </c:pt>
                <c:pt idx="5">
                  <c:v>0.28674134535987061</c:v>
                </c:pt>
                <c:pt idx="6">
                  <c:v>0.30085334535987063</c:v>
                </c:pt>
                <c:pt idx="7">
                  <c:v>0.16411184535987064</c:v>
                </c:pt>
                <c:pt idx="8">
                  <c:v>7.513882800584859E-2</c:v>
                </c:pt>
                <c:pt idx="9">
                  <c:v>0.18481843546007848</c:v>
                </c:pt>
                <c:pt idx="10">
                  <c:v>-1.5066564539921529E-2</c:v>
                </c:pt>
                <c:pt idx="11">
                  <c:v>0.56982393546007848</c:v>
                </c:pt>
                <c:pt idx="12">
                  <c:v>0.43054668546007846</c:v>
                </c:pt>
                <c:pt idx="13">
                  <c:v>0.47597443546007845</c:v>
                </c:pt>
                <c:pt idx="14">
                  <c:v>0.75006018546007847</c:v>
                </c:pt>
                <c:pt idx="15">
                  <c:v>0.83496543546007851</c:v>
                </c:pt>
                <c:pt idx="16">
                  <c:v>0.79840368546007856</c:v>
                </c:pt>
                <c:pt idx="17">
                  <c:v>0.66728368546007855</c:v>
                </c:pt>
                <c:pt idx="18">
                  <c:v>0.65745693546007855</c:v>
                </c:pt>
                <c:pt idx="19">
                  <c:v>0.52570668546007848</c:v>
                </c:pt>
                <c:pt idx="20">
                  <c:v>0.65020543546007847</c:v>
                </c:pt>
                <c:pt idx="21">
                  <c:v>0.85800643546007849</c:v>
                </c:pt>
                <c:pt idx="22">
                  <c:v>0.84785893546007851</c:v>
                </c:pt>
                <c:pt idx="23">
                  <c:v>0.88731793546007853</c:v>
                </c:pt>
                <c:pt idx="24">
                  <c:v>0.90680897900017243</c:v>
                </c:pt>
                <c:pt idx="25">
                  <c:v>0.84152197900017245</c:v>
                </c:pt>
                <c:pt idx="26">
                  <c:v>0.68198072900017248</c:v>
                </c:pt>
                <c:pt idx="27">
                  <c:v>0.63528330444742687</c:v>
                </c:pt>
                <c:pt idx="28">
                  <c:v>0.6455940544474269</c:v>
                </c:pt>
                <c:pt idx="29">
                  <c:v>0.59246844456086389</c:v>
                </c:pt>
                <c:pt idx="30">
                  <c:v>0.58190044456086387</c:v>
                </c:pt>
                <c:pt idx="31">
                  <c:v>0.6894818071256622</c:v>
                </c:pt>
                <c:pt idx="32">
                  <c:v>0.79160605712566223</c:v>
                </c:pt>
                <c:pt idx="33">
                  <c:v>0.79678955712566224</c:v>
                </c:pt>
                <c:pt idx="34">
                  <c:v>0.90178005712566223</c:v>
                </c:pt>
                <c:pt idx="35">
                  <c:v>0.96715987985877283</c:v>
                </c:pt>
                <c:pt idx="36">
                  <c:v>1.0356956873064034</c:v>
                </c:pt>
                <c:pt idx="37">
                  <c:v>1.1476517433694977</c:v>
                </c:pt>
                <c:pt idx="38">
                  <c:v>1.1953781390132243</c:v>
                </c:pt>
                <c:pt idx="39">
                  <c:v>1.2143218890132244</c:v>
                </c:pt>
                <c:pt idx="40">
                  <c:v>1.2911873960237721</c:v>
                </c:pt>
                <c:pt idx="41">
                  <c:v>1.4963696742542534</c:v>
                </c:pt>
                <c:pt idx="42">
                  <c:v>1.5608255429008828</c:v>
                </c:pt>
                <c:pt idx="43">
                  <c:v>1.5583326316237278</c:v>
                </c:pt>
                <c:pt idx="44">
                  <c:v>1.6061422631326849</c:v>
                </c:pt>
                <c:pt idx="45">
                  <c:v>1.5506214830705511</c:v>
                </c:pt>
                <c:pt idx="46">
                  <c:v>1.5604125130246485</c:v>
                </c:pt>
                <c:pt idx="47">
                  <c:v>1.6264210130246484</c:v>
                </c:pt>
                <c:pt idx="48">
                  <c:v>1.6734423040026865</c:v>
                </c:pt>
                <c:pt idx="49">
                  <c:v>1.4185310341055501</c:v>
                </c:pt>
                <c:pt idx="50">
                  <c:v>1.3474988524574643</c:v>
                </c:pt>
                <c:pt idx="51">
                  <c:v>1.5728449874958024</c:v>
                </c:pt>
                <c:pt idx="52">
                  <c:v>1.6111661352209963</c:v>
                </c:pt>
                <c:pt idx="53">
                  <c:v>1.5894152718503685</c:v>
                </c:pt>
                <c:pt idx="54">
                  <c:v>1.5957658052477699</c:v>
                </c:pt>
                <c:pt idx="55">
                  <c:v>1.5993429054282047</c:v>
                </c:pt>
                <c:pt idx="56">
                  <c:v>1.6359780946450173</c:v>
                </c:pt>
                <c:pt idx="57">
                  <c:v>1.5596567315062619</c:v>
                </c:pt>
                <c:pt idx="58">
                  <c:v>1.7256263276846537</c:v>
                </c:pt>
                <c:pt idx="59">
                  <c:v>1.7492053538663714</c:v>
                </c:pt>
                <c:pt idx="60">
                  <c:v>1.6807554734868366</c:v>
                </c:pt>
                <c:pt idx="61">
                  <c:v>1.8234765661331864</c:v>
                </c:pt>
                <c:pt idx="62">
                  <c:v>1.9785965700542862</c:v>
                </c:pt>
                <c:pt idx="63">
                  <c:v>2.0422445180465343</c:v>
                </c:pt>
                <c:pt idx="64">
                  <c:v>1.978387281632854</c:v>
                </c:pt>
                <c:pt idx="65">
                  <c:v>2.0828964110522685</c:v>
                </c:pt>
                <c:pt idx="66">
                  <c:v>2.1374386418867735</c:v>
                </c:pt>
                <c:pt idx="67">
                  <c:v>2.1497625040706381</c:v>
                </c:pt>
                <c:pt idx="68">
                  <c:v>2.1556226768258142</c:v>
                </c:pt>
                <c:pt idx="69">
                  <c:v>2.287867370800257</c:v>
                </c:pt>
                <c:pt idx="70">
                  <c:v>2.4233638329988261</c:v>
                </c:pt>
                <c:pt idx="71">
                  <c:v>2.5655068331842794</c:v>
                </c:pt>
                <c:pt idx="72">
                  <c:v>2.4188276362485484</c:v>
                </c:pt>
                <c:pt idx="73">
                  <c:v>2.4158368169641342</c:v>
                </c:pt>
                <c:pt idx="74">
                  <c:v>2.3654569657460178</c:v>
                </c:pt>
                <c:pt idx="75">
                  <c:v>2.4131198944667336</c:v>
                </c:pt>
                <c:pt idx="76">
                  <c:v>2.5081798944667337</c:v>
                </c:pt>
                <c:pt idx="77">
                  <c:v>2.4447585032684755</c:v>
                </c:pt>
                <c:pt idx="78">
                  <c:v>2.3980649537995125</c:v>
                </c:pt>
                <c:pt idx="79">
                  <c:v>2.6861210181619857</c:v>
                </c:pt>
                <c:pt idx="80">
                  <c:v>2.2910450756969403</c:v>
                </c:pt>
                <c:pt idx="81">
                  <c:v>2.4223107524980128</c:v>
                </c:pt>
                <c:pt idx="82">
                  <c:v>2.2785595633403268</c:v>
                </c:pt>
                <c:pt idx="83">
                  <c:v>2.3586598844165385</c:v>
                </c:pt>
                <c:pt idx="84">
                  <c:v>2.2781602680255562</c:v>
                </c:pt>
                <c:pt idx="85">
                  <c:v>2.1925325110090537</c:v>
                </c:pt>
                <c:pt idx="86">
                  <c:v>2.3195830577391878</c:v>
                </c:pt>
                <c:pt idx="87">
                  <c:v>2.185692633116223</c:v>
                </c:pt>
                <c:pt idx="88">
                  <c:v>2.4111956215195942</c:v>
                </c:pt>
                <c:pt idx="89">
                  <c:v>2.4417345117233697</c:v>
                </c:pt>
                <c:pt idx="90">
                  <c:v>1.9268692631257771</c:v>
                </c:pt>
                <c:pt idx="91">
                  <c:v>2.1495693240036897</c:v>
                </c:pt>
                <c:pt idx="92">
                  <c:v>2.1528574157287803</c:v>
                </c:pt>
                <c:pt idx="93">
                  <c:v>2.24368169370846</c:v>
                </c:pt>
                <c:pt idx="94">
                  <c:v>2.313328089855232</c:v>
                </c:pt>
                <c:pt idx="95">
                  <c:v>2.3956209627095708</c:v>
                </c:pt>
                <c:pt idx="96">
                  <c:v>2.3329474025400794</c:v>
                </c:pt>
                <c:pt idx="97">
                  <c:v>2.4311730345614664</c:v>
                </c:pt>
                <c:pt idx="98">
                  <c:v>2.496178451842455</c:v>
                </c:pt>
                <c:pt idx="99">
                  <c:v>2.5983006274998619</c:v>
                </c:pt>
                <c:pt idx="100">
                  <c:v>2.5898187110959476</c:v>
                </c:pt>
                <c:pt idx="101">
                  <c:v>2.8272700819217778</c:v>
                </c:pt>
                <c:pt idx="102">
                  <c:v>2.8284623383785097</c:v>
                </c:pt>
                <c:pt idx="103">
                  <c:v>2.7768379047023553</c:v>
                </c:pt>
                <c:pt idx="104">
                  <c:v>2.7317903454790646</c:v>
                </c:pt>
                <c:pt idx="105">
                  <c:v>2.8531130343477136</c:v>
                </c:pt>
                <c:pt idx="106">
                  <c:v>2.8653511429360323</c:v>
                </c:pt>
                <c:pt idx="107">
                  <c:v>2.886912023633907</c:v>
                </c:pt>
                <c:pt idx="108">
                  <c:v>2.8947584017624401</c:v>
                </c:pt>
                <c:pt idx="109">
                  <c:v>2.9088352219748947</c:v>
                </c:pt>
                <c:pt idx="110">
                  <c:v>2.9432427002550741</c:v>
                </c:pt>
                <c:pt idx="111">
                  <c:v>2.9053313870645141</c:v>
                </c:pt>
                <c:pt idx="112">
                  <c:v>3.0448340938834186</c:v>
                </c:pt>
                <c:pt idx="113">
                  <c:v>3.1431990327227952</c:v>
                </c:pt>
                <c:pt idx="114">
                  <c:v>3.113364913080555</c:v>
                </c:pt>
                <c:pt idx="115">
                  <c:v>3.184562525574548</c:v>
                </c:pt>
                <c:pt idx="116">
                  <c:v>3.2670083179052276</c:v>
                </c:pt>
                <c:pt idx="117">
                  <c:v>3.2912744729987935</c:v>
                </c:pt>
                <c:pt idx="118">
                  <c:v>3.136533286969458</c:v>
                </c:pt>
                <c:pt idx="119">
                  <c:v>3.1867041460065386</c:v>
                </c:pt>
                <c:pt idx="120">
                  <c:v>2.9858646721692432</c:v>
                </c:pt>
                <c:pt idx="121">
                  <c:v>2.8152938694837824</c:v>
                </c:pt>
                <c:pt idx="122">
                  <c:v>2.7872035754874038</c:v>
                </c:pt>
                <c:pt idx="123">
                  <c:v>2.9274795523572816</c:v>
                </c:pt>
                <c:pt idx="124">
                  <c:v>3.0557274210214027</c:v>
                </c:pt>
                <c:pt idx="125">
                  <c:v>2.8697612069902192</c:v>
                </c:pt>
                <c:pt idx="126">
                  <c:v>2.8943572025282354</c:v>
                </c:pt>
                <c:pt idx="127">
                  <c:v>2.8415131359679466</c:v>
                </c:pt>
                <c:pt idx="128">
                  <c:v>2.8166476135195184</c:v>
                </c:pt>
                <c:pt idx="129">
                  <c:v>2.8250557596901045</c:v>
                </c:pt>
                <c:pt idx="130">
                  <c:v>2.8390928147881467</c:v>
                </c:pt>
                <c:pt idx="131">
                  <c:v>2.7845939584399662</c:v>
                </c:pt>
                <c:pt idx="132">
                  <c:v>2.7990228105483843</c:v>
                </c:pt>
                <c:pt idx="133">
                  <c:v>2.7802515465062654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FE8-8649-AD13-25AEA5180C8E}"/>
            </c:ext>
          </c:extLst>
        </c:ser>
        <c:ser>
          <c:idx val="10"/>
          <c:order val="10"/>
          <c:tx>
            <c:strRef>
              <c:f>預測累積畫圖!$B$22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預測累積畫圖!$C$22:$EF$22</c:f>
              <c:numCache>
                <c:formatCode>General</c:formatCode>
                <c:ptCount val="134"/>
                <c:pt idx="0">
                  <c:v>6.4235717628454689E-2</c:v>
                </c:pt>
                <c:pt idx="1">
                  <c:v>0.206665050961788</c:v>
                </c:pt>
                <c:pt idx="2">
                  <c:v>0.16563751896116896</c:v>
                </c:pt>
                <c:pt idx="3">
                  <c:v>2.5769518961168969E-2</c:v>
                </c:pt>
                <c:pt idx="4">
                  <c:v>-7.185305288629644E-3</c:v>
                </c:pt>
                <c:pt idx="5">
                  <c:v>0.11699269471137036</c:v>
                </c:pt>
                <c:pt idx="6">
                  <c:v>0.13443202804470369</c:v>
                </c:pt>
                <c:pt idx="7">
                  <c:v>3.0180028044703697E-2</c:v>
                </c:pt>
                <c:pt idx="8">
                  <c:v>-0.1231067426098056</c:v>
                </c:pt>
                <c:pt idx="9">
                  <c:v>4.807661681609561E-2</c:v>
                </c:pt>
                <c:pt idx="10">
                  <c:v>-0.13658671651723769</c:v>
                </c:pt>
                <c:pt idx="11">
                  <c:v>0.61955561681609561</c:v>
                </c:pt>
                <c:pt idx="12">
                  <c:v>0.55311328348276234</c:v>
                </c:pt>
                <c:pt idx="13">
                  <c:v>0.64374361681609571</c:v>
                </c:pt>
                <c:pt idx="14">
                  <c:v>0.77101828348276236</c:v>
                </c:pt>
                <c:pt idx="15">
                  <c:v>0.83771595014942901</c:v>
                </c:pt>
                <c:pt idx="16">
                  <c:v>0.7984836168160957</c:v>
                </c:pt>
                <c:pt idx="17">
                  <c:v>0.69363561681609576</c:v>
                </c:pt>
                <c:pt idx="18">
                  <c:v>0.74611995014942911</c:v>
                </c:pt>
                <c:pt idx="19">
                  <c:v>0.57049628348276238</c:v>
                </c:pt>
                <c:pt idx="20">
                  <c:v>0.72854428348276234</c:v>
                </c:pt>
                <c:pt idx="21">
                  <c:v>0.98574628348276239</c:v>
                </c:pt>
                <c:pt idx="22">
                  <c:v>0.91588895014942906</c:v>
                </c:pt>
                <c:pt idx="23">
                  <c:v>0.93975695014942906</c:v>
                </c:pt>
                <c:pt idx="24">
                  <c:v>0.94680496703628581</c:v>
                </c:pt>
                <c:pt idx="25">
                  <c:v>0.90853163370295242</c:v>
                </c:pt>
                <c:pt idx="26">
                  <c:v>0.73132030036961915</c:v>
                </c:pt>
                <c:pt idx="27">
                  <c:v>0.71885299769904665</c:v>
                </c:pt>
                <c:pt idx="28">
                  <c:v>0.63370399769904662</c:v>
                </c:pt>
                <c:pt idx="29">
                  <c:v>0.58652168154102247</c:v>
                </c:pt>
                <c:pt idx="30">
                  <c:v>0.54055134820768913</c:v>
                </c:pt>
                <c:pt idx="31">
                  <c:v>0.64641730762816185</c:v>
                </c:pt>
                <c:pt idx="32">
                  <c:v>0.75742197429482849</c:v>
                </c:pt>
                <c:pt idx="33">
                  <c:v>0.77050330762816177</c:v>
                </c:pt>
                <c:pt idx="34">
                  <c:v>0.70223664096149507</c:v>
                </c:pt>
                <c:pt idx="35">
                  <c:v>0.74257760776839543</c:v>
                </c:pt>
                <c:pt idx="36">
                  <c:v>0.82666651123609902</c:v>
                </c:pt>
                <c:pt idx="37">
                  <c:v>0.93779932089965834</c:v>
                </c:pt>
                <c:pt idx="38">
                  <c:v>1.0125166942933639</c:v>
                </c:pt>
                <c:pt idx="39">
                  <c:v>1.0330100276266971</c:v>
                </c:pt>
                <c:pt idx="40">
                  <c:v>1.1124361451052902</c:v>
                </c:pt>
                <c:pt idx="41">
                  <c:v>1.3629688232636727</c:v>
                </c:pt>
                <c:pt idx="42">
                  <c:v>1.4457792621622227</c:v>
                </c:pt>
                <c:pt idx="43">
                  <c:v>1.4206429003221963</c:v>
                </c:pt>
                <c:pt idx="44">
                  <c:v>1.4541433522330662</c:v>
                </c:pt>
                <c:pt idx="45">
                  <c:v>1.3943301755571862</c:v>
                </c:pt>
                <c:pt idx="46">
                  <c:v>1.3641807863501771</c:v>
                </c:pt>
                <c:pt idx="47">
                  <c:v>1.2564231196835105</c:v>
                </c:pt>
                <c:pt idx="48">
                  <c:v>1.3281565050177411</c:v>
                </c:pt>
                <c:pt idx="49">
                  <c:v>1.1732527266965889</c:v>
                </c:pt>
                <c:pt idx="50">
                  <c:v>1.1276543015291269</c:v>
                </c:pt>
                <c:pt idx="51">
                  <c:v>1.4295842460695498</c:v>
                </c:pt>
                <c:pt idx="52">
                  <c:v>1.2987473079465945</c:v>
                </c:pt>
                <c:pt idx="53">
                  <c:v>1.2765731264807663</c:v>
                </c:pt>
                <c:pt idx="54">
                  <c:v>1.2987893098752468</c:v>
                </c:pt>
                <c:pt idx="55">
                  <c:v>1.3124281272135665</c:v>
                </c:pt>
                <c:pt idx="56">
                  <c:v>1.3587076393819526</c:v>
                </c:pt>
                <c:pt idx="57">
                  <c:v>1.2307470970438208</c:v>
                </c:pt>
                <c:pt idx="58">
                  <c:v>1.3418358164537278</c:v>
                </c:pt>
                <c:pt idx="59">
                  <c:v>1.3968322316044488</c:v>
                </c:pt>
                <c:pt idx="60">
                  <c:v>1.3549925956707836</c:v>
                </c:pt>
                <c:pt idx="61">
                  <c:v>1.5167729347418188</c:v>
                </c:pt>
                <c:pt idx="62">
                  <c:v>1.7085699741978659</c:v>
                </c:pt>
                <c:pt idx="63">
                  <c:v>1.6932424221748237</c:v>
                </c:pt>
                <c:pt idx="64">
                  <c:v>1.6427579930620733</c:v>
                </c:pt>
                <c:pt idx="65">
                  <c:v>1.7175935432171796</c:v>
                </c:pt>
                <c:pt idx="66">
                  <c:v>1.7454236406154922</c:v>
                </c:pt>
                <c:pt idx="67">
                  <c:v>1.766237250081945</c:v>
                </c:pt>
                <c:pt idx="68">
                  <c:v>1.7498644677051458</c:v>
                </c:pt>
                <c:pt idx="69">
                  <c:v>1.880395171041692</c:v>
                </c:pt>
                <c:pt idx="70">
                  <c:v>2.0933439371797022</c:v>
                </c:pt>
                <c:pt idx="71">
                  <c:v>2.2518879095773112</c:v>
                </c:pt>
                <c:pt idx="72">
                  <c:v>2.077219411649704</c:v>
                </c:pt>
                <c:pt idx="73">
                  <c:v>2.1138568573416765</c:v>
                </c:pt>
                <c:pt idx="74">
                  <c:v>2.1091100709389421</c:v>
                </c:pt>
                <c:pt idx="75">
                  <c:v>2.1563678068018342</c:v>
                </c:pt>
                <c:pt idx="76">
                  <c:v>2.3004481401351673</c:v>
                </c:pt>
                <c:pt idx="77">
                  <c:v>2.1514548618892406</c:v>
                </c:pt>
                <c:pt idx="78">
                  <c:v>2.1364691584510842</c:v>
                </c:pt>
                <c:pt idx="79">
                  <c:v>2.4703471951638072</c:v>
                </c:pt>
                <c:pt idx="80">
                  <c:v>2.076959856059529</c:v>
                </c:pt>
                <c:pt idx="81">
                  <c:v>2.2657596418198063</c:v>
                </c:pt>
                <c:pt idx="82">
                  <c:v>2.0624965496172192</c:v>
                </c:pt>
                <c:pt idx="83">
                  <c:v>2.1784153208966672</c:v>
                </c:pt>
                <c:pt idx="84">
                  <c:v>2.060635574618308</c:v>
                </c:pt>
                <c:pt idx="85">
                  <c:v>1.9572560695287453</c:v>
                </c:pt>
                <c:pt idx="86">
                  <c:v>1.9934194121334277</c:v>
                </c:pt>
                <c:pt idx="87">
                  <c:v>1.7527676135083869</c:v>
                </c:pt>
                <c:pt idx="88">
                  <c:v>2.0731996171662121</c:v>
                </c:pt>
                <c:pt idx="89">
                  <c:v>2.0646528453453046</c:v>
                </c:pt>
                <c:pt idx="90">
                  <c:v>1.4146963770961489</c:v>
                </c:pt>
                <c:pt idx="91">
                  <c:v>1.6741049340655514</c:v>
                </c:pt>
                <c:pt idx="92">
                  <c:v>1.6617711547398868</c:v>
                </c:pt>
                <c:pt idx="93">
                  <c:v>1.8236215760412788</c:v>
                </c:pt>
                <c:pt idx="94">
                  <c:v>1.808419392519856</c:v>
                </c:pt>
                <c:pt idx="95">
                  <c:v>1.8666519138758413</c:v>
                </c:pt>
                <c:pt idx="96">
                  <c:v>1.7464202019117434</c:v>
                </c:pt>
                <c:pt idx="97">
                  <c:v>1.8586538971187976</c:v>
                </c:pt>
                <c:pt idx="98">
                  <c:v>1.8951051504449627</c:v>
                </c:pt>
                <c:pt idx="99">
                  <c:v>1.8988547437128116</c:v>
                </c:pt>
                <c:pt idx="100">
                  <c:v>1.8908659179393024</c:v>
                </c:pt>
                <c:pt idx="101">
                  <c:v>2.1537864025385414</c:v>
                </c:pt>
                <c:pt idx="102">
                  <c:v>2.1497946486566173</c:v>
                </c:pt>
                <c:pt idx="103">
                  <c:v>2.0914111418281252</c:v>
                </c:pt>
                <c:pt idx="104">
                  <c:v>2.0706863573839676</c:v>
                </c:pt>
                <c:pt idx="105">
                  <c:v>2.2185804599567711</c:v>
                </c:pt>
                <c:pt idx="106">
                  <c:v>2.2130887019748209</c:v>
                </c:pt>
                <c:pt idx="107">
                  <c:v>2.230120477248374</c:v>
                </c:pt>
                <c:pt idx="108">
                  <c:v>2.2621055203292615</c:v>
                </c:pt>
                <c:pt idx="109">
                  <c:v>2.2760508665127652</c:v>
                </c:pt>
                <c:pt idx="110">
                  <c:v>2.3396118657750145</c:v>
                </c:pt>
                <c:pt idx="111">
                  <c:v>2.2893658599419187</c:v>
                </c:pt>
                <c:pt idx="112">
                  <c:v>2.468500573764759</c:v>
                </c:pt>
                <c:pt idx="113">
                  <c:v>2.593442221502142</c:v>
                </c:pt>
                <c:pt idx="114">
                  <c:v>2.5299761704641086</c:v>
                </c:pt>
                <c:pt idx="115">
                  <c:v>2.576739498668116</c:v>
                </c:pt>
                <c:pt idx="116">
                  <c:v>2.700176999979754</c:v>
                </c:pt>
                <c:pt idx="117">
                  <c:v>2.7104042578326579</c:v>
                </c:pt>
                <c:pt idx="118">
                  <c:v>2.5793732540132179</c:v>
                </c:pt>
                <c:pt idx="119">
                  <c:v>2.5732807013978998</c:v>
                </c:pt>
                <c:pt idx="120">
                  <c:v>2.3762297798355405</c:v>
                </c:pt>
                <c:pt idx="121">
                  <c:v>2.3178727708387754</c:v>
                </c:pt>
                <c:pt idx="122">
                  <c:v>2.2603773800019362</c:v>
                </c:pt>
                <c:pt idx="123">
                  <c:v>2.386082497680114</c:v>
                </c:pt>
                <c:pt idx="124">
                  <c:v>2.4644722213871111</c:v>
                </c:pt>
                <c:pt idx="125">
                  <c:v>2.2420296129388162</c:v>
                </c:pt>
                <c:pt idx="126">
                  <c:v>2.2338824963132762</c:v>
                </c:pt>
                <c:pt idx="127">
                  <c:v>2.1301345153677187</c:v>
                </c:pt>
                <c:pt idx="128">
                  <c:v>2.05958586652836</c:v>
                </c:pt>
                <c:pt idx="129">
                  <c:v>1.9789891389930421</c:v>
                </c:pt>
                <c:pt idx="130">
                  <c:v>2.0004842405686802</c:v>
                </c:pt>
                <c:pt idx="131">
                  <c:v>1.9230706735110727</c:v>
                </c:pt>
                <c:pt idx="132">
                  <c:v>1.9565169773232862</c:v>
                </c:pt>
                <c:pt idx="133">
                  <c:v>1.9217267309511139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FE8-8649-AD13-25AEA5180C8E}"/>
            </c:ext>
          </c:extLst>
        </c:ser>
        <c:ser>
          <c:idx val="11"/>
          <c:order val="11"/>
          <c:tx>
            <c:strRef>
              <c:f>預測累積畫圖!$B$23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預測累積畫圖!$C$23:$EF$23</c:f>
              <c:numCache>
                <c:formatCode>General</c:formatCode>
                <c:ptCount val="134"/>
                <c:pt idx="0">
                  <c:v>-3.4987009286289193E-2</c:v>
                </c:pt>
                <c:pt idx="1">
                  <c:v>0.21910699071371079</c:v>
                </c:pt>
                <c:pt idx="2">
                  <c:v>0.13816581814303858</c:v>
                </c:pt>
                <c:pt idx="3">
                  <c:v>0.13442381814303858</c:v>
                </c:pt>
                <c:pt idx="4">
                  <c:v>8.2199644296540197E-2</c:v>
                </c:pt>
                <c:pt idx="5">
                  <c:v>6.4011144296540201E-2</c:v>
                </c:pt>
                <c:pt idx="6">
                  <c:v>2.76256442965402E-2</c:v>
                </c:pt>
                <c:pt idx="7">
                  <c:v>-8.7249855703459805E-2</c:v>
                </c:pt>
                <c:pt idx="8">
                  <c:v>-0.29173933217569337</c:v>
                </c:pt>
                <c:pt idx="9">
                  <c:v>-0.23769580240009475</c:v>
                </c:pt>
                <c:pt idx="10">
                  <c:v>-0.38498530240009476</c:v>
                </c:pt>
                <c:pt idx="11">
                  <c:v>0.59091569759990525</c:v>
                </c:pt>
                <c:pt idx="12">
                  <c:v>0.46801569759990524</c:v>
                </c:pt>
                <c:pt idx="13">
                  <c:v>0.52269719759990529</c:v>
                </c:pt>
                <c:pt idx="14">
                  <c:v>0.81387469759990527</c:v>
                </c:pt>
                <c:pt idx="15">
                  <c:v>0.87669469759990526</c:v>
                </c:pt>
                <c:pt idx="16">
                  <c:v>0.80412419759990528</c:v>
                </c:pt>
                <c:pt idx="17">
                  <c:v>0.71944719759990527</c:v>
                </c:pt>
                <c:pt idx="18">
                  <c:v>0.7786836975999053</c:v>
                </c:pt>
                <c:pt idx="19">
                  <c:v>0.54620819759990535</c:v>
                </c:pt>
                <c:pt idx="20">
                  <c:v>0.80575519759990533</c:v>
                </c:pt>
                <c:pt idx="21">
                  <c:v>1.0003111975999053</c:v>
                </c:pt>
                <c:pt idx="22">
                  <c:v>0.93235669759990525</c:v>
                </c:pt>
                <c:pt idx="23">
                  <c:v>0.97340869759990523</c:v>
                </c:pt>
                <c:pt idx="24">
                  <c:v>0.98001498956937549</c:v>
                </c:pt>
                <c:pt idx="25">
                  <c:v>0.93226698956937548</c:v>
                </c:pt>
                <c:pt idx="26">
                  <c:v>0.69825848956937553</c:v>
                </c:pt>
                <c:pt idx="27">
                  <c:v>0.68324758921232809</c:v>
                </c:pt>
                <c:pt idx="28">
                  <c:v>0.46153058921232809</c:v>
                </c:pt>
                <c:pt idx="29">
                  <c:v>0.39462432912257683</c:v>
                </c:pt>
                <c:pt idx="30">
                  <c:v>0.39256882912257685</c:v>
                </c:pt>
                <c:pt idx="31">
                  <c:v>0.47674041364576009</c:v>
                </c:pt>
                <c:pt idx="32">
                  <c:v>0.68589241364576004</c:v>
                </c:pt>
                <c:pt idx="33">
                  <c:v>0.70947941364576006</c:v>
                </c:pt>
                <c:pt idx="34">
                  <c:v>0.72803941364576008</c:v>
                </c:pt>
                <c:pt idx="35">
                  <c:v>0.85947112683829574</c:v>
                </c:pt>
                <c:pt idx="36">
                  <c:v>0.86724061584316103</c:v>
                </c:pt>
                <c:pt idx="37">
                  <c:v>1.1095553152004618</c:v>
                </c:pt>
                <c:pt idx="38">
                  <c:v>1.1042183630090376</c:v>
                </c:pt>
                <c:pt idx="39">
                  <c:v>0.93895186300903766</c:v>
                </c:pt>
                <c:pt idx="40">
                  <c:v>1.0283768552686483</c:v>
                </c:pt>
                <c:pt idx="41">
                  <c:v>1.365120899113716</c:v>
                </c:pt>
                <c:pt idx="42">
                  <c:v>1.3504140111163385</c:v>
                </c:pt>
                <c:pt idx="43">
                  <c:v>1.3089862893026889</c:v>
                </c:pt>
                <c:pt idx="44">
                  <c:v>1.3421318154311932</c:v>
                </c:pt>
                <c:pt idx="45">
                  <c:v>1.3144928212338192</c:v>
                </c:pt>
                <c:pt idx="46">
                  <c:v>1.2624659113954164</c:v>
                </c:pt>
                <c:pt idx="47">
                  <c:v>1.3276049113954165</c:v>
                </c:pt>
                <c:pt idx="48">
                  <c:v>1.4978388922359986</c:v>
                </c:pt>
                <c:pt idx="49">
                  <c:v>1.4340852748349384</c:v>
                </c:pt>
                <c:pt idx="50">
                  <c:v>1.4437320549150392</c:v>
                </c:pt>
                <c:pt idx="51">
                  <c:v>1.3926825708121542</c:v>
                </c:pt>
                <c:pt idx="52">
                  <c:v>1.0918543216390884</c:v>
                </c:pt>
                <c:pt idx="53">
                  <c:v>1.1866852029855386</c:v>
                </c:pt>
                <c:pt idx="54">
                  <c:v>1.1152544405882421</c:v>
                </c:pt>
                <c:pt idx="55">
                  <c:v>1.0924074499835559</c:v>
                </c:pt>
                <c:pt idx="56">
                  <c:v>1.1671689211803085</c:v>
                </c:pt>
                <c:pt idx="57">
                  <c:v>0.96368493982502124</c:v>
                </c:pt>
                <c:pt idx="58">
                  <c:v>1.1547970191482204</c:v>
                </c:pt>
                <c:pt idx="59">
                  <c:v>1.2588003344161474</c:v>
                </c:pt>
                <c:pt idx="60">
                  <c:v>1.2608344427526248</c:v>
                </c:pt>
                <c:pt idx="61">
                  <c:v>1.4103687390028643</c:v>
                </c:pt>
                <c:pt idx="62">
                  <c:v>1.5995494257900182</c:v>
                </c:pt>
                <c:pt idx="63">
                  <c:v>1.5926022550312051</c:v>
                </c:pt>
                <c:pt idx="64">
                  <c:v>1.6291271967772043</c:v>
                </c:pt>
                <c:pt idx="65">
                  <c:v>1.7273935959886608</c:v>
                </c:pt>
                <c:pt idx="66">
                  <c:v>1.799441497423927</c:v>
                </c:pt>
                <c:pt idx="67">
                  <c:v>1.8172858188878898</c:v>
                </c:pt>
                <c:pt idx="68">
                  <c:v>1.7440104302299779</c:v>
                </c:pt>
                <c:pt idx="69">
                  <c:v>1.8876602362559751</c:v>
                </c:pt>
                <c:pt idx="70">
                  <c:v>2.0933479721019213</c:v>
                </c:pt>
                <c:pt idx="71">
                  <c:v>2.2068155404621099</c:v>
                </c:pt>
                <c:pt idx="72">
                  <c:v>2.0046632071864185</c:v>
                </c:pt>
                <c:pt idx="73">
                  <c:v>1.9964500874591653</c:v>
                </c:pt>
                <c:pt idx="74">
                  <c:v>1.9862443947648176</c:v>
                </c:pt>
                <c:pt idx="75">
                  <c:v>1.9939141571966625</c:v>
                </c:pt>
                <c:pt idx="76">
                  <c:v>2.2002896571966626</c:v>
                </c:pt>
                <c:pt idx="77">
                  <c:v>1.9826754542042226</c:v>
                </c:pt>
                <c:pt idx="78">
                  <c:v>2.2076340816999029</c:v>
                </c:pt>
                <c:pt idx="79">
                  <c:v>2.3993105367146881</c:v>
                </c:pt>
                <c:pt idx="80">
                  <c:v>2.2826859299182267</c:v>
                </c:pt>
                <c:pt idx="81">
                  <c:v>2.4398208397093919</c:v>
                </c:pt>
                <c:pt idx="82">
                  <c:v>2.0465770517857154</c:v>
                </c:pt>
                <c:pt idx="83">
                  <c:v>2.2267735007071439</c:v>
                </c:pt>
                <c:pt idx="84">
                  <c:v>1.916874083579047</c:v>
                </c:pt>
                <c:pt idx="85">
                  <c:v>1.8969987160286363</c:v>
                </c:pt>
                <c:pt idx="86">
                  <c:v>1.993115710756598</c:v>
                </c:pt>
                <c:pt idx="87">
                  <c:v>1.5844546980891796</c:v>
                </c:pt>
                <c:pt idx="88">
                  <c:v>1.9711876446120891</c:v>
                </c:pt>
                <c:pt idx="89">
                  <c:v>1.9181824662422857</c:v>
                </c:pt>
                <c:pt idx="90">
                  <c:v>1.0092591788766661</c:v>
                </c:pt>
                <c:pt idx="91">
                  <c:v>1.3206199220394228</c:v>
                </c:pt>
                <c:pt idx="92">
                  <c:v>1.3114361775396168</c:v>
                </c:pt>
                <c:pt idx="93">
                  <c:v>1.3230339813606955</c:v>
                </c:pt>
                <c:pt idx="94">
                  <c:v>1.286059762369417</c:v>
                </c:pt>
                <c:pt idx="95">
                  <c:v>1.3317223040806709</c:v>
                </c:pt>
                <c:pt idx="96">
                  <c:v>1.3106657083673838</c:v>
                </c:pt>
                <c:pt idx="97">
                  <c:v>1.2884205708785781</c:v>
                </c:pt>
                <c:pt idx="98">
                  <c:v>1.3893219026809966</c:v>
                </c:pt>
                <c:pt idx="99">
                  <c:v>1.3006049085844702</c:v>
                </c:pt>
                <c:pt idx="100">
                  <c:v>1.3226514393378488</c:v>
                </c:pt>
                <c:pt idx="101">
                  <c:v>1.5046502331952001</c:v>
                </c:pt>
                <c:pt idx="102">
                  <c:v>1.4736680969692897</c:v>
                </c:pt>
                <c:pt idx="103">
                  <c:v>1.4577129401022932</c:v>
                </c:pt>
                <c:pt idx="104">
                  <c:v>1.5769034261727075</c:v>
                </c:pt>
                <c:pt idx="105">
                  <c:v>1.7903144705797043</c:v>
                </c:pt>
                <c:pt idx="106">
                  <c:v>1.7809192446280595</c:v>
                </c:pt>
                <c:pt idx="107">
                  <c:v>1.8428613716729649</c:v>
                </c:pt>
                <c:pt idx="108">
                  <c:v>1.8811313835476819</c:v>
                </c:pt>
                <c:pt idx="109">
                  <c:v>1.9365448308564244</c:v>
                </c:pt>
                <c:pt idx="110">
                  <c:v>1.9900244277724453</c:v>
                </c:pt>
                <c:pt idx="111">
                  <c:v>1.9029664196000975</c:v>
                </c:pt>
                <c:pt idx="112">
                  <c:v>2.1807996361589406</c:v>
                </c:pt>
                <c:pt idx="113">
                  <c:v>2.3969006956992143</c:v>
                </c:pt>
                <c:pt idx="114">
                  <c:v>2.3774033907798482</c:v>
                </c:pt>
                <c:pt idx="115">
                  <c:v>2.3839005868238186</c:v>
                </c:pt>
                <c:pt idx="116">
                  <c:v>2.5479918905576526</c:v>
                </c:pt>
                <c:pt idx="117">
                  <c:v>2.5950801232133753</c:v>
                </c:pt>
                <c:pt idx="118">
                  <c:v>2.4248691267098375</c:v>
                </c:pt>
                <c:pt idx="119">
                  <c:v>2.3349831239785308</c:v>
                </c:pt>
                <c:pt idx="120">
                  <c:v>2.0468865470594846</c:v>
                </c:pt>
                <c:pt idx="121">
                  <c:v>1.9229313238632857</c:v>
                </c:pt>
                <c:pt idx="122">
                  <c:v>1.9572185091182832</c:v>
                </c:pt>
                <c:pt idx="123">
                  <c:v>2.2334901174477229</c:v>
                </c:pt>
                <c:pt idx="124">
                  <c:v>2.3747183500305615</c:v>
                </c:pt>
                <c:pt idx="125">
                  <c:v>2.0612251436515954</c:v>
                </c:pt>
                <c:pt idx="126">
                  <c:v>2.2311019723038497</c:v>
                </c:pt>
                <c:pt idx="127">
                  <c:v>2.1282289536773371</c:v>
                </c:pt>
                <c:pt idx="128">
                  <c:v>2.1047800460642176</c:v>
                </c:pt>
                <c:pt idx="129">
                  <c:v>2.0420266063535424</c:v>
                </c:pt>
                <c:pt idx="130">
                  <c:v>2.0054422900277289</c:v>
                </c:pt>
                <c:pt idx="131">
                  <c:v>1.9140163854079479</c:v>
                </c:pt>
                <c:pt idx="132">
                  <c:v>1.9730670692961882</c:v>
                </c:pt>
                <c:pt idx="133">
                  <c:v>1.9252847907045285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FE8-8649-AD13-25AEA5180C8E}"/>
            </c:ext>
          </c:extLst>
        </c:ser>
        <c:ser>
          <c:idx val="12"/>
          <c:order val="12"/>
          <c:tx>
            <c:strRef>
              <c:f>預測累積畫圖!$B$24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預測累積畫圖!$C$24:$EF$24</c:f>
              <c:numCache>
                <c:formatCode>General</c:formatCode>
                <c:ptCount val="134"/>
                <c:pt idx="0">
                  <c:v>0.162993136931085</c:v>
                </c:pt>
                <c:pt idx="1">
                  <c:v>0.263603136931085</c:v>
                </c:pt>
                <c:pt idx="2">
                  <c:v>0.33500346710038192</c:v>
                </c:pt>
                <c:pt idx="3">
                  <c:v>0.41032946710038193</c:v>
                </c:pt>
                <c:pt idx="4">
                  <c:v>0.63608949015795435</c:v>
                </c:pt>
                <c:pt idx="5">
                  <c:v>0.67194549015795435</c:v>
                </c:pt>
                <c:pt idx="6">
                  <c:v>0.68887549015795435</c:v>
                </c:pt>
                <c:pt idx="7">
                  <c:v>0.57341449015795432</c:v>
                </c:pt>
                <c:pt idx="8">
                  <c:v>0.55189921180299417</c:v>
                </c:pt>
                <c:pt idx="9">
                  <c:v>0.64752246231167632</c:v>
                </c:pt>
                <c:pt idx="10">
                  <c:v>0.42973646231167628</c:v>
                </c:pt>
                <c:pt idx="11">
                  <c:v>2.1987684623116763</c:v>
                </c:pt>
                <c:pt idx="12">
                  <c:v>1.9544884623116763</c:v>
                </c:pt>
                <c:pt idx="13">
                  <c:v>1.9562244623116762</c:v>
                </c:pt>
                <c:pt idx="14">
                  <c:v>1.9533844623116763</c:v>
                </c:pt>
                <c:pt idx="15">
                  <c:v>1.9255574623116762</c:v>
                </c:pt>
                <c:pt idx="16">
                  <c:v>1.9145074623116762</c:v>
                </c:pt>
                <c:pt idx="17">
                  <c:v>1.6266874623116763</c:v>
                </c:pt>
                <c:pt idx="18">
                  <c:v>1.9125404623116764</c:v>
                </c:pt>
                <c:pt idx="19">
                  <c:v>1.8138604623116763</c:v>
                </c:pt>
                <c:pt idx="20">
                  <c:v>1.6492984623116762</c:v>
                </c:pt>
                <c:pt idx="21">
                  <c:v>1.6483994623116762</c:v>
                </c:pt>
                <c:pt idx="22">
                  <c:v>1.5280804623116762</c:v>
                </c:pt>
                <c:pt idx="23">
                  <c:v>1.5036854623116762</c:v>
                </c:pt>
                <c:pt idx="24">
                  <c:v>1.5172332305492535</c:v>
                </c:pt>
                <c:pt idx="25">
                  <c:v>1.3329842305492536</c:v>
                </c:pt>
                <c:pt idx="26">
                  <c:v>1.0868142305492536</c:v>
                </c:pt>
                <c:pt idx="27">
                  <c:v>1.078992391656624</c:v>
                </c:pt>
                <c:pt idx="28">
                  <c:v>0.90372139165662402</c:v>
                </c:pt>
                <c:pt idx="29">
                  <c:v>0.88119938162183353</c:v>
                </c:pt>
                <c:pt idx="30">
                  <c:v>0.98710038162183356</c:v>
                </c:pt>
                <c:pt idx="31">
                  <c:v>1.0437977416896231</c:v>
                </c:pt>
                <c:pt idx="32">
                  <c:v>1.3542117416896231</c:v>
                </c:pt>
                <c:pt idx="33">
                  <c:v>1.439646741689623</c:v>
                </c:pt>
                <c:pt idx="34">
                  <c:v>1.4410867416896231</c:v>
                </c:pt>
                <c:pt idx="35">
                  <c:v>1.3864098061989878</c:v>
                </c:pt>
                <c:pt idx="36">
                  <c:v>1.367490524778461</c:v>
                </c:pt>
                <c:pt idx="37">
                  <c:v>1.5886799899238924</c:v>
                </c:pt>
                <c:pt idx="38">
                  <c:v>1.6547701017528824</c:v>
                </c:pt>
                <c:pt idx="39">
                  <c:v>1.4902851017528824</c:v>
                </c:pt>
                <c:pt idx="40">
                  <c:v>1.5373620745871281</c:v>
                </c:pt>
                <c:pt idx="41">
                  <c:v>1.547001331194735</c:v>
                </c:pt>
                <c:pt idx="42">
                  <c:v>1.5190452539281449</c:v>
                </c:pt>
                <c:pt idx="43">
                  <c:v>1.5495044614128535</c:v>
                </c:pt>
                <c:pt idx="44">
                  <c:v>1.5935997812780778</c:v>
                </c:pt>
                <c:pt idx="45">
                  <c:v>1.5064478290911818</c:v>
                </c:pt>
                <c:pt idx="46">
                  <c:v>1.511435370602221</c:v>
                </c:pt>
                <c:pt idx="47">
                  <c:v>1.485877370602221</c:v>
                </c:pt>
                <c:pt idx="48">
                  <c:v>1.6540046644871105</c:v>
                </c:pt>
                <c:pt idx="49">
                  <c:v>1.6918717380867756</c:v>
                </c:pt>
                <c:pt idx="50">
                  <c:v>1.6380770060021423</c:v>
                </c:pt>
                <c:pt idx="51">
                  <c:v>1.5519179726068075</c:v>
                </c:pt>
                <c:pt idx="52">
                  <c:v>0.74870195956243013</c:v>
                </c:pt>
                <c:pt idx="53">
                  <c:v>0.93429717880886531</c:v>
                </c:pt>
                <c:pt idx="54">
                  <c:v>0.88823282477717846</c:v>
                </c:pt>
                <c:pt idx="55">
                  <c:v>0.97588416083127072</c:v>
                </c:pt>
                <c:pt idx="56">
                  <c:v>1.0027201266975816</c:v>
                </c:pt>
                <c:pt idx="57">
                  <c:v>0.61646478978404662</c:v>
                </c:pt>
                <c:pt idx="58">
                  <c:v>0.84009389585409378</c:v>
                </c:pt>
                <c:pt idx="59">
                  <c:v>0.84344221160897836</c:v>
                </c:pt>
                <c:pt idx="60">
                  <c:v>0.84746575850326455</c:v>
                </c:pt>
                <c:pt idx="61">
                  <c:v>1.1646300524279811</c:v>
                </c:pt>
                <c:pt idx="62">
                  <c:v>1.1761030715457184</c:v>
                </c:pt>
                <c:pt idx="63">
                  <c:v>1.1829524133912932</c:v>
                </c:pt>
                <c:pt idx="64">
                  <c:v>1.0218427222956512</c:v>
                </c:pt>
                <c:pt idx="65">
                  <c:v>1.1451939034249732</c:v>
                </c:pt>
                <c:pt idx="66">
                  <c:v>1.0810242700948582</c:v>
                </c:pt>
                <c:pt idx="67">
                  <c:v>1.1233804933982761</c:v>
                </c:pt>
                <c:pt idx="68">
                  <c:v>1.122095775913819</c:v>
                </c:pt>
                <c:pt idx="69">
                  <c:v>1.2383664719680063</c:v>
                </c:pt>
                <c:pt idx="70">
                  <c:v>1.4666931035279469</c:v>
                </c:pt>
                <c:pt idx="71">
                  <c:v>1.5744215574159297</c:v>
                </c:pt>
                <c:pt idx="72">
                  <c:v>1.5125856737803365</c:v>
                </c:pt>
                <c:pt idx="73">
                  <c:v>1.3796256180698787</c:v>
                </c:pt>
                <c:pt idx="74">
                  <c:v>1.4893712872372959</c:v>
                </c:pt>
                <c:pt idx="75">
                  <c:v>1.7482641860872929</c:v>
                </c:pt>
                <c:pt idx="76">
                  <c:v>1.848292186087293</c:v>
                </c:pt>
                <c:pt idx="77">
                  <c:v>2.057054160375162</c:v>
                </c:pt>
                <c:pt idx="78">
                  <c:v>2.4969086726420957</c:v>
                </c:pt>
                <c:pt idx="79">
                  <c:v>2.6412149833842906</c:v>
                </c:pt>
                <c:pt idx="80">
                  <c:v>2.4310935481482021</c:v>
                </c:pt>
                <c:pt idx="81">
                  <c:v>2.6528149103935905</c:v>
                </c:pt>
                <c:pt idx="82">
                  <c:v>2.32899693137453</c:v>
                </c:pt>
                <c:pt idx="83">
                  <c:v>2.6832742282170328</c:v>
                </c:pt>
                <c:pt idx="84">
                  <c:v>3.0117260489262971</c:v>
                </c:pt>
                <c:pt idx="85">
                  <c:v>3.0248355343457165</c:v>
                </c:pt>
                <c:pt idx="86">
                  <c:v>3.1183656136614131</c:v>
                </c:pt>
                <c:pt idx="87">
                  <c:v>3.2601209470339536</c:v>
                </c:pt>
                <c:pt idx="88">
                  <c:v>3.8097080569930539</c:v>
                </c:pt>
                <c:pt idx="89">
                  <c:v>3.7019692905358408</c:v>
                </c:pt>
                <c:pt idx="90">
                  <c:v>2.9253160721996094</c:v>
                </c:pt>
                <c:pt idx="91">
                  <c:v>3.0856602770144517</c:v>
                </c:pt>
                <c:pt idx="92">
                  <c:v>3.2003474508777483</c:v>
                </c:pt>
                <c:pt idx="93">
                  <c:v>3.2614322891173049</c:v>
                </c:pt>
                <c:pt idx="94">
                  <c:v>3.1755370563704992</c:v>
                </c:pt>
                <c:pt idx="95">
                  <c:v>3.2719560645178949</c:v>
                </c:pt>
                <c:pt idx="96">
                  <c:v>3.199204716861185</c:v>
                </c:pt>
                <c:pt idx="97">
                  <c:v>3.2142687644005603</c:v>
                </c:pt>
                <c:pt idx="98">
                  <c:v>3.3893859304725678</c:v>
                </c:pt>
                <c:pt idx="99">
                  <c:v>3.4445931241812549</c:v>
                </c:pt>
                <c:pt idx="100">
                  <c:v>3.3645262195444361</c:v>
                </c:pt>
                <c:pt idx="101">
                  <c:v>3.4767328479890032</c:v>
                </c:pt>
                <c:pt idx="102">
                  <c:v>3.5012440521517578</c:v>
                </c:pt>
                <c:pt idx="103">
                  <c:v>3.3057833796391036</c:v>
                </c:pt>
                <c:pt idx="104">
                  <c:v>3.4969591378096383</c:v>
                </c:pt>
                <c:pt idx="105">
                  <c:v>3.6503405185487443</c:v>
                </c:pt>
                <c:pt idx="106">
                  <c:v>3.4742777610392093</c:v>
                </c:pt>
                <c:pt idx="107">
                  <c:v>3.3696127850186479</c:v>
                </c:pt>
                <c:pt idx="108">
                  <c:v>3.4287186191429919</c:v>
                </c:pt>
                <c:pt idx="109">
                  <c:v>3.4295651442083583</c:v>
                </c:pt>
                <c:pt idx="110">
                  <c:v>3.5714406031466277</c:v>
                </c:pt>
                <c:pt idx="111">
                  <c:v>3.4389519926373882</c:v>
                </c:pt>
                <c:pt idx="112">
                  <c:v>3.778461203267832</c:v>
                </c:pt>
                <c:pt idx="113">
                  <c:v>3.9915656295537132</c:v>
                </c:pt>
                <c:pt idx="114">
                  <c:v>3.8501261023268385</c:v>
                </c:pt>
                <c:pt idx="115">
                  <c:v>4.083460673101535</c:v>
                </c:pt>
                <c:pt idx="116">
                  <c:v>4.2689014757342232</c:v>
                </c:pt>
                <c:pt idx="117">
                  <c:v>4.3832749012202372</c:v>
                </c:pt>
                <c:pt idx="118">
                  <c:v>4.2502975499842677</c:v>
                </c:pt>
                <c:pt idx="119">
                  <c:v>4.2297819197722388</c:v>
                </c:pt>
                <c:pt idx="120">
                  <c:v>4.0135203787393934</c:v>
                </c:pt>
                <c:pt idx="121">
                  <c:v>3.9751575125692638</c:v>
                </c:pt>
                <c:pt idx="122">
                  <c:v>3.9275189252955061</c:v>
                </c:pt>
                <c:pt idx="123">
                  <c:v>4.0857436239393206</c:v>
                </c:pt>
                <c:pt idx="124">
                  <c:v>4.1946007138306509</c:v>
                </c:pt>
                <c:pt idx="125">
                  <c:v>3.883007586038147</c:v>
                </c:pt>
                <c:pt idx="126">
                  <c:v>4.2268118728363557</c:v>
                </c:pt>
                <c:pt idx="127">
                  <c:v>4.1763426904332395</c:v>
                </c:pt>
                <c:pt idx="128">
                  <c:v>4.2536936126605749</c:v>
                </c:pt>
                <c:pt idx="129">
                  <c:v>4.2241114362952805</c:v>
                </c:pt>
                <c:pt idx="130">
                  <c:v>4.2098015175246015</c:v>
                </c:pt>
                <c:pt idx="131">
                  <c:v>4.1536286722262394</c:v>
                </c:pt>
                <c:pt idx="132">
                  <c:v>4.2670581114174579</c:v>
                </c:pt>
                <c:pt idx="133">
                  <c:v>4.3343347884614261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FE8-8649-AD13-25AEA5180C8E}"/>
            </c:ext>
          </c:extLst>
        </c:ser>
        <c:ser>
          <c:idx val="13"/>
          <c:order val="13"/>
          <c:tx>
            <c:strRef>
              <c:f>預測累積畫圖!$B$25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預測累積畫圖!$C$25:$EF$25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FE8-8649-AD13-25AEA5180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720191"/>
        <c:axId val="720729791"/>
      </c:lineChart>
      <c:catAx>
        <c:axId val="72072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20729791"/>
        <c:crosses val="autoZero"/>
        <c:auto val="1"/>
        <c:lblAlgn val="ctr"/>
        <c:lblOffset val="100"/>
        <c:noMultiLvlLbl val="0"/>
      </c:catAx>
      <c:valAx>
        <c:axId val="7207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2072019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NN3再投資累積報酬!$A$12:$B$12</c:f>
              <c:strCache>
                <c:ptCount val="2"/>
                <c:pt idx="0">
                  <c:v>96</c:v>
                </c:pt>
                <c:pt idx="1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NN3再投資累積報酬!$C$10:$EF$11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NN3再投資累積報酬!$C$12:$EF$12</c:f>
              <c:numCache>
                <c:formatCode>General</c:formatCode>
                <c:ptCount val="134"/>
                <c:pt idx="0">
                  <c:v>4.7013508994228737E-2</c:v>
                </c:pt>
                <c:pt idx="1">
                  <c:v>0.16709392872690398</c:v>
                </c:pt>
                <c:pt idx="2">
                  <c:v>0.15921134323541519</c:v>
                </c:pt>
                <c:pt idx="3">
                  <c:v>0.17476958960258582</c:v>
                </c:pt>
                <c:pt idx="4">
                  <c:v>0.18405537578537667</c:v>
                </c:pt>
                <c:pt idx="5">
                  <c:v>0.22967788045418858</c:v>
                </c:pt>
                <c:pt idx="6">
                  <c:v>0.24542999005708377</c:v>
                </c:pt>
                <c:pt idx="7">
                  <c:v>0.20880463140083716</c:v>
                </c:pt>
                <c:pt idx="8">
                  <c:v>0.1955217979318431</c:v>
                </c:pt>
                <c:pt idx="9">
                  <c:v>0.19279931889428004</c:v>
                </c:pt>
                <c:pt idx="10">
                  <c:v>0.1923261503144662</c:v>
                </c:pt>
                <c:pt idx="11">
                  <c:v>0.27498624725577958</c:v>
                </c:pt>
                <c:pt idx="12">
                  <c:v>0.29696808592811541</c:v>
                </c:pt>
                <c:pt idx="13">
                  <c:v>0.29726682091057421</c:v>
                </c:pt>
                <c:pt idx="14">
                  <c:v>0.34302202977791252</c:v>
                </c:pt>
                <c:pt idx="15">
                  <c:v>0.35197069748082543</c:v>
                </c:pt>
                <c:pt idx="16">
                  <c:v>0.32970072632530312</c:v>
                </c:pt>
                <c:pt idx="17">
                  <c:v>0.3194083302147237</c:v>
                </c:pt>
                <c:pt idx="18">
                  <c:v>0.29806189771691516</c:v>
                </c:pt>
                <c:pt idx="19">
                  <c:v>0.30611611488416468</c:v>
                </c:pt>
                <c:pt idx="20">
                  <c:v>0.38975932829855564</c:v>
                </c:pt>
                <c:pt idx="21">
                  <c:v>0.42738531043641914</c:v>
                </c:pt>
                <c:pt idx="22">
                  <c:v>0.4494242883155275</c:v>
                </c:pt>
                <c:pt idx="23">
                  <c:v>0.45691207458164396</c:v>
                </c:pt>
                <c:pt idx="24">
                  <c:v>0.39950440450363756</c:v>
                </c:pt>
                <c:pt idx="25">
                  <c:v>0.39431039173522731</c:v>
                </c:pt>
                <c:pt idx="26">
                  <c:v>0.401515418064186</c:v>
                </c:pt>
                <c:pt idx="27">
                  <c:v>0.39332060324913787</c:v>
                </c:pt>
                <c:pt idx="28">
                  <c:v>0.3120663111157016</c:v>
                </c:pt>
                <c:pt idx="29">
                  <c:v>0.2852579737262817</c:v>
                </c:pt>
                <c:pt idx="30">
                  <c:v>0.30078284577679137</c:v>
                </c:pt>
                <c:pt idx="31">
                  <c:v>0.2833448050547136</c:v>
                </c:pt>
                <c:pt idx="32">
                  <c:v>0.31317866826512009</c:v>
                </c:pt>
                <c:pt idx="33">
                  <c:v>0.34083732981812065</c:v>
                </c:pt>
                <c:pt idx="34">
                  <c:v>0.35358070366893424</c:v>
                </c:pt>
                <c:pt idx="35">
                  <c:v>0.37775430554617317</c:v>
                </c:pt>
                <c:pt idx="36">
                  <c:v>0.41920558086858994</c:v>
                </c:pt>
                <c:pt idx="37">
                  <c:v>0.51746177338779042</c:v>
                </c:pt>
                <c:pt idx="38">
                  <c:v>0.52084388162628725</c:v>
                </c:pt>
                <c:pt idx="39">
                  <c:v>0.51379679802679168</c:v>
                </c:pt>
                <c:pt idx="40">
                  <c:v>0.5022587351269896</c:v>
                </c:pt>
                <c:pt idx="41">
                  <c:v>0.52257867653929546</c:v>
                </c:pt>
                <c:pt idx="42">
                  <c:v>0.55165950058632673</c:v>
                </c:pt>
                <c:pt idx="43">
                  <c:v>0.57312656191569111</c:v>
                </c:pt>
                <c:pt idx="44">
                  <c:v>0.60570390294822207</c:v>
                </c:pt>
                <c:pt idx="45">
                  <c:v>0.53929185344686603</c:v>
                </c:pt>
                <c:pt idx="46">
                  <c:v>0.54024848795780289</c:v>
                </c:pt>
                <c:pt idx="47">
                  <c:v>0.52691304863757438</c:v>
                </c:pt>
                <c:pt idx="48">
                  <c:v>0.56501761125517946</c:v>
                </c:pt>
                <c:pt idx="49">
                  <c:v>0.5614180299466891</c:v>
                </c:pt>
                <c:pt idx="50">
                  <c:v>0.56912813758586367</c:v>
                </c:pt>
                <c:pt idx="51">
                  <c:v>0.59309595047801467</c:v>
                </c:pt>
                <c:pt idx="52">
                  <c:v>0.61264768099628242</c:v>
                </c:pt>
                <c:pt idx="53">
                  <c:v>0.63462896703892624</c:v>
                </c:pt>
                <c:pt idx="54">
                  <c:v>0.66504746664450431</c:v>
                </c:pt>
                <c:pt idx="55">
                  <c:v>0.77792495140452789</c:v>
                </c:pt>
                <c:pt idx="56">
                  <c:v>0.83778921787415839</c:v>
                </c:pt>
                <c:pt idx="57">
                  <c:v>0.86392875554490844</c:v>
                </c:pt>
                <c:pt idx="58">
                  <c:v>0.95716480745775989</c:v>
                </c:pt>
                <c:pt idx="59">
                  <c:v>0.95560691734504521</c:v>
                </c:pt>
                <c:pt idx="60">
                  <c:v>0.9139824793156357</c:v>
                </c:pt>
                <c:pt idx="61">
                  <c:v>0.96127554291164286</c:v>
                </c:pt>
                <c:pt idx="62">
                  <c:v>0.951137529278828</c:v>
                </c:pt>
                <c:pt idx="63">
                  <c:v>0.97360787392375192</c:v>
                </c:pt>
                <c:pt idx="64">
                  <c:v>1.0214605827590595</c:v>
                </c:pt>
                <c:pt idx="65">
                  <c:v>1.0002170831996131</c:v>
                </c:pt>
                <c:pt idx="66">
                  <c:v>1.028013599187978</c:v>
                </c:pt>
                <c:pt idx="67">
                  <c:v>1.023428243296606</c:v>
                </c:pt>
                <c:pt idx="68">
                  <c:v>1.0615967638921826</c:v>
                </c:pt>
                <c:pt idx="69">
                  <c:v>1.1070167684213938</c:v>
                </c:pt>
                <c:pt idx="70">
                  <c:v>1.1255195722877569</c:v>
                </c:pt>
                <c:pt idx="71">
                  <c:v>1.1745392733336746</c:v>
                </c:pt>
                <c:pt idx="72">
                  <c:v>1.1104256603271709</c:v>
                </c:pt>
                <c:pt idx="73">
                  <c:v>1.1346473575280389</c:v>
                </c:pt>
                <c:pt idx="74">
                  <c:v>1.0634124667816542</c:v>
                </c:pt>
                <c:pt idx="75">
                  <c:v>1.1570025539761652</c:v>
                </c:pt>
                <c:pt idx="76">
                  <c:v>1.1884529094646274</c:v>
                </c:pt>
                <c:pt idx="77">
                  <c:v>1.1927056033616781</c:v>
                </c:pt>
                <c:pt idx="78">
                  <c:v>1.1559318157609333</c:v>
                </c:pt>
                <c:pt idx="79">
                  <c:v>1.39509716584362</c:v>
                </c:pt>
                <c:pt idx="80">
                  <c:v>1.4229267780723824</c:v>
                </c:pt>
                <c:pt idx="81">
                  <c:v>1.4902055994879695</c:v>
                </c:pt>
                <c:pt idx="82">
                  <c:v>1.5944387180985151</c:v>
                </c:pt>
                <c:pt idx="83">
                  <c:v>1.7586598717497939</c:v>
                </c:pt>
                <c:pt idx="84">
                  <c:v>1.6630559968593666</c:v>
                </c:pt>
                <c:pt idx="85">
                  <c:v>1.7041873773557139</c:v>
                </c:pt>
                <c:pt idx="86">
                  <c:v>1.7388094781696841</c:v>
                </c:pt>
                <c:pt idx="87">
                  <c:v>2.062031743027168</c:v>
                </c:pt>
                <c:pt idx="88">
                  <c:v>2.0154284583825892</c:v>
                </c:pt>
                <c:pt idx="89">
                  <c:v>1.9337594949818757</c:v>
                </c:pt>
                <c:pt idx="90">
                  <c:v>1.8537672363559849</c:v>
                </c:pt>
                <c:pt idx="91">
                  <c:v>1.983040099658905</c:v>
                </c:pt>
                <c:pt idx="92">
                  <c:v>2.0921364236077782</c:v>
                </c:pt>
                <c:pt idx="93">
                  <c:v>2.0986851926439716</c:v>
                </c:pt>
                <c:pt idx="94">
                  <c:v>2.0515800720523329</c:v>
                </c:pt>
                <c:pt idx="95">
                  <c:v>2.0490654601442726</c:v>
                </c:pt>
                <c:pt idx="96">
                  <c:v>2.1576845011318726</c:v>
                </c:pt>
                <c:pt idx="97">
                  <c:v>2.1833016157013798</c:v>
                </c:pt>
                <c:pt idx="98">
                  <c:v>2.2009623335044388</c:v>
                </c:pt>
                <c:pt idx="99">
                  <c:v>2.3961886502302092</c:v>
                </c:pt>
                <c:pt idx="100">
                  <c:v>2.375869449796562</c:v>
                </c:pt>
                <c:pt idx="101">
                  <c:v>2.6384861910905562</c:v>
                </c:pt>
                <c:pt idx="102">
                  <c:v>2.658875482048416</c:v>
                </c:pt>
                <c:pt idx="103">
                  <c:v>2.5747876595883823</c:v>
                </c:pt>
                <c:pt idx="104">
                  <c:v>2.6962346459818196</c:v>
                </c:pt>
                <c:pt idx="105">
                  <c:v>2.7882301489800736</c:v>
                </c:pt>
                <c:pt idx="106">
                  <c:v>2.7927688592715612</c:v>
                </c:pt>
                <c:pt idx="107">
                  <c:v>2.7668470828920171</c:v>
                </c:pt>
                <c:pt idx="108">
                  <c:v>2.7632772082385202</c:v>
                </c:pt>
                <c:pt idx="109">
                  <c:v>2.7488913963010839</c:v>
                </c:pt>
                <c:pt idx="110">
                  <c:v>2.5447898534835471</c:v>
                </c:pt>
                <c:pt idx="111">
                  <c:v>2.5733700699697715</c:v>
                </c:pt>
                <c:pt idx="112">
                  <c:v>2.5163892783285506</c:v>
                </c:pt>
                <c:pt idx="113">
                  <c:v>2.5151420993652462</c:v>
                </c:pt>
                <c:pt idx="114">
                  <c:v>2.4981275839582349</c:v>
                </c:pt>
                <c:pt idx="115">
                  <c:v>2.6464844529609755</c:v>
                </c:pt>
                <c:pt idx="116">
                  <c:v>2.7288940304673526</c:v>
                </c:pt>
                <c:pt idx="117">
                  <c:v>2.850397990067965</c:v>
                </c:pt>
                <c:pt idx="118">
                  <c:v>2.7627249479880933</c:v>
                </c:pt>
                <c:pt idx="119">
                  <c:v>2.8333849463622962</c:v>
                </c:pt>
                <c:pt idx="120">
                  <c:v>2.6964328398623585</c:v>
                </c:pt>
                <c:pt idx="121">
                  <c:v>2.5289922561070406</c:v>
                </c:pt>
                <c:pt idx="122">
                  <c:v>2.5775252447048498</c:v>
                </c:pt>
                <c:pt idx="123">
                  <c:v>2.7512170449244504</c:v>
                </c:pt>
                <c:pt idx="124">
                  <c:v>2.9152411267255931</c:v>
                </c:pt>
                <c:pt idx="125">
                  <c:v>2.718883638395285</c:v>
                </c:pt>
                <c:pt idx="126">
                  <c:v>2.7759955389693727</c:v>
                </c:pt>
                <c:pt idx="127">
                  <c:v>2.760379058005821</c:v>
                </c:pt>
                <c:pt idx="128">
                  <c:v>3.0010581385874042</c:v>
                </c:pt>
                <c:pt idx="129">
                  <c:v>3.0123744384485134</c:v>
                </c:pt>
                <c:pt idx="130">
                  <c:v>3.1193102742320287</c:v>
                </c:pt>
                <c:pt idx="131">
                  <c:v>2.8700584186932385</c:v>
                </c:pt>
                <c:pt idx="132">
                  <c:v>2.9161782774489566</c:v>
                </c:pt>
                <c:pt idx="133">
                  <c:v>3.0698230627900829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F1-F54A-8327-B775A96E12D0}"/>
            </c:ext>
          </c:extLst>
        </c:ser>
        <c:ser>
          <c:idx val="1"/>
          <c:order val="1"/>
          <c:tx>
            <c:strRef>
              <c:f>NN3再投資累積報酬!$A$13:$B$13</c:f>
              <c:strCache>
                <c:ptCount val="2"/>
                <c:pt idx="0">
                  <c:v>48</c:v>
                </c:pt>
                <c:pt idx="1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NN3再投資累積報酬!$C$10:$EF$11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NN3再投資累積報酬!$C$13:$EF$13</c:f>
              <c:numCache>
                <c:formatCode>General</c:formatCode>
                <c:ptCount val="134"/>
                <c:pt idx="0">
                  <c:v>4.2506117601795568E-2</c:v>
                </c:pt>
                <c:pt idx="1">
                  <c:v>0.17151114571881698</c:v>
                </c:pt>
                <c:pt idx="2">
                  <c:v>0.13109797149507596</c:v>
                </c:pt>
                <c:pt idx="3">
                  <c:v>0.11814145631246942</c:v>
                </c:pt>
                <c:pt idx="4">
                  <c:v>0.10147222611596129</c:v>
                </c:pt>
                <c:pt idx="5">
                  <c:v>0.13450576828192573</c:v>
                </c:pt>
                <c:pt idx="6">
                  <c:v>0.16755453583593605</c:v>
                </c:pt>
                <c:pt idx="7">
                  <c:v>0.11630027818374966</c:v>
                </c:pt>
                <c:pt idx="8">
                  <c:v>6.5697281166015697E-2</c:v>
                </c:pt>
                <c:pt idx="9">
                  <c:v>3.4647477887857159E-2</c:v>
                </c:pt>
                <c:pt idx="10">
                  <c:v>6.1224769424543579E-2</c:v>
                </c:pt>
                <c:pt idx="11">
                  <c:v>0.16714214257145721</c:v>
                </c:pt>
                <c:pt idx="12">
                  <c:v>0.21358199896053631</c:v>
                </c:pt>
                <c:pt idx="13">
                  <c:v>0.23396064486778978</c:v>
                </c:pt>
                <c:pt idx="14">
                  <c:v>0.32431743879574726</c:v>
                </c:pt>
                <c:pt idx="15">
                  <c:v>0.3430695530095218</c:v>
                </c:pt>
                <c:pt idx="16">
                  <c:v>0.32662593276279095</c:v>
                </c:pt>
                <c:pt idx="17">
                  <c:v>0.29730155747007614</c:v>
                </c:pt>
                <c:pt idx="18">
                  <c:v>0.29937245616253505</c:v>
                </c:pt>
                <c:pt idx="19">
                  <c:v>0.27326270360684801</c:v>
                </c:pt>
                <c:pt idx="20">
                  <c:v>0.36936398342409871</c:v>
                </c:pt>
                <c:pt idx="21">
                  <c:v>0.44231884663016019</c:v>
                </c:pt>
                <c:pt idx="22">
                  <c:v>0.46239646584481964</c:v>
                </c:pt>
                <c:pt idx="23">
                  <c:v>0.49249831283139711</c:v>
                </c:pt>
                <c:pt idx="24">
                  <c:v>0.44455999784225808</c:v>
                </c:pt>
                <c:pt idx="25">
                  <c:v>0.42139506381185954</c:v>
                </c:pt>
                <c:pt idx="26">
                  <c:v>0.43281067253049588</c:v>
                </c:pt>
                <c:pt idx="27">
                  <c:v>0.42338414634923494</c:v>
                </c:pt>
                <c:pt idx="28">
                  <c:v>0.32984008159707279</c:v>
                </c:pt>
                <c:pt idx="29">
                  <c:v>0.28736437256541714</c:v>
                </c:pt>
                <c:pt idx="30">
                  <c:v>0.29159009247818091</c:v>
                </c:pt>
                <c:pt idx="31">
                  <c:v>0.27913743423820048</c:v>
                </c:pt>
                <c:pt idx="32">
                  <c:v>0.3046051138512762</c:v>
                </c:pt>
                <c:pt idx="33">
                  <c:v>0.33054838242823004</c:v>
                </c:pt>
                <c:pt idx="34">
                  <c:v>0.33496441706999325</c:v>
                </c:pt>
                <c:pt idx="35">
                  <c:v>0.3658707504488834</c:v>
                </c:pt>
                <c:pt idx="36">
                  <c:v>0.42908658633514007</c:v>
                </c:pt>
                <c:pt idx="37">
                  <c:v>0.57961261679083242</c:v>
                </c:pt>
                <c:pt idx="38">
                  <c:v>0.59432068667405846</c:v>
                </c:pt>
                <c:pt idx="39">
                  <c:v>0.5838176009253786</c:v>
                </c:pt>
                <c:pt idx="40">
                  <c:v>0.57423663090011501</c:v>
                </c:pt>
                <c:pt idx="41">
                  <c:v>0.59106393832527271</c:v>
                </c:pt>
                <c:pt idx="42">
                  <c:v>0.65679575132529688</c:v>
                </c:pt>
                <c:pt idx="43">
                  <c:v>0.72383482336803473</c:v>
                </c:pt>
                <c:pt idx="44">
                  <c:v>0.79447089711406016</c:v>
                </c:pt>
                <c:pt idx="45">
                  <c:v>0.77746743722598155</c:v>
                </c:pt>
                <c:pt idx="46">
                  <c:v>0.78471952851331639</c:v>
                </c:pt>
                <c:pt idx="47">
                  <c:v>0.76351594506487297</c:v>
                </c:pt>
                <c:pt idx="48">
                  <c:v>0.79449094991531521</c:v>
                </c:pt>
                <c:pt idx="49">
                  <c:v>0.77994935087836526</c:v>
                </c:pt>
                <c:pt idx="50">
                  <c:v>0.79159188852618945</c:v>
                </c:pt>
                <c:pt idx="51">
                  <c:v>0.86840706169219839</c:v>
                </c:pt>
                <c:pt idx="52">
                  <c:v>0.88948973184610969</c:v>
                </c:pt>
                <c:pt idx="53">
                  <c:v>0.89580899493597044</c:v>
                </c:pt>
                <c:pt idx="54">
                  <c:v>0.94773862771774953</c:v>
                </c:pt>
                <c:pt idx="55">
                  <c:v>1.1112111919139265</c:v>
                </c:pt>
                <c:pt idx="56">
                  <c:v>1.2095228283712527</c:v>
                </c:pt>
                <c:pt idx="57">
                  <c:v>1.2282501468771314</c:v>
                </c:pt>
                <c:pt idx="58">
                  <c:v>1.3450308039714791</c:v>
                </c:pt>
                <c:pt idx="59">
                  <c:v>1.3055238683671515</c:v>
                </c:pt>
                <c:pt idx="60">
                  <c:v>1.2631229215431552</c:v>
                </c:pt>
                <c:pt idx="61">
                  <c:v>1.3354248562858482</c:v>
                </c:pt>
                <c:pt idx="62">
                  <c:v>1.3749370117361304</c:v>
                </c:pt>
                <c:pt idx="63">
                  <c:v>1.4011861025094876</c:v>
                </c:pt>
                <c:pt idx="64">
                  <c:v>1.4753316467926396</c:v>
                </c:pt>
                <c:pt idx="65">
                  <c:v>1.4986806969601751</c:v>
                </c:pt>
                <c:pt idx="66">
                  <c:v>1.6027584034200641</c:v>
                </c:pt>
                <c:pt idx="67">
                  <c:v>1.5853682879179773</c:v>
                </c:pt>
                <c:pt idx="68">
                  <c:v>1.6045503551267815</c:v>
                </c:pt>
                <c:pt idx="69">
                  <c:v>1.7044179462969717</c:v>
                </c:pt>
                <c:pt idx="70">
                  <c:v>1.7523038715049228</c:v>
                </c:pt>
                <c:pt idx="71">
                  <c:v>1.809148846147814</c:v>
                </c:pt>
                <c:pt idx="72">
                  <c:v>1.8141020436091617</c:v>
                </c:pt>
                <c:pt idx="73">
                  <c:v>1.8734178765038565</c:v>
                </c:pt>
                <c:pt idx="74">
                  <c:v>1.831717693606536</c:v>
                </c:pt>
                <c:pt idx="75">
                  <c:v>2.0473193638308405</c:v>
                </c:pt>
                <c:pt idx="76">
                  <c:v>2.120492167767527</c:v>
                </c:pt>
                <c:pt idx="77">
                  <c:v>2.0999099421315259</c:v>
                </c:pt>
                <c:pt idx="78">
                  <c:v>2.0610652427796063</c:v>
                </c:pt>
                <c:pt idx="79">
                  <c:v>2.3827398333548557</c:v>
                </c:pt>
                <c:pt idx="80">
                  <c:v>2.4139320243351738</c:v>
                </c:pt>
                <c:pt idx="81">
                  <c:v>2.5659007050476856</c:v>
                </c:pt>
                <c:pt idx="82">
                  <c:v>2.710138047207201</c:v>
                </c:pt>
                <c:pt idx="83">
                  <c:v>2.9265675100163855</c:v>
                </c:pt>
                <c:pt idx="84">
                  <c:v>2.7229612057694492</c:v>
                </c:pt>
                <c:pt idx="85">
                  <c:v>2.7113973607481676</c:v>
                </c:pt>
                <c:pt idx="86">
                  <c:v>2.8303300884168441</c:v>
                </c:pt>
                <c:pt idx="87">
                  <c:v>3.1423233674008602</c:v>
                </c:pt>
                <c:pt idx="88">
                  <c:v>3.0996706765912041</c:v>
                </c:pt>
                <c:pt idx="89">
                  <c:v>2.9894405107007986</c:v>
                </c:pt>
                <c:pt idx="90">
                  <c:v>2.9357527803375816</c:v>
                </c:pt>
                <c:pt idx="91">
                  <c:v>3.2101792050989948</c:v>
                </c:pt>
                <c:pt idx="92">
                  <c:v>3.3709446883626075</c:v>
                </c:pt>
                <c:pt idx="93">
                  <c:v>3.4071351531350844</c:v>
                </c:pt>
                <c:pt idx="94">
                  <c:v>3.4548778735209202</c:v>
                </c:pt>
                <c:pt idx="95">
                  <c:v>3.4908322988170832</c:v>
                </c:pt>
                <c:pt idx="96">
                  <c:v>3.6577179244558211</c:v>
                </c:pt>
                <c:pt idx="97">
                  <c:v>3.6439622294099241</c:v>
                </c:pt>
                <c:pt idx="98">
                  <c:v>3.6717193349503487</c:v>
                </c:pt>
                <c:pt idx="99">
                  <c:v>3.9521778541953143</c:v>
                </c:pt>
                <c:pt idx="100">
                  <c:v>3.887211519922805</c:v>
                </c:pt>
                <c:pt idx="101">
                  <c:v>4.1668783888529592</c:v>
                </c:pt>
                <c:pt idx="102">
                  <c:v>4.1380282092145961</c:v>
                </c:pt>
                <c:pt idx="103">
                  <c:v>3.9234560859486747</c:v>
                </c:pt>
                <c:pt idx="104">
                  <c:v>4.0700547769847217</c:v>
                </c:pt>
                <c:pt idx="105">
                  <c:v>4.1242921980127569</c:v>
                </c:pt>
                <c:pt idx="106">
                  <c:v>4.1546739067562548</c:v>
                </c:pt>
                <c:pt idx="107">
                  <c:v>4.0076688090720216</c:v>
                </c:pt>
                <c:pt idx="108">
                  <c:v>3.9995030180090509</c:v>
                </c:pt>
                <c:pt idx="109">
                  <c:v>4.0559762436254143</c:v>
                </c:pt>
                <c:pt idx="110">
                  <c:v>3.8235174969941585</c:v>
                </c:pt>
                <c:pt idx="111">
                  <c:v>3.8074467127665699</c:v>
                </c:pt>
                <c:pt idx="112">
                  <c:v>3.8671026758273879</c:v>
                </c:pt>
                <c:pt idx="113">
                  <c:v>3.7877677025128644</c:v>
                </c:pt>
                <c:pt idx="114">
                  <c:v>3.7558865843474623</c:v>
                </c:pt>
                <c:pt idx="115">
                  <c:v>3.8105772727148004</c:v>
                </c:pt>
                <c:pt idx="116">
                  <c:v>4.0361520354346441</c:v>
                </c:pt>
                <c:pt idx="117">
                  <c:v>4.2818489509042044</c:v>
                </c:pt>
                <c:pt idx="118">
                  <c:v>4.1422492530988304</c:v>
                </c:pt>
                <c:pt idx="119">
                  <c:v>4.2130642436936441</c:v>
                </c:pt>
                <c:pt idx="120">
                  <c:v>4.0103405414805957</c:v>
                </c:pt>
                <c:pt idx="121">
                  <c:v>3.8328427091067843</c:v>
                </c:pt>
                <c:pt idx="122">
                  <c:v>3.9232418228132087</c:v>
                </c:pt>
                <c:pt idx="123">
                  <c:v>4.3152310458115055</c:v>
                </c:pt>
                <c:pt idx="124">
                  <c:v>4.5513218602091765</c:v>
                </c:pt>
                <c:pt idx="125">
                  <c:v>4.1931318126604964</c:v>
                </c:pt>
                <c:pt idx="126">
                  <c:v>4.3768962068765438</c:v>
                </c:pt>
                <c:pt idx="127">
                  <c:v>4.2983461276732564</c:v>
                </c:pt>
                <c:pt idx="128">
                  <c:v>4.6864121992452308</c:v>
                </c:pt>
                <c:pt idx="129">
                  <c:v>4.8079491279513515</c:v>
                </c:pt>
                <c:pt idx="130">
                  <c:v>5.0499068565861585</c:v>
                </c:pt>
                <c:pt idx="131">
                  <c:v>4.6525363078022188</c:v>
                </c:pt>
                <c:pt idx="132">
                  <c:v>4.6974886317258999</c:v>
                </c:pt>
                <c:pt idx="133">
                  <c:v>5.0768115593917287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F1-F54A-8327-B775A96E12D0}"/>
            </c:ext>
          </c:extLst>
        </c:ser>
        <c:ser>
          <c:idx val="2"/>
          <c:order val="2"/>
          <c:tx>
            <c:strRef>
              <c:f>NN3再投資累積報酬!$A$14:$B$14</c:f>
              <c:strCache>
                <c:ptCount val="2"/>
                <c:pt idx="0">
                  <c:v>19</c:v>
                </c:pt>
                <c:pt idx="1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NN3再投資累積報酬!$C$10:$EF$11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NN3再投資累積報酬!$C$14:$EF$14</c:f>
              <c:numCache>
                <c:formatCode>General</c:formatCode>
                <c:ptCount val="134"/>
                <c:pt idx="0">
                  <c:v>-3.7017512404591946E-2</c:v>
                </c:pt>
                <c:pt idx="1">
                  <c:v>0.17706195869710029</c:v>
                </c:pt>
                <c:pt idx="2">
                  <c:v>0.12112097882601658</c:v>
                </c:pt>
                <c:pt idx="3">
                  <c:v>0.15984809682307288</c:v>
                </c:pt>
                <c:pt idx="4">
                  <c:v>0.11227122474111262</c:v>
                </c:pt>
                <c:pt idx="5">
                  <c:v>0.17855029621161989</c:v>
                </c:pt>
                <c:pt idx="6">
                  <c:v>0.26943420230397908</c:v>
                </c:pt>
                <c:pt idx="7">
                  <c:v>0.13602481874565631</c:v>
                </c:pt>
                <c:pt idx="8">
                  <c:v>-1.6405518820628462E-2</c:v>
                </c:pt>
                <c:pt idx="9">
                  <c:v>-1.1637842417611788E-2</c:v>
                </c:pt>
                <c:pt idx="10">
                  <c:v>-8.6705300781578232E-2</c:v>
                </c:pt>
                <c:pt idx="11">
                  <c:v>0.10036730393457649</c:v>
                </c:pt>
                <c:pt idx="12">
                  <c:v>0.14398846999563153</c:v>
                </c:pt>
                <c:pt idx="13">
                  <c:v>0.19864817888210329</c:v>
                </c:pt>
                <c:pt idx="14">
                  <c:v>0.26845631325876451</c:v>
                </c:pt>
                <c:pt idx="15">
                  <c:v>0.2505055200786781</c:v>
                </c:pt>
                <c:pt idx="16">
                  <c:v>0.29869407937531012</c:v>
                </c:pt>
                <c:pt idx="17">
                  <c:v>0.27614649453079587</c:v>
                </c:pt>
                <c:pt idx="18">
                  <c:v>0.32282571683576822</c:v>
                </c:pt>
                <c:pt idx="19">
                  <c:v>0.2720631850434756</c:v>
                </c:pt>
                <c:pt idx="20">
                  <c:v>0.41983287358890853</c:v>
                </c:pt>
                <c:pt idx="21">
                  <c:v>0.49591005970936575</c:v>
                </c:pt>
                <c:pt idx="22">
                  <c:v>0.47083325332526504</c:v>
                </c:pt>
                <c:pt idx="23">
                  <c:v>0.5020914016249336</c:v>
                </c:pt>
                <c:pt idx="24">
                  <c:v>0.44283362500062262</c:v>
                </c:pt>
                <c:pt idx="25">
                  <c:v>0.33464616286748394</c:v>
                </c:pt>
                <c:pt idx="26">
                  <c:v>0.29555086453035107</c:v>
                </c:pt>
                <c:pt idx="27">
                  <c:v>0.31228951982033926</c:v>
                </c:pt>
                <c:pt idx="28">
                  <c:v>0.30701535917231171</c:v>
                </c:pt>
                <c:pt idx="29">
                  <c:v>0.2541848801208606</c:v>
                </c:pt>
                <c:pt idx="30">
                  <c:v>0.26219984761186876</c:v>
                </c:pt>
                <c:pt idx="31">
                  <c:v>0.25557294760806415</c:v>
                </c:pt>
                <c:pt idx="32">
                  <c:v>0.26934070147530664</c:v>
                </c:pt>
                <c:pt idx="33">
                  <c:v>0.39157146347943939</c:v>
                </c:pt>
                <c:pt idx="34">
                  <c:v>0.37555528158142781</c:v>
                </c:pt>
                <c:pt idx="35">
                  <c:v>0.42778400104152592</c:v>
                </c:pt>
                <c:pt idx="36">
                  <c:v>0.51522458638605051</c:v>
                </c:pt>
                <c:pt idx="37">
                  <c:v>0.6646176495618028</c:v>
                </c:pt>
                <c:pt idx="38">
                  <c:v>0.76600236183853676</c:v>
                </c:pt>
                <c:pt idx="39">
                  <c:v>0.77846178734378579</c:v>
                </c:pt>
                <c:pt idx="40">
                  <c:v>0.7778073707832045</c:v>
                </c:pt>
                <c:pt idx="41">
                  <c:v>0.84473442219187911</c:v>
                </c:pt>
                <c:pt idx="42">
                  <c:v>1.0022322870424571</c:v>
                </c:pt>
                <c:pt idx="43">
                  <c:v>1.0713224750034569</c:v>
                </c:pt>
                <c:pt idx="44">
                  <c:v>1.1541580763964499</c:v>
                </c:pt>
                <c:pt idx="45">
                  <c:v>1.113912187849234</c:v>
                </c:pt>
                <c:pt idx="46">
                  <c:v>1.07509456313415</c:v>
                </c:pt>
                <c:pt idx="47">
                  <c:v>1.0768010553735694</c:v>
                </c:pt>
                <c:pt idx="48">
                  <c:v>1.1080945403412583</c:v>
                </c:pt>
                <c:pt idx="49">
                  <c:v>0.99563071293441818</c:v>
                </c:pt>
                <c:pt idx="50">
                  <c:v>1.0307970099949535</c:v>
                </c:pt>
                <c:pt idx="51">
                  <c:v>1.15616680529814</c:v>
                </c:pt>
                <c:pt idx="52">
                  <c:v>1.1349910933559029</c:v>
                </c:pt>
                <c:pt idx="53">
                  <c:v>1.2274955213106824</c:v>
                </c:pt>
                <c:pt idx="54">
                  <c:v>1.3250310069998306</c:v>
                </c:pt>
                <c:pt idx="55">
                  <c:v>1.4198237337651136</c:v>
                </c:pt>
                <c:pt idx="56">
                  <c:v>1.5199421599382812</c:v>
                </c:pt>
                <c:pt idx="57">
                  <c:v>1.5334055949458434</c:v>
                </c:pt>
                <c:pt idx="58">
                  <c:v>1.6605450940670807</c:v>
                </c:pt>
                <c:pt idx="59">
                  <c:v>1.6072883678317376</c:v>
                </c:pt>
                <c:pt idx="60">
                  <c:v>1.592703844203712</c:v>
                </c:pt>
                <c:pt idx="61">
                  <c:v>1.7475861819400706</c:v>
                </c:pt>
                <c:pt idx="62">
                  <c:v>1.8554487639826971</c:v>
                </c:pt>
                <c:pt idx="63">
                  <c:v>1.915231975744041</c:v>
                </c:pt>
                <c:pt idx="64">
                  <c:v>2.0132101403766445</c:v>
                </c:pt>
                <c:pt idx="65">
                  <c:v>2.0604383930751897</c:v>
                </c:pt>
                <c:pt idx="66">
                  <c:v>2.1089265218083906</c:v>
                </c:pt>
                <c:pt idx="67">
                  <c:v>2.0220959775954563</c:v>
                </c:pt>
                <c:pt idx="68">
                  <c:v>1.8966972626585012</c:v>
                </c:pt>
                <c:pt idx="69">
                  <c:v>2.1110904080593409</c:v>
                </c:pt>
                <c:pt idx="70">
                  <c:v>2.0835422147120264</c:v>
                </c:pt>
                <c:pt idx="71">
                  <c:v>2.1628730665252602</c:v>
                </c:pt>
                <c:pt idx="72">
                  <c:v>2.2024341191866941</c:v>
                </c:pt>
                <c:pt idx="73">
                  <c:v>2.378474356958864</c:v>
                </c:pt>
                <c:pt idx="74">
                  <c:v>2.3561889489743519</c:v>
                </c:pt>
                <c:pt idx="75">
                  <c:v>2.5576745870652093</c:v>
                </c:pt>
                <c:pt idx="76">
                  <c:v>2.6766952796532602</c:v>
                </c:pt>
                <c:pt idx="77">
                  <c:v>2.758051782943852</c:v>
                </c:pt>
                <c:pt idx="78">
                  <c:v>2.7099709648379839</c:v>
                </c:pt>
                <c:pt idx="79">
                  <c:v>3.073610112755385</c:v>
                </c:pt>
                <c:pt idx="80">
                  <c:v>2.7796717716713615</c:v>
                </c:pt>
                <c:pt idx="81">
                  <c:v>3.1286514489316986</c:v>
                </c:pt>
                <c:pt idx="82">
                  <c:v>3.3477467121958133</c:v>
                </c:pt>
                <c:pt idx="83">
                  <c:v>3.6288780678794357</c:v>
                </c:pt>
                <c:pt idx="84">
                  <c:v>3.1387503442198872</c:v>
                </c:pt>
                <c:pt idx="85">
                  <c:v>3.0201012497016393</c:v>
                </c:pt>
                <c:pt idx="86">
                  <c:v>3.0764484537047494</c:v>
                </c:pt>
                <c:pt idx="87">
                  <c:v>3.3302887149828475</c:v>
                </c:pt>
                <c:pt idx="88">
                  <c:v>3.4690312103087049</c:v>
                </c:pt>
                <c:pt idx="89">
                  <c:v>3.3661242199682748</c:v>
                </c:pt>
                <c:pt idx="90">
                  <c:v>3.0448310932142189</c:v>
                </c:pt>
                <c:pt idx="91">
                  <c:v>3.4485429805845369</c:v>
                </c:pt>
                <c:pt idx="92">
                  <c:v>3.6852571952172308</c:v>
                </c:pt>
                <c:pt idx="93">
                  <c:v>3.947205884550816</c:v>
                </c:pt>
                <c:pt idx="94">
                  <c:v>4.2392252012672618</c:v>
                </c:pt>
                <c:pt idx="95">
                  <c:v>4.3392974232903443</c:v>
                </c:pt>
                <c:pt idx="96">
                  <c:v>4.1048109500207293</c:v>
                </c:pt>
                <c:pt idx="97">
                  <c:v>4.2209235257245474</c:v>
                </c:pt>
                <c:pt idx="98">
                  <c:v>4.2031808307716032</c:v>
                </c:pt>
                <c:pt idx="99">
                  <c:v>4.392053219267229</c:v>
                </c:pt>
                <c:pt idx="100">
                  <c:v>4.2369825121162918</c:v>
                </c:pt>
                <c:pt idx="101">
                  <c:v>4.5724822730461039</c:v>
                </c:pt>
                <c:pt idx="102">
                  <c:v>4.4370470524840355</c:v>
                </c:pt>
                <c:pt idx="103">
                  <c:v>4.3089443889528214</c:v>
                </c:pt>
                <c:pt idx="104">
                  <c:v>4.434408596987212</c:v>
                </c:pt>
                <c:pt idx="105">
                  <c:v>4.343335789922266</c:v>
                </c:pt>
                <c:pt idx="106">
                  <c:v>4.3721059107200979</c:v>
                </c:pt>
                <c:pt idx="107">
                  <c:v>4.1794802937659954</c:v>
                </c:pt>
                <c:pt idx="108">
                  <c:v>4.2387675070366635</c:v>
                </c:pt>
                <c:pt idx="109">
                  <c:v>4.2637817692362168</c:v>
                </c:pt>
                <c:pt idx="110">
                  <c:v>3.9553356341354284</c:v>
                </c:pt>
                <c:pt idx="111">
                  <c:v>3.9604085314766966</c:v>
                </c:pt>
                <c:pt idx="112">
                  <c:v>4.0550087956698473</c:v>
                </c:pt>
                <c:pt idx="113">
                  <c:v>3.978348770622131</c:v>
                </c:pt>
                <c:pt idx="114">
                  <c:v>4.0057509418976789</c:v>
                </c:pt>
                <c:pt idx="115">
                  <c:v>4.219308770899092</c:v>
                </c:pt>
                <c:pt idx="116">
                  <c:v>4.4352610385988891</c:v>
                </c:pt>
                <c:pt idx="117">
                  <c:v>4.6719107625492819</c:v>
                </c:pt>
                <c:pt idx="118">
                  <c:v>4.1650242353578042</c:v>
                </c:pt>
                <c:pt idx="119">
                  <c:v>4.4368208236891249</c:v>
                </c:pt>
                <c:pt idx="120">
                  <c:v>4.2462879475111706</c:v>
                </c:pt>
                <c:pt idx="121">
                  <c:v>4.012739190392927</c:v>
                </c:pt>
                <c:pt idx="122">
                  <c:v>3.7875922672160716</c:v>
                </c:pt>
                <c:pt idx="123">
                  <c:v>4.3059082785950187</c:v>
                </c:pt>
                <c:pt idx="124">
                  <c:v>4.827714469707832</c:v>
                </c:pt>
                <c:pt idx="125">
                  <c:v>4.2336867598808832</c:v>
                </c:pt>
                <c:pt idx="126">
                  <c:v>4.4325515741128401</c:v>
                </c:pt>
                <c:pt idx="127">
                  <c:v>4.3136787985375618</c:v>
                </c:pt>
                <c:pt idx="128">
                  <c:v>4.7287050939404276</c:v>
                </c:pt>
                <c:pt idx="129">
                  <c:v>4.9187682511458855</c:v>
                </c:pt>
                <c:pt idx="130">
                  <c:v>4.9547507051908388</c:v>
                </c:pt>
                <c:pt idx="131">
                  <c:v>4.3436163720408612</c:v>
                </c:pt>
                <c:pt idx="132">
                  <c:v>4.4444352202510924</c:v>
                </c:pt>
                <c:pt idx="133">
                  <c:v>4.825308419896138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F1-F54A-8327-B775A96E12D0}"/>
            </c:ext>
          </c:extLst>
        </c:ser>
        <c:ser>
          <c:idx val="3"/>
          <c:order val="3"/>
          <c:tx>
            <c:strRef>
              <c:f>NN3再投資累積報酬!$A$15:$B$15</c:f>
              <c:strCache>
                <c:ptCount val="2"/>
                <c:pt idx="0">
                  <c:v>10</c:v>
                </c:pt>
                <c:pt idx="1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NN3再投資累積報酬!$C$10:$EF$11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NN3再投資累積報酬!$C$15:$EF$15</c:f>
              <c:numCache>
                <c:formatCode>General</c:formatCode>
                <c:ptCount val="134"/>
                <c:pt idx="0">
                  <c:v>-9.650314199451604E-2</c:v>
                </c:pt>
                <c:pt idx="1">
                  <c:v>0.24023890090365052</c:v>
                </c:pt>
                <c:pt idx="2">
                  <c:v>0.22759041591301465</c:v>
                </c:pt>
                <c:pt idx="3">
                  <c:v>0.33844747738587322</c:v>
                </c:pt>
                <c:pt idx="4">
                  <c:v>0.2572881331690311</c:v>
                </c:pt>
                <c:pt idx="5">
                  <c:v>0.40670978698262461</c:v>
                </c:pt>
                <c:pt idx="6">
                  <c:v>0.58498057090616706</c:v>
                </c:pt>
                <c:pt idx="7">
                  <c:v>0.48271096755290333</c:v>
                </c:pt>
                <c:pt idx="8">
                  <c:v>5.7773969766444999E-2</c:v>
                </c:pt>
                <c:pt idx="9">
                  <c:v>9.2213509016221495E-2</c:v>
                </c:pt>
                <c:pt idx="10">
                  <c:v>-0.11365934439715875</c:v>
                </c:pt>
                <c:pt idx="11">
                  <c:v>0.17910748301875357</c:v>
                </c:pt>
                <c:pt idx="12">
                  <c:v>0.23346846486210882</c:v>
                </c:pt>
                <c:pt idx="13">
                  <c:v>0.29882181792328399</c:v>
                </c:pt>
                <c:pt idx="14">
                  <c:v>0.42919339577660587</c:v>
                </c:pt>
                <c:pt idx="15">
                  <c:v>0.45313981696152195</c:v>
                </c:pt>
                <c:pt idx="16">
                  <c:v>0.39060597933432661</c:v>
                </c:pt>
                <c:pt idx="17">
                  <c:v>0.32199389749576479</c:v>
                </c:pt>
                <c:pt idx="18">
                  <c:v>0.38384827336752481</c:v>
                </c:pt>
                <c:pt idx="19">
                  <c:v>0.26527959976608595</c:v>
                </c:pt>
                <c:pt idx="20">
                  <c:v>0.40058176765523235</c:v>
                </c:pt>
                <c:pt idx="21">
                  <c:v>0.51043849947392195</c:v>
                </c:pt>
                <c:pt idx="22">
                  <c:v>0.47390144530319755</c:v>
                </c:pt>
                <c:pt idx="23">
                  <c:v>0.43903453793281599</c:v>
                </c:pt>
                <c:pt idx="24">
                  <c:v>0.36120989950845295</c:v>
                </c:pt>
                <c:pt idx="25">
                  <c:v>0.26048662851036508</c:v>
                </c:pt>
                <c:pt idx="26">
                  <c:v>0.20999808870270797</c:v>
                </c:pt>
                <c:pt idx="27">
                  <c:v>0.18708522242828418</c:v>
                </c:pt>
                <c:pt idx="28">
                  <c:v>0.24321725942193906</c:v>
                </c:pt>
                <c:pt idx="29">
                  <c:v>0.16138918115715528</c:v>
                </c:pt>
                <c:pt idx="30">
                  <c:v>0.15007144358677871</c:v>
                </c:pt>
                <c:pt idx="31">
                  <c:v>0.1887188737650709</c:v>
                </c:pt>
                <c:pt idx="32">
                  <c:v>0.27701382103926853</c:v>
                </c:pt>
                <c:pt idx="33">
                  <c:v>0.28235608065820417</c:v>
                </c:pt>
                <c:pt idx="34">
                  <c:v>0.23491134215040388</c:v>
                </c:pt>
                <c:pt idx="35">
                  <c:v>0.28978050611708395</c:v>
                </c:pt>
                <c:pt idx="36">
                  <c:v>0.360876589592384</c:v>
                </c:pt>
                <c:pt idx="37">
                  <c:v>0.49926236889449127</c:v>
                </c:pt>
                <c:pt idx="38">
                  <c:v>0.59427034404486867</c:v>
                </c:pt>
                <c:pt idx="39">
                  <c:v>0.61432977236770991</c:v>
                </c:pt>
                <c:pt idx="40">
                  <c:v>0.55400690707289146</c:v>
                </c:pt>
                <c:pt idx="41">
                  <c:v>0.69432418214870739</c:v>
                </c:pt>
                <c:pt idx="42">
                  <c:v>0.78551470730304462</c:v>
                </c:pt>
                <c:pt idx="43">
                  <c:v>0.90202845283787836</c:v>
                </c:pt>
                <c:pt idx="44">
                  <c:v>0.97800167192917553</c:v>
                </c:pt>
                <c:pt idx="45">
                  <c:v>0.88458694631760593</c:v>
                </c:pt>
                <c:pt idx="46">
                  <c:v>0.91409946341691573</c:v>
                </c:pt>
                <c:pt idx="47">
                  <c:v>0.92206594538365683</c:v>
                </c:pt>
                <c:pt idx="48">
                  <c:v>0.97591659019918198</c:v>
                </c:pt>
                <c:pt idx="49">
                  <c:v>0.79546940604041949</c:v>
                </c:pt>
                <c:pt idx="50">
                  <c:v>0.81452564716811726</c:v>
                </c:pt>
                <c:pt idx="51">
                  <c:v>1.019067807741715</c:v>
                </c:pt>
                <c:pt idx="52">
                  <c:v>1.1445632574069924</c:v>
                </c:pt>
                <c:pt idx="53">
                  <c:v>1.2583179136757932</c:v>
                </c:pt>
                <c:pt idx="54">
                  <c:v>1.3677169783371808</c:v>
                </c:pt>
                <c:pt idx="55">
                  <c:v>1.4805694240350693</c:v>
                </c:pt>
                <c:pt idx="56">
                  <c:v>1.4867448976999826</c:v>
                </c:pt>
                <c:pt idx="57">
                  <c:v>1.572392981218945</c:v>
                </c:pt>
                <c:pt idx="58">
                  <c:v>1.748824821731549</c:v>
                </c:pt>
                <c:pt idx="59">
                  <c:v>1.7178592356561011</c:v>
                </c:pt>
                <c:pt idx="60">
                  <c:v>1.7200980783650506</c:v>
                </c:pt>
                <c:pt idx="61">
                  <c:v>1.8816824346480971</c:v>
                </c:pt>
                <c:pt idx="62">
                  <c:v>2.0742503485790977</c:v>
                </c:pt>
                <c:pt idx="63">
                  <c:v>2.1976586575742174</c:v>
                </c:pt>
                <c:pt idx="64">
                  <c:v>2.2863440447247863</c:v>
                </c:pt>
                <c:pt idx="65">
                  <c:v>2.3329582739769421</c:v>
                </c:pt>
                <c:pt idx="66">
                  <c:v>2.375629909752198</c:v>
                </c:pt>
                <c:pt idx="67">
                  <c:v>2.2063169918114975</c:v>
                </c:pt>
                <c:pt idx="68">
                  <c:v>2.1523746283061893</c:v>
                </c:pt>
                <c:pt idx="69">
                  <c:v>2.4331257612453769</c:v>
                </c:pt>
                <c:pt idx="70">
                  <c:v>2.4999907597831452</c:v>
                </c:pt>
                <c:pt idx="71">
                  <c:v>2.7061926025299874</c:v>
                </c:pt>
                <c:pt idx="72">
                  <c:v>2.5729702104410355</c:v>
                </c:pt>
                <c:pt idx="73">
                  <c:v>2.6752854104602095</c:v>
                </c:pt>
                <c:pt idx="74">
                  <c:v>2.4485420161356237</c:v>
                </c:pt>
                <c:pt idx="75">
                  <c:v>2.8034192981361632</c:v>
                </c:pt>
                <c:pt idx="76">
                  <c:v>2.9173807702242867</c:v>
                </c:pt>
                <c:pt idx="77">
                  <c:v>2.9763643572855134</c:v>
                </c:pt>
                <c:pt idx="78">
                  <c:v>2.3706914371605783</c:v>
                </c:pt>
                <c:pt idx="79">
                  <c:v>2.7756870377319456</c:v>
                </c:pt>
                <c:pt idx="80">
                  <c:v>2.3357569382128922</c:v>
                </c:pt>
                <c:pt idx="81">
                  <c:v>2.6505077894292715</c:v>
                </c:pt>
                <c:pt idx="82">
                  <c:v>2.6348146972290496</c:v>
                </c:pt>
                <c:pt idx="83">
                  <c:v>2.86339350264798</c:v>
                </c:pt>
                <c:pt idx="84">
                  <c:v>2.7134999586296704</c:v>
                </c:pt>
                <c:pt idx="85">
                  <c:v>2.3902607459546856</c:v>
                </c:pt>
                <c:pt idx="86">
                  <c:v>2.582395792285229</c:v>
                </c:pt>
                <c:pt idx="87">
                  <c:v>2.6949617432863331</c:v>
                </c:pt>
                <c:pt idx="88">
                  <c:v>2.9707208622397299</c:v>
                </c:pt>
                <c:pt idx="89">
                  <c:v>2.8014326891928594</c:v>
                </c:pt>
                <c:pt idx="90">
                  <c:v>2.309340934422127</c:v>
                </c:pt>
                <c:pt idx="91">
                  <c:v>2.7314004952261111</c:v>
                </c:pt>
                <c:pt idx="92">
                  <c:v>2.8708728231056799</c:v>
                </c:pt>
                <c:pt idx="93">
                  <c:v>3.0575923875503737</c:v>
                </c:pt>
                <c:pt idx="94">
                  <c:v>3.3017992851820619</c:v>
                </c:pt>
                <c:pt idx="95">
                  <c:v>3.3336092625256981</c:v>
                </c:pt>
                <c:pt idx="96">
                  <c:v>3.0598176367250778</c:v>
                </c:pt>
                <c:pt idx="97">
                  <c:v>3.0348828583388689</c:v>
                </c:pt>
                <c:pt idx="98">
                  <c:v>2.9845087169846249</c:v>
                </c:pt>
                <c:pt idx="99">
                  <c:v>3.0802947408415067</c:v>
                </c:pt>
                <c:pt idx="100">
                  <c:v>2.907001876842314</c:v>
                </c:pt>
                <c:pt idx="101">
                  <c:v>3.2191203323960638</c:v>
                </c:pt>
                <c:pt idx="102">
                  <c:v>3.1078375087993102</c:v>
                </c:pt>
                <c:pt idx="103">
                  <c:v>2.9836714727351765</c:v>
                </c:pt>
                <c:pt idx="104">
                  <c:v>3.1233993470908272</c:v>
                </c:pt>
                <c:pt idx="105">
                  <c:v>2.9197294359331964</c:v>
                </c:pt>
                <c:pt idx="106">
                  <c:v>3.0175216475080413</c:v>
                </c:pt>
                <c:pt idx="107">
                  <c:v>2.8472136563823263</c:v>
                </c:pt>
                <c:pt idx="108">
                  <c:v>2.9095259434527834</c:v>
                </c:pt>
                <c:pt idx="109">
                  <c:v>2.8363825794003423</c:v>
                </c:pt>
                <c:pt idx="110">
                  <c:v>2.7914261257628676</c:v>
                </c:pt>
                <c:pt idx="111">
                  <c:v>2.5948260724192633</c:v>
                </c:pt>
                <c:pt idx="112">
                  <c:v>2.9606888993836242</c:v>
                </c:pt>
                <c:pt idx="113">
                  <c:v>3.2087686055271094</c:v>
                </c:pt>
                <c:pt idx="114">
                  <c:v>3.1085639409272448</c:v>
                </c:pt>
                <c:pt idx="115">
                  <c:v>3.2893263637690264</c:v>
                </c:pt>
                <c:pt idx="116">
                  <c:v>3.4879081364491915</c:v>
                </c:pt>
                <c:pt idx="117">
                  <c:v>3.5944313378194446</c:v>
                </c:pt>
                <c:pt idx="118">
                  <c:v>3.1577724142130483</c:v>
                </c:pt>
                <c:pt idx="119">
                  <c:v>3.4488604168005379</c:v>
                </c:pt>
                <c:pt idx="120">
                  <c:v>3.1096708083659621</c:v>
                </c:pt>
                <c:pt idx="121">
                  <c:v>2.8131020376681555</c:v>
                </c:pt>
                <c:pt idx="122">
                  <c:v>2.638573577836945</c:v>
                </c:pt>
                <c:pt idx="123">
                  <c:v>3.1471310284196825</c:v>
                </c:pt>
                <c:pt idx="124">
                  <c:v>3.2530430614835533</c:v>
                </c:pt>
                <c:pt idx="125">
                  <c:v>2.7485630396774345</c:v>
                </c:pt>
                <c:pt idx="126">
                  <c:v>3.1479318218760159</c:v>
                </c:pt>
                <c:pt idx="127">
                  <c:v>3.0694519394229554</c:v>
                </c:pt>
                <c:pt idx="128">
                  <c:v>3.1807055718189403</c:v>
                </c:pt>
                <c:pt idx="129">
                  <c:v>3.3835474408454411</c:v>
                </c:pt>
                <c:pt idx="130">
                  <c:v>3.6732203918107329</c:v>
                </c:pt>
                <c:pt idx="131">
                  <c:v>3.1434778864582054</c:v>
                </c:pt>
                <c:pt idx="132">
                  <c:v>3.0761653705715766</c:v>
                </c:pt>
                <c:pt idx="133">
                  <c:v>3.3439734754639554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F1-F54A-8327-B775A96E12D0}"/>
            </c:ext>
          </c:extLst>
        </c:ser>
        <c:ser>
          <c:idx val="4"/>
          <c:order val="4"/>
          <c:tx>
            <c:strRef>
              <c:f>NN3再投資累積報酬!$A$16:$B$16</c:f>
              <c:strCache>
                <c:ptCount val="2"/>
                <c:pt idx="0">
                  <c:v>9</c:v>
                </c:pt>
                <c:pt idx="1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NN3再投資累積報酬!$C$10:$EF$11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NN3再投資累積報酬!$C$16:$EF$16</c:f>
              <c:numCache>
                <c:formatCode>General</c:formatCode>
                <c:ptCount val="134"/>
                <c:pt idx="0">
                  <c:v>-2.738364461037901E-2</c:v>
                </c:pt>
                <c:pt idx="1">
                  <c:v>0.36963392085182312</c:v>
                </c:pt>
                <c:pt idx="2">
                  <c:v>0.36575761496464887</c:v>
                </c:pt>
                <c:pt idx="3">
                  <c:v>0.53546756670523288</c:v>
                </c:pt>
                <c:pt idx="4">
                  <c:v>0.42230934181553148</c:v>
                </c:pt>
                <c:pt idx="5">
                  <c:v>0.52592283898870851</c:v>
                </c:pt>
                <c:pt idx="6">
                  <c:v>0.69650880500493395</c:v>
                </c:pt>
                <c:pt idx="7">
                  <c:v>0.57996977165881658</c:v>
                </c:pt>
                <c:pt idx="8">
                  <c:v>0.13019890741941298</c:v>
                </c:pt>
                <c:pt idx="9">
                  <c:v>0.1413726580087864</c:v>
                </c:pt>
                <c:pt idx="10">
                  <c:v>-8.1053226454965377E-2</c:v>
                </c:pt>
                <c:pt idx="11">
                  <c:v>0.25618910996958277</c:v>
                </c:pt>
                <c:pt idx="12">
                  <c:v>0.27581217963298532</c:v>
                </c:pt>
                <c:pt idx="13">
                  <c:v>0.35488673501281998</c:v>
                </c:pt>
                <c:pt idx="14">
                  <c:v>0.48579574080678811</c:v>
                </c:pt>
                <c:pt idx="15">
                  <c:v>0.51429693506060636</c:v>
                </c:pt>
                <c:pt idx="16">
                  <c:v>0.45006786230479578</c:v>
                </c:pt>
                <c:pt idx="17">
                  <c:v>0.41638649159243668</c:v>
                </c:pt>
                <c:pt idx="18">
                  <c:v>0.48529322227957827</c:v>
                </c:pt>
                <c:pt idx="19">
                  <c:v>0.3303545297323236</c:v>
                </c:pt>
                <c:pt idx="20">
                  <c:v>0.4346189965597147</c:v>
                </c:pt>
                <c:pt idx="21">
                  <c:v>0.54031933319457348</c:v>
                </c:pt>
                <c:pt idx="22">
                  <c:v>0.53371358816087233</c:v>
                </c:pt>
                <c:pt idx="23">
                  <c:v>0.50292309499019638</c:v>
                </c:pt>
                <c:pt idx="24">
                  <c:v>0.43756452274576052</c:v>
                </c:pt>
                <c:pt idx="25">
                  <c:v>0.33547444059844755</c:v>
                </c:pt>
                <c:pt idx="26">
                  <c:v>0.28066642117023832</c:v>
                </c:pt>
                <c:pt idx="27">
                  <c:v>0.2792294803416413</c:v>
                </c:pt>
                <c:pt idx="28">
                  <c:v>0.34515329238156744</c:v>
                </c:pt>
                <c:pt idx="29">
                  <c:v>0.2594860715548486</c:v>
                </c:pt>
                <c:pt idx="30">
                  <c:v>0.24903037796038752</c:v>
                </c:pt>
                <c:pt idx="31">
                  <c:v>0.28870632808981522</c:v>
                </c:pt>
                <c:pt idx="32">
                  <c:v>0.40536403421708167</c:v>
                </c:pt>
                <c:pt idx="33">
                  <c:v>0.38058746629383444</c:v>
                </c:pt>
                <c:pt idx="34">
                  <c:v>0.36956163459218971</c:v>
                </c:pt>
                <c:pt idx="35">
                  <c:v>0.43624412940137036</c:v>
                </c:pt>
                <c:pt idx="36">
                  <c:v>0.53114644581823867</c:v>
                </c:pt>
                <c:pt idx="37">
                  <c:v>0.69414647822086062</c:v>
                </c:pt>
                <c:pt idx="38">
                  <c:v>0.79820886967060223</c:v>
                </c:pt>
                <c:pt idx="39">
                  <c:v>0.8076322833516183</c:v>
                </c:pt>
                <c:pt idx="40">
                  <c:v>0.73809953814971996</c:v>
                </c:pt>
                <c:pt idx="41">
                  <c:v>0.91762988876970186</c:v>
                </c:pt>
                <c:pt idx="42">
                  <c:v>1.0424066627477915</c:v>
                </c:pt>
                <c:pt idx="43">
                  <c:v>1.1436021028902301</c:v>
                </c:pt>
                <c:pt idx="44">
                  <c:v>1.2332622013306729</c:v>
                </c:pt>
                <c:pt idx="45">
                  <c:v>1.2130009148675409</c:v>
                </c:pt>
                <c:pt idx="46">
                  <c:v>1.2998676850339743</c:v>
                </c:pt>
                <c:pt idx="47">
                  <c:v>1.2841008143487969</c:v>
                </c:pt>
                <c:pt idx="48">
                  <c:v>1.3613321783475092</c:v>
                </c:pt>
                <c:pt idx="49">
                  <c:v>1.1136056809813182</c:v>
                </c:pt>
                <c:pt idx="50">
                  <c:v>1.1451472406089129</c:v>
                </c:pt>
                <c:pt idx="51">
                  <c:v>1.3769066406335151</c:v>
                </c:pt>
                <c:pt idx="52">
                  <c:v>1.5364480991539451</c:v>
                </c:pt>
                <c:pt idx="53">
                  <c:v>1.6275997028443969</c:v>
                </c:pt>
                <c:pt idx="54">
                  <c:v>1.7626872164382541</c:v>
                </c:pt>
                <c:pt idx="55">
                  <c:v>1.940239748532699</c:v>
                </c:pt>
                <c:pt idx="56">
                  <c:v>1.9798544279532932</c:v>
                </c:pt>
                <c:pt idx="57">
                  <c:v>1.9388051021354822</c:v>
                </c:pt>
                <c:pt idx="58">
                  <c:v>2.0606003758420783</c:v>
                </c:pt>
                <c:pt idx="59">
                  <c:v>1.9978463880194961</c:v>
                </c:pt>
                <c:pt idx="60">
                  <c:v>2.0067559583911816</c:v>
                </c:pt>
                <c:pt idx="61">
                  <c:v>2.2191037853851081</c:v>
                </c:pt>
                <c:pt idx="62">
                  <c:v>2.4815376001319605</c:v>
                </c:pt>
                <c:pt idx="63">
                  <c:v>2.6483235576085087</c:v>
                </c:pt>
                <c:pt idx="64">
                  <c:v>2.728186673511968</c:v>
                </c:pt>
                <c:pt idx="65">
                  <c:v>2.8058939526476219</c:v>
                </c:pt>
                <c:pt idx="66">
                  <c:v>2.8686075350638833</c:v>
                </c:pt>
                <c:pt idx="67">
                  <c:v>2.7668753506596939</c:v>
                </c:pt>
                <c:pt idx="68">
                  <c:v>2.7171843389340866</c:v>
                </c:pt>
                <c:pt idx="69">
                  <c:v>3.0349411187568585</c:v>
                </c:pt>
                <c:pt idx="70">
                  <c:v>3.2680199370710303</c:v>
                </c:pt>
                <c:pt idx="71">
                  <c:v>3.5271367174344395</c:v>
                </c:pt>
                <c:pt idx="72">
                  <c:v>3.229518551043582</c:v>
                </c:pt>
                <c:pt idx="73">
                  <c:v>3.3629989315959961</c:v>
                </c:pt>
                <c:pt idx="74">
                  <c:v>3.14238941920597</c:v>
                </c:pt>
                <c:pt idx="75">
                  <c:v>3.6043729140071701</c:v>
                </c:pt>
                <c:pt idx="76">
                  <c:v>3.7306754674113005</c:v>
                </c:pt>
                <c:pt idx="77">
                  <c:v>3.7239198500144504</c:v>
                </c:pt>
                <c:pt idx="78">
                  <c:v>2.9724740412520814</c:v>
                </c:pt>
                <c:pt idx="79">
                  <c:v>3.5884906423317542</c:v>
                </c:pt>
                <c:pt idx="80">
                  <c:v>2.9800794466613172</c:v>
                </c:pt>
                <c:pt idx="81">
                  <c:v>3.3987888353093183</c:v>
                </c:pt>
                <c:pt idx="82">
                  <c:v>3.3751298658438049</c:v>
                </c:pt>
                <c:pt idx="83">
                  <c:v>3.5575614702394933</c:v>
                </c:pt>
                <c:pt idx="84">
                  <c:v>3.3811388043003179</c:v>
                </c:pt>
                <c:pt idx="85">
                  <c:v>3.1816938094349352</c:v>
                </c:pt>
                <c:pt idx="86">
                  <c:v>3.5014804120362193</c:v>
                </c:pt>
                <c:pt idx="87">
                  <c:v>3.5729579895348582</c:v>
                </c:pt>
                <c:pt idx="88">
                  <c:v>3.9798992476089134</c:v>
                </c:pt>
                <c:pt idx="89">
                  <c:v>3.815276152830676</c:v>
                </c:pt>
                <c:pt idx="90">
                  <c:v>2.9367196070976891</c:v>
                </c:pt>
                <c:pt idx="91">
                  <c:v>3.4746002580327211</c:v>
                </c:pt>
                <c:pt idx="92">
                  <c:v>3.6600080298080613</c:v>
                </c:pt>
                <c:pt idx="93">
                  <c:v>3.8850853303901722</c:v>
                </c:pt>
                <c:pt idx="94">
                  <c:v>4.2102325058941039</c:v>
                </c:pt>
                <c:pt idx="95">
                  <c:v>4.2366348719653644</c:v>
                </c:pt>
                <c:pt idx="96">
                  <c:v>3.9044507488580882</c:v>
                </c:pt>
                <c:pt idx="97">
                  <c:v>3.8222958819942114</c:v>
                </c:pt>
                <c:pt idx="98">
                  <c:v>3.777958924341652</c:v>
                </c:pt>
                <c:pt idx="99">
                  <c:v>3.8364425021197039</c:v>
                </c:pt>
                <c:pt idx="100">
                  <c:v>3.5988907181933554</c:v>
                </c:pt>
                <c:pt idx="101">
                  <c:v>4.0708898612056021</c:v>
                </c:pt>
                <c:pt idx="102">
                  <c:v>3.9197530336618254</c:v>
                </c:pt>
                <c:pt idx="103">
                  <c:v>3.7096197068112788</c:v>
                </c:pt>
                <c:pt idx="104">
                  <c:v>3.9118619026529373</c:v>
                </c:pt>
                <c:pt idx="105">
                  <c:v>3.5676831462614338</c:v>
                </c:pt>
                <c:pt idx="106">
                  <c:v>3.7250141252880171</c:v>
                </c:pt>
                <c:pt idx="107">
                  <c:v>3.6156469013472146</c:v>
                </c:pt>
                <c:pt idx="108">
                  <c:v>3.6823566042975973</c:v>
                </c:pt>
                <c:pt idx="109">
                  <c:v>3.592786196808583</c:v>
                </c:pt>
                <c:pt idx="110">
                  <c:v>3.5320079018596191</c:v>
                </c:pt>
                <c:pt idx="111">
                  <c:v>3.3999388192309059</c:v>
                </c:pt>
                <c:pt idx="112">
                  <c:v>3.9877458149779752</c:v>
                </c:pt>
                <c:pt idx="113">
                  <c:v>4.3125130884291334</c:v>
                </c:pt>
                <c:pt idx="114">
                  <c:v>4.1513795208534603</c:v>
                </c:pt>
                <c:pt idx="115">
                  <c:v>4.369993009558093</c:v>
                </c:pt>
                <c:pt idx="116">
                  <c:v>4.655794281089932</c:v>
                </c:pt>
                <c:pt idx="117">
                  <c:v>4.7680162603899996</c:v>
                </c:pt>
                <c:pt idx="118">
                  <c:v>4.2890767704421044</c:v>
                </c:pt>
                <c:pt idx="119">
                  <c:v>4.5809875374731801</c:v>
                </c:pt>
                <c:pt idx="120">
                  <c:v>4.057758431152986</c:v>
                </c:pt>
                <c:pt idx="121">
                  <c:v>3.5492810985301828</c:v>
                </c:pt>
                <c:pt idx="122">
                  <c:v>3.2559719601407533</c:v>
                </c:pt>
                <c:pt idx="123">
                  <c:v>3.8388432034451139</c:v>
                </c:pt>
                <c:pt idx="124">
                  <c:v>4.0368376817028668</c:v>
                </c:pt>
                <c:pt idx="125">
                  <c:v>3.4057989519491798</c:v>
                </c:pt>
                <c:pt idx="126">
                  <c:v>3.9184327587519139</c:v>
                </c:pt>
                <c:pt idx="127">
                  <c:v>3.7645985447441266</c:v>
                </c:pt>
                <c:pt idx="128">
                  <c:v>3.9869212477543083</c:v>
                </c:pt>
                <c:pt idx="129">
                  <c:v>4.378946312401979</c:v>
                </c:pt>
                <c:pt idx="130">
                  <c:v>4.7206818879452745</c:v>
                </c:pt>
                <c:pt idx="131">
                  <c:v>4.060419390962644</c:v>
                </c:pt>
                <c:pt idx="132">
                  <c:v>3.943570706612376</c:v>
                </c:pt>
                <c:pt idx="133">
                  <c:v>4.1535459136185482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F1-F54A-8327-B775A96E12D0}"/>
            </c:ext>
          </c:extLst>
        </c:ser>
        <c:ser>
          <c:idx val="5"/>
          <c:order val="5"/>
          <c:tx>
            <c:strRef>
              <c:f>NN3再投資累積報酬!$A$17:$B$17</c:f>
              <c:strCache>
                <c:ptCount val="2"/>
                <c:pt idx="0">
                  <c:v>8</c:v>
                </c:pt>
                <c:pt idx="1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NN3再投資累積報酬!$C$10:$EF$11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NN3再投資累積報酬!$C$17:$EF$17</c:f>
              <c:numCache>
                <c:formatCode>General</c:formatCode>
                <c:ptCount val="134"/>
                <c:pt idx="0">
                  <c:v>-4.1028984252961864E-2</c:v>
                </c:pt>
                <c:pt idx="1">
                  <c:v>0.38052352623137797</c:v>
                </c:pt>
                <c:pt idx="2">
                  <c:v>0.39071041139573781</c:v>
                </c:pt>
                <c:pt idx="3">
                  <c:v>0.59482775989711301</c:v>
                </c:pt>
                <c:pt idx="4">
                  <c:v>0.48123971414310818</c:v>
                </c:pt>
                <c:pt idx="5">
                  <c:v>0.63676210761963525</c:v>
                </c:pt>
                <c:pt idx="6">
                  <c:v>0.7472259546913036</c:v>
                </c:pt>
                <c:pt idx="7">
                  <c:v>0.54577364135757267</c:v>
                </c:pt>
                <c:pt idx="8">
                  <c:v>8.6946982611246781E-2</c:v>
                </c:pt>
                <c:pt idx="9">
                  <c:v>9.7502204660610214E-2</c:v>
                </c:pt>
                <c:pt idx="10">
                  <c:v>-0.15156480847729314</c:v>
                </c:pt>
                <c:pt idx="11">
                  <c:v>0.19214328719888552</c:v>
                </c:pt>
                <c:pt idx="12">
                  <c:v>0.22150830966707913</c:v>
                </c:pt>
                <c:pt idx="13">
                  <c:v>0.31546138474781604</c:v>
                </c:pt>
                <c:pt idx="14">
                  <c:v>0.45546906414731492</c:v>
                </c:pt>
                <c:pt idx="15">
                  <c:v>0.45834361554900593</c:v>
                </c:pt>
                <c:pt idx="16">
                  <c:v>0.37794257992246205</c:v>
                </c:pt>
                <c:pt idx="17">
                  <c:v>0.34554938902517729</c:v>
                </c:pt>
                <c:pt idx="18">
                  <c:v>0.41590598005954682</c:v>
                </c:pt>
                <c:pt idx="19">
                  <c:v>0.25115806276147068</c:v>
                </c:pt>
                <c:pt idx="20">
                  <c:v>0.35017737055929676</c:v>
                </c:pt>
                <c:pt idx="21">
                  <c:v>0.48544674692266443</c:v>
                </c:pt>
                <c:pt idx="22">
                  <c:v>0.48767361727714498</c:v>
                </c:pt>
                <c:pt idx="23">
                  <c:v>0.45552722191821182</c:v>
                </c:pt>
                <c:pt idx="24">
                  <c:v>0.40427841470330872</c:v>
                </c:pt>
                <c:pt idx="25">
                  <c:v>0.32236071105560038</c:v>
                </c:pt>
                <c:pt idx="26">
                  <c:v>0.26840955111015408</c:v>
                </c:pt>
                <c:pt idx="27">
                  <c:v>0.24061509026831995</c:v>
                </c:pt>
                <c:pt idx="28">
                  <c:v>0.31436128323291213</c:v>
                </c:pt>
                <c:pt idx="29">
                  <c:v>0.23362097635292645</c:v>
                </c:pt>
                <c:pt idx="30">
                  <c:v>0.23195404600862957</c:v>
                </c:pt>
                <c:pt idx="31">
                  <c:v>0.27565468272119342</c:v>
                </c:pt>
                <c:pt idx="32">
                  <c:v>0.42218291730879853</c:v>
                </c:pt>
                <c:pt idx="33">
                  <c:v>0.39059872353547531</c:v>
                </c:pt>
                <c:pt idx="34">
                  <c:v>0.37206951701888635</c:v>
                </c:pt>
                <c:pt idx="35">
                  <c:v>0.44166692791537843</c:v>
                </c:pt>
                <c:pt idx="36">
                  <c:v>0.55032445254440088</c:v>
                </c:pt>
                <c:pt idx="37">
                  <c:v>0.72595624537501746</c:v>
                </c:pt>
                <c:pt idx="38">
                  <c:v>0.74775910216417452</c:v>
                </c:pt>
                <c:pt idx="39">
                  <c:v>0.75432936556898533</c:v>
                </c:pt>
                <c:pt idx="40">
                  <c:v>0.64814483101170661</c:v>
                </c:pt>
                <c:pt idx="41">
                  <c:v>0.83591914161834402</c:v>
                </c:pt>
                <c:pt idx="42">
                  <c:v>0.93932464728156639</c:v>
                </c:pt>
                <c:pt idx="43">
                  <c:v>1.0406888925888551</c:v>
                </c:pt>
                <c:pt idx="44">
                  <c:v>1.1520197103383496</c:v>
                </c:pt>
                <c:pt idx="45">
                  <c:v>1.106384189575389</c:v>
                </c:pt>
                <c:pt idx="46">
                  <c:v>1.124123921393088</c:v>
                </c:pt>
                <c:pt idx="47">
                  <c:v>1.1466234385149545</c:v>
                </c:pt>
                <c:pt idx="48">
                  <c:v>1.2054917886017233</c:v>
                </c:pt>
                <c:pt idx="49">
                  <c:v>0.92945772453579134</c:v>
                </c:pt>
                <c:pt idx="50">
                  <c:v>0.94841499225895798</c:v>
                </c:pt>
                <c:pt idx="51">
                  <c:v>1.189558748332856</c:v>
                </c:pt>
                <c:pt idx="52">
                  <c:v>1.3731821409975837</c:v>
                </c:pt>
                <c:pt idx="53">
                  <c:v>1.4262381453998065</c:v>
                </c:pt>
                <c:pt idx="54">
                  <c:v>1.6139082536737037</c:v>
                </c:pt>
                <c:pt idx="55">
                  <c:v>1.7581894456419742</c:v>
                </c:pt>
                <c:pt idx="56">
                  <c:v>1.6605654372273895</c:v>
                </c:pt>
                <c:pt idx="57">
                  <c:v>1.6965348474995126</c:v>
                </c:pt>
                <c:pt idx="58">
                  <c:v>1.9314352440118063</c:v>
                </c:pt>
                <c:pt idx="59">
                  <c:v>1.9025369669635075</c:v>
                </c:pt>
                <c:pt idx="60">
                  <c:v>1.8624153375874615</c:v>
                </c:pt>
                <c:pt idx="61">
                  <c:v>2.0842037701574072</c:v>
                </c:pt>
                <c:pt idx="62">
                  <c:v>2.3185963802900855</c:v>
                </c:pt>
                <c:pt idx="63">
                  <c:v>2.4742900737053359</c:v>
                </c:pt>
                <c:pt idx="64">
                  <c:v>2.5965142623444302</c:v>
                </c:pt>
                <c:pt idx="65">
                  <c:v>2.7259743165588306</c:v>
                </c:pt>
                <c:pt idx="66">
                  <c:v>2.7683629022943723</c:v>
                </c:pt>
                <c:pt idx="67">
                  <c:v>2.7320118601326495</c:v>
                </c:pt>
                <c:pt idx="68">
                  <c:v>2.7166976647441778</c:v>
                </c:pt>
                <c:pt idx="69">
                  <c:v>3.1233652645766439</c:v>
                </c:pt>
                <c:pt idx="70">
                  <c:v>3.4166512417585997</c:v>
                </c:pt>
                <c:pt idx="71">
                  <c:v>3.7267456637744889</c:v>
                </c:pt>
                <c:pt idx="72">
                  <c:v>3.3465654150159523</c:v>
                </c:pt>
                <c:pt idx="73">
                  <c:v>3.4718463161900504</c:v>
                </c:pt>
                <c:pt idx="74">
                  <c:v>3.0951135321189653</c:v>
                </c:pt>
                <c:pt idx="75">
                  <c:v>3.5888947699455471</c:v>
                </c:pt>
                <c:pt idx="76">
                  <c:v>3.7136949257208318</c:v>
                </c:pt>
                <c:pt idx="77">
                  <c:v>3.6643062090826399</c:v>
                </c:pt>
                <c:pt idx="78">
                  <c:v>2.8482486446740523</c:v>
                </c:pt>
                <c:pt idx="79">
                  <c:v>3.5138407344038161</c:v>
                </c:pt>
                <c:pt idx="80">
                  <c:v>2.7233938921827416</c:v>
                </c:pt>
                <c:pt idx="81">
                  <c:v>3.0910648805557202</c:v>
                </c:pt>
                <c:pt idx="82">
                  <c:v>3.0275424862863733</c:v>
                </c:pt>
                <c:pt idx="83">
                  <c:v>3.2637032662411292</c:v>
                </c:pt>
                <c:pt idx="84">
                  <c:v>3.2017466053386663</c:v>
                </c:pt>
                <c:pt idx="85">
                  <c:v>2.9885402282944087</c:v>
                </c:pt>
                <c:pt idx="86">
                  <c:v>3.3544432158268043</c:v>
                </c:pt>
                <c:pt idx="87">
                  <c:v>3.3133967327972513</c:v>
                </c:pt>
                <c:pt idx="88">
                  <c:v>3.8938477034030718</c:v>
                </c:pt>
                <c:pt idx="89">
                  <c:v>3.7630935811999313</c:v>
                </c:pt>
                <c:pt idx="90">
                  <c:v>2.7983831457385411</c:v>
                </c:pt>
                <c:pt idx="91">
                  <c:v>3.3611488167426709</c:v>
                </c:pt>
                <c:pt idx="92">
                  <c:v>3.5403394079278723</c:v>
                </c:pt>
                <c:pt idx="93">
                  <c:v>3.7704278757186671</c:v>
                </c:pt>
                <c:pt idx="94">
                  <c:v>4.2324038932002033</c:v>
                </c:pt>
                <c:pt idx="95">
                  <c:v>4.4901524040302796</c:v>
                </c:pt>
                <c:pt idx="96">
                  <c:v>4.0816394552722537</c:v>
                </c:pt>
                <c:pt idx="97">
                  <c:v>4.1013542240507768</c:v>
                </c:pt>
                <c:pt idx="98">
                  <c:v>4.0005420071352251</c:v>
                </c:pt>
                <c:pt idx="99">
                  <c:v>4.0544098184696589</c:v>
                </c:pt>
                <c:pt idx="100">
                  <c:v>3.8048063885706336</c:v>
                </c:pt>
                <c:pt idx="101">
                  <c:v>4.4017979984333575</c:v>
                </c:pt>
                <c:pt idx="102">
                  <c:v>4.1646814343636596</c:v>
                </c:pt>
                <c:pt idx="103">
                  <c:v>3.9845217961490933</c:v>
                </c:pt>
                <c:pt idx="104">
                  <c:v>4.200667952424074</c:v>
                </c:pt>
                <c:pt idx="105">
                  <c:v>3.7579146349694987</c:v>
                </c:pt>
                <c:pt idx="106">
                  <c:v>3.965946914815734</c:v>
                </c:pt>
                <c:pt idx="107">
                  <c:v>3.9101725259929072</c:v>
                </c:pt>
                <c:pt idx="108">
                  <c:v>3.9011413343980257</c:v>
                </c:pt>
                <c:pt idx="109">
                  <c:v>3.7113365447429274</c:v>
                </c:pt>
                <c:pt idx="110">
                  <c:v>3.6863982893200387</c:v>
                </c:pt>
                <c:pt idx="111">
                  <c:v>3.4739349981763965</c:v>
                </c:pt>
                <c:pt idx="112">
                  <c:v>4.1720318349174486</c:v>
                </c:pt>
                <c:pt idx="113">
                  <c:v>4.5522568633275844</c:v>
                </c:pt>
                <c:pt idx="114">
                  <c:v>4.2621352819180771</c:v>
                </c:pt>
                <c:pt idx="115">
                  <c:v>4.4488833730853443</c:v>
                </c:pt>
                <c:pt idx="116">
                  <c:v>4.7401336561990703</c:v>
                </c:pt>
                <c:pt idx="117">
                  <c:v>4.6453152110050233</c:v>
                </c:pt>
                <c:pt idx="118">
                  <c:v>4.0373008256446097</c:v>
                </c:pt>
                <c:pt idx="119">
                  <c:v>4.3188094497621341</c:v>
                </c:pt>
                <c:pt idx="120">
                  <c:v>3.6575954842341662</c:v>
                </c:pt>
                <c:pt idx="121">
                  <c:v>3.223791932774291</c:v>
                </c:pt>
                <c:pt idx="122">
                  <c:v>2.9208163552259623</c:v>
                </c:pt>
                <c:pt idx="123">
                  <c:v>3.3825528542190888</c:v>
                </c:pt>
                <c:pt idx="124">
                  <c:v>3.5959020283033922</c:v>
                </c:pt>
                <c:pt idx="125">
                  <c:v>3.0005535554438998</c:v>
                </c:pt>
                <c:pt idx="126">
                  <c:v>3.4491694495203244</c:v>
                </c:pt>
                <c:pt idx="127">
                  <c:v>3.3075605163552959</c:v>
                </c:pt>
                <c:pt idx="128">
                  <c:v>3.3584669385845327</c:v>
                </c:pt>
                <c:pt idx="129">
                  <c:v>3.7380909308889718</c:v>
                </c:pt>
                <c:pt idx="130">
                  <c:v>3.8159151036182699</c:v>
                </c:pt>
                <c:pt idx="131">
                  <c:v>3.1979154759376032</c:v>
                </c:pt>
                <c:pt idx="132">
                  <c:v>3.0912323373965336</c:v>
                </c:pt>
                <c:pt idx="133">
                  <c:v>3.2864240789968937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F1-F54A-8327-B775A96E12D0}"/>
            </c:ext>
          </c:extLst>
        </c:ser>
        <c:ser>
          <c:idx val="6"/>
          <c:order val="6"/>
          <c:tx>
            <c:strRef>
              <c:f>NN3再投資累積報酬!$A$18:$B$18</c:f>
              <c:strCache>
                <c:ptCount val="2"/>
                <c:pt idx="0">
                  <c:v>7</c:v>
                </c:pt>
                <c:pt idx="1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NN3再投資累積報酬!$C$10:$EF$11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NN3再投資累積報酬!$C$18:$EF$18</c:f>
              <c:numCache>
                <c:formatCode>General</c:formatCode>
                <c:ptCount val="134"/>
                <c:pt idx="0">
                  <c:v>-5.3942228163147199E-2</c:v>
                </c:pt>
                <c:pt idx="1">
                  <c:v>0.32626325341373463</c:v>
                </c:pt>
                <c:pt idx="2">
                  <c:v>0.24801284997711748</c:v>
                </c:pt>
                <c:pt idx="3">
                  <c:v>0.51270496505406427</c:v>
                </c:pt>
                <c:pt idx="4">
                  <c:v>0.39048710643780504</c:v>
                </c:pt>
                <c:pt idx="5">
                  <c:v>0.56922031909932058</c:v>
                </c:pt>
                <c:pt idx="6">
                  <c:v>0.65545301077179174</c:v>
                </c:pt>
                <c:pt idx="7">
                  <c:v>0.44825509298387067</c:v>
                </c:pt>
                <c:pt idx="8">
                  <c:v>-7.1208082942337603E-2</c:v>
                </c:pt>
                <c:pt idx="9">
                  <c:v>-5.9150054095553628E-2</c:v>
                </c:pt>
                <c:pt idx="10">
                  <c:v>-0.29766761202449243</c:v>
                </c:pt>
                <c:pt idx="11">
                  <c:v>2.6683832389951201E-2</c:v>
                </c:pt>
                <c:pt idx="12">
                  <c:v>5.1657036598123263E-2</c:v>
                </c:pt>
                <c:pt idx="13">
                  <c:v>0.10904566061184373</c:v>
                </c:pt>
                <c:pt idx="14">
                  <c:v>0.24405945341888025</c:v>
                </c:pt>
                <c:pt idx="15">
                  <c:v>0.26810285730676986</c:v>
                </c:pt>
                <c:pt idx="16">
                  <c:v>0.18058691250035563</c:v>
                </c:pt>
                <c:pt idx="17">
                  <c:v>0.17464906629629851</c:v>
                </c:pt>
                <c:pt idx="18">
                  <c:v>0.20769613970645029</c:v>
                </c:pt>
                <c:pt idx="19">
                  <c:v>4.9182398281559569E-2</c:v>
                </c:pt>
                <c:pt idx="20">
                  <c:v>0.13028105012152924</c:v>
                </c:pt>
                <c:pt idx="21">
                  <c:v>0.27396609099357128</c:v>
                </c:pt>
                <c:pt idx="22">
                  <c:v>0.30481117599355168</c:v>
                </c:pt>
                <c:pt idx="23">
                  <c:v>0.28275259745699444</c:v>
                </c:pt>
                <c:pt idx="24">
                  <c:v>0.2292550858712743</c:v>
                </c:pt>
                <c:pt idx="25">
                  <c:v>0.15339283750181432</c:v>
                </c:pt>
                <c:pt idx="26">
                  <c:v>6.7211489454084061E-2</c:v>
                </c:pt>
                <c:pt idx="27">
                  <c:v>3.8828369832715204E-2</c:v>
                </c:pt>
                <c:pt idx="28">
                  <c:v>0.11902695881217062</c:v>
                </c:pt>
                <c:pt idx="29">
                  <c:v>8.3359744620937093E-2</c:v>
                </c:pt>
                <c:pt idx="30">
                  <c:v>7.4023505107471577E-2</c:v>
                </c:pt>
                <c:pt idx="31">
                  <c:v>0.11719652303329653</c:v>
                </c:pt>
                <c:pt idx="32">
                  <c:v>0.24912227045071633</c:v>
                </c:pt>
                <c:pt idx="33">
                  <c:v>0.23996852400681479</c:v>
                </c:pt>
                <c:pt idx="34">
                  <c:v>0.27380885927220588</c:v>
                </c:pt>
                <c:pt idx="35">
                  <c:v>0.33435014564837107</c:v>
                </c:pt>
                <c:pt idx="36">
                  <c:v>0.42327578338341776</c:v>
                </c:pt>
                <c:pt idx="37">
                  <c:v>0.53613392418376349</c:v>
                </c:pt>
                <c:pt idx="38">
                  <c:v>0.54447134477233017</c:v>
                </c:pt>
                <c:pt idx="39">
                  <c:v>0.54758455772586401</c:v>
                </c:pt>
                <c:pt idx="40">
                  <c:v>0.42961087867626113</c:v>
                </c:pt>
                <c:pt idx="41">
                  <c:v>0.60766248946296963</c:v>
                </c:pt>
                <c:pt idx="42">
                  <c:v>0.74564261699624557</c:v>
                </c:pt>
                <c:pt idx="43">
                  <c:v>0.82127371773210345</c:v>
                </c:pt>
                <c:pt idx="44">
                  <c:v>0.9388836410998862</c:v>
                </c:pt>
                <c:pt idx="45">
                  <c:v>0.88310437094602845</c:v>
                </c:pt>
                <c:pt idx="46">
                  <c:v>0.9293120504798813</c:v>
                </c:pt>
                <c:pt idx="47">
                  <c:v>0.99414520385622174</c:v>
                </c:pt>
                <c:pt idx="48">
                  <c:v>1.0635081121328618</c:v>
                </c:pt>
                <c:pt idx="49">
                  <c:v>0.75726476670917431</c:v>
                </c:pt>
                <c:pt idx="50">
                  <c:v>0.75837590441872949</c:v>
                </c:pt>
                <c:pt idx="51">
                  <c:v>1.0004269720458399</c:v>
                </c:pt>
                <c:pt idx="52">
                  <c:v>1.1668656419781485</c:v>
                </c:pt>
                <c:pt idx="53">
                  <c:v>1.1148256080105243</c:v>
                </c:pt>
                <c:pt idx="54">
                  <c:v>1.2593976523612591</c:v>
                </c:pt>
                <c:pt idx="55">
                  <c:v>1.3630690659562124</c:v>
                </c:pt>
                <c:pt idx="56">
                  <c:v>1.3233547571995712</c:v>
                </c:pt>
                <c:pt idx="57">
                  <c:v>1.3709924817562849</c:v>
                </c:pt>
                <c:pt idx="58">
                  <c:v>1.6294306786718242</c:v>
                </c:pt>
                <c:pt idx="59">
                  <c:v>1.6450917362102366</c:v>
                </c:pt>
                <c:pt idx="60">
                  <c:v>1.4916678343822491</c:v>
                </c:pt>
                <c:pt idx="61">
                  <c:v>1.6938857997533376</c:v>
                </c:pt>
                <c:pt idx="62">
                  <c:v>1.9707470547810528</c:v>
                </c:pt>
                <c:pt idx="63">
                  <c:v>2.1275264173239141</c:v>
                </c:pt>
                <c:pt idx="64">
                  <c:v>2.1907884457529176</c:v>
                </c:pt>
                <c:pt idx="65">
                  <c:v>2.3403009440492224</c:v>
                </c:pt>
                <c:pt idx="66">
                  <c:v>2.3467035798208897</c:v>
                </c:pt>
                <c:pt idx="67">
                  <c:v>2.3274660797759648</c:v>
                </c:pt>
                <c:pt idx="68">
                  <c:v>2.3142107023907563</c:v>
                </c:pt>
                <c:pt idx="69">
                  <c:v>2.6961295660399989</c:v>
                </c:pt>
                <c:pt idx="70">
                  <c:v>2.9943238522689315</c:v>
                </c:pt>
                <c:pt idx="71">
                  <c:v>3.3175581002306087</c:v>
                </c:pt>
                <c:pt idx="72">
                  <c:v>2.9492225258027132</c:v>
                </c:pt>
                <c:pt idx="73">
                  <c:v>3.0243307145576903</c:v>
                </c:pt>
                <c:pt idx="74">
                  <c:v>2.5290363091556221</c:v>
                </c:pt>
                <c:pt idx="75">
                  <c:v>3.0701081130302876</c:v>
                </c:pt>
                <c:pt idx="76">
                  <c:v>3.2055851502365975</c:v>
                </c:pt>
                <c:pt idx="77">
                  <c:v>3.1022229842352154</c:v>
                </c:pt>
                <c:pt idx="78">
                  <c:v>2.9866492346337679</c:v>
                </c:pt>
                <c:pt idx="79">
                  <c:v>3.7589302414278443</c:v>
                </c:pt>
                <c:pt idx="80">
                  <c:v>2.9121911236424616</c:v>
                </c:pt>
                <c:pt idx="81">
                  <c:v>3.1931552684140438</c:v>
                </c:pt>
                <c:pt idx="82">
                  <c:v>3.1814087354185148</c:v>
                </c:pt>
                <c:pt idx="83">
                  <c:v>3.8615443313138886</c:v>
                </c:pt>
                <c:pt idx="84">
                  <c:v>3.6725802846784603</c:v>
                </c:pt>
                <c:pt idx="85">
                  <c:v>3.3814146222079815</c:v>
                </c:pt>
                <c:pt idx="86">
                  <c:v>3.7786677780693934</c:v>
                </c:pt>
                <c:pt idx="87">
                  <c:v>3.6305790376427769</c:v>
                </c:pt>
                <c:pt idx="88">
                  <c:v>4.2957549704077422</c:v>
                </c:pt>
                <c:pt idx="89">
                  <c:v>4.1099467665098244</c:v>
                </c:pt>
                <c:pt idx="90">
                  <c:v>2.9266165746080297</c:v>
                </c:pt>
                <c:pt idx="91">
                  <c:v>3.5660233187976917</c:v>
                </c:pt>
                <c:pt idx="92">
                  <c:v>3.7850853027929885</c:v>
                </c:pt>
                <c:pt idx="93">
                  <c:v>4.0490120836737109</c:v>
                </c:pt>
                <c:pt idx="94">
                  <c:v>4.4429725952792243</c:v>
                </c:pt>
                <c:pt idx="95">
                  <c:v>4.9356455947884097</c:v>
                </c:pt>
                <c:pt idx="96">
                  <c:v>4.5103643564644438</c:v>
                </c:pt>
                <c:pt idx="97">
                  <c:v>5.01202948266869</c:v>
                </c:pt>
                <c:pt idx="98">
                  <c:v>4.9611912469467914</c:v>
                </c:pt>
                <c:pt idx="99">
                  <c:v>5.3281632878995264</c:v>
                </c:pt>
                <c:pt idx="100">
                  <c:v>5.0031651874884844</c:v>
                </c:pt>
                <c:pt idx="101">
                  <c:v>5.8006428398679697</c:v>
                </c:pt>
                <c:pt idx="102">
                  <c:v>5.4784219927839484</c:v>
                </c:pt>
                <c:pt idx="103">
                  <c:v>5.1821300110349107</c:v>
                </c:pt>
                <c:pt idx="104">
                  <c:v>5.4072138317834924</c:v>
                </c:pt>
                <c:pt idx="105">
                  <c:v>4.8788598998662547</c:v>
                </c:pt>
                <c:pt idx="106">
                  <c:v>5.1679436931780058</c:v>
                </c:pt>
                <c:pt idx="107">
                  <c:v>4.9518018067958529</c:v>
                </c:pt>
                <c:pt idx="108">
                  <c:v>4.9064522126894516</c:v>
                </c:pt>
                <c:pt idx="109">
                  <c:v>4.7408470272975523</c:v>
                </c:pt>
                <c:pt idx="110">
                  <c:v>4.6483354059404238</c:v>
                </c:pt>
                <c:pt idx="111">
                  <c:v>4.3930078275296331</c:v>
                </c:pt>
                <c:pt idx="112">
                  <c:v>5.2478730592092075</c:v>
                </c:pt>
                <c:pt idx="113">
                  <c:v>5.7564358242560276</c:v>
                </c:pt>
                <c:pt idx="114">
                  <c:v>5.3070778396094234</c:v>
                </c:pt>
                <c:pt idx="115">
                  <c:v>5.201610479830407</c:v>
                </c:pt>
                <c:pt idx="116">
                  <c:v>5.4627287157486881</c:v>
                </c:pt>
                <c:pt idx="117">
                  <c:v>5.3295662168402762</c:v>
                </c:pt>
                <c:pt idx="118">
                  <c:v>4.692006238961417</c:v>
                </c:pt>
                <c:pt idx="119">
                  <c:v>5.1293837253293004</c:v>
                </c:pt>
                <c:pt idx="120">
                  <c:v>4.2239389121461297</c:v>
                </c:pt>
                <c:pt idx="121">
                  <c:v>3.6178711534597587</c:v>
                </c:pt>
                <c:pt idx="122">
                  <c:v>3.1704216687661049</c:v>
                </c:pt>
                <c:pt idx="123">
                  <c:v>3.6109875528075266</c:v>
                </c:pt>
                <c:pt idx="124">
                  <c:v>3.9886675133975134</c:v>
                </c:pt>
                <c:pt idx="125">
                  <c:v>3.2223933297692993</c:v>
                </c:pt>
                <c:pt idx="126">
                  <c:v>3.6337728232290658</c:v>
                </c:pt>
                <c:pt idx="127">
                  <c:v>3.2838471698123648</c:v>
                </c:pt>
                <c:pt idx="128">
                  <c:v>3.256595207255975</c:v>
                </c:pt>
                <c:pt idx="129">
                  <c:v>3.6816008212203624</c:v>
                </c:pt>
                <c:pt idx="130">
                  <c:v>3.6945413062657293</c:v>
                </c:pt>
                <c:pt idx="131">
                  <c:v>3.1758976691823646</c:v>
                </c:pt>
                <c:pt idx="132">
                  <c:v>3.1180458102507949</c:v>
                </c:pt>
                <c:pt idx="133">
                  <c:v>3.3196448133531016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F1-F54A-8327-B775A96E12D0}"/>
            </c:ext>
          </c:extLst>
        </c:ser>
        <c:ser>
          <c:idx val="7"/>
          <c:order val="7"/>
          <c:tx>
            <c:strRef>
              <c:f>NN3再投資累積報酬!$A$19:$B$19</c:f>
              <c:strCache>
                <c:ptCount val="2"/>
                <c:pt idx="0">
                  <c:v>6</c:v>
                </c:pt>
                <c:pt idx="1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NN3再投資累積報酬!$C$10:$EF$11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NN3再投資累積報酬!$C$19:$EF$19</c:f>
              <c:numCache>
                <c:formatCode>General</c:formatCode>
                <c:ptCount val="134"/>
                <c:pt idx="0">
                  <c:v>-7.7959416087486244E-2</c:v>
                </c:pt>
                <c:pt idx="1">
                  <c:v>0.29779179205598671</c:v>
                </c:pt>
                <c:pt idx="2">
                  <c:v>0.22654549656511924</c:v>
                </c:pt>
                <c:pt idx="3">
                  <c:v>0.5162197686101504</c:v>
                </c:pt>
                <c:pt idx="4">
                  <c:v>0.36837000922214891</c:v>
                </c:pt>
                <c:pt idx="5">
                  <c:v>0.61140643462176314</c:v>
                </c:pt>
                <c:pt idx="6">
                  <c:v>0.68788915536369433</c:v>
                </c:pt>
                <c:pt idx="7">
                  <c:v>0.4241916391955205</c:v>
                </c:pt>
                <c:pt idx="8">
                  <c:v>-0.17160163051445432</c:v>
                </c:pt>
                <c:pt idx="9">
                  <c:v>-0.13593994420143041</c:v>
                </c:pt>
                <c:pt idx="10">
                  <c:v>-0.36192765129508131</c:v>
                </c:pt>
                <c:pt idx="11">
                  <c:v>-2.2234203689474596E-2</c:v>
                </c:pt>
                <c:pt idx="12">
                  <c:v>-4.1591033159034008E-2</c:v>
                </c:pt>
                <c:pt idx="13">
                  <c:v>-1.9753365379907128E-2</c:v>
                </c:pt>
                <c:pt idx="14">
                  <c:v>0.14734372369285054</c:v>
                </c:pt>
                <c:pt idx="15">
                  <c:v>0.19546676149569975</c:v>
                </c:pt>
                <c:pt idx="16">
                  <c:v>0.10138810998857384</c:v>
                </c:pt>
                <c:pt idx="17">
                  <c:v>-1.9243441969459596E-2</c:v>
                </c:pt>
                <c:pt idx="18">
                  <c:v>2.4090469249988145E-2</c:v>
                </c:pt>
                <c:pt idx="19">
                  <c:v>-9.7452171957242761E-2</c:v>
                </c:pt>
                <c:pt idx="20">
                  <c:v>-3.2093418866336432E-2</c:v>
                </c:pt>
                <c:pt idx="21">
                  <c:v>8.6885207077410875E-2</c:v>
                </c:pt>
                <c:pt idx="22">
                  <c:v>0.11303802007764219</c:v>
                </c:pt>
                <c:pt idx="23">
                  <c:v>8.8302976157456747E-2</c:v>
                </c:pt>
                <c:pt idx="24">
                  <c:v>4.3062020605167062E-2</c:v>
                </c:pt>
                <c:pt idx="25">
                  <c:v>-2.0317035421854479E-2</c:v>
                </c:pt>
                <c:pt idx="26">
                  <c:v>-0.10213313556217507</c:v>
                </c:pt>
                <c:pt idx="27">
                  <c:v>-0.13363832184992075</c:v>
                </c:pt>
                <c:pt idx="28">
                  <c:v>-3.3806454921396001E-2</c:v>
                </c:pt>
                <c:pt idx="29">
                  <c:v>-7.1280915833724423E-2</c:v>
                </c:pt>
                <c:pt idx="30">
                  <c:v>-5.3358030587941419E-2</c:v>
                </c:pt>
                <c:pt idx="31">
                  <c:v>1.818763349783481E-4</c:v>
                </c:pt>
                <c:pt idx="32">
                  <c:v>9.1747860325527952E-2</c:v>
                </c:pt>
                <c:pt idx="33">
                  <c:v>0.10503042871020174</c:v>
                </c:pt>
                <c:pt idx="34">
                  <c:v>0.15924395822967674</c:v>
                </c:pt>
                <c:pt idx="35">
                  <c:v>0.24070512743764394</c:v>
                </c:pt>
                <c:pt idx="36">
                  <c:v>0.29418697731544174</c:v>
                </c:pt>
                <c:pt idx="37">
                  <c:v>0.40233997559997103</c:v>
                </c:pt>
                <c:pt idx="38">
                  <c:v>0.4386506286248899</c:v>
                </c:pt>
                <c:pt idx="39">
                  <c:v>0.45262424218072361</c:v>
                </c:pt>
                <c:pt idx="40">
                  <c:v>0.32442614783513646</c:v>
                </c:pt>
                <c:pt idx="41">
                  <c:v>0.52774882151419478</c:v>
                </c:pt>
                <c:pt idx="42">
                  <c:v>0.67715800467303855</c:v>
                </c:pt>
                <c:pt idx="43">
                  <c:v>0.75983347793159606</c:v>
                </c:pt>
                <c:pt idx="44">
                  <c:v>0.89433529051980121</c:v>
                </c:pt>
                <c:pt idx="45">
                  <c:v>0.79955597372220844</c:v>
                </c:pt>
                <c:pt idx="46">
                  <c:v>0.83978714967352275</c:v>
                </c:pt>
                <c:pt idx="47">
                  <c:v>0.95765311341735715</c:v>
                </c:pt>
                <c:pt idx="48">
                  <c:v>1.0154605942439661</c:v>
                </c:pt>
                <c:pt idx="49">
                  <c:v>0.63881208795865185</c:v>
                </c:pt>
                <c:pt idx="50">
                  <c:v>0.58249613954550861</c:v>
                </c:pt>
                <c:pt idx="51">
                  <c:v>0.83529388288469986</c:v>
                </c:pt>
                <c:pt idx="52">
                  <c:v>0.95285452514105895</c:v>
                </c:pt>
                <c:pt idx="53">
                  <c:v>0.94653822685734745</c:v>
                </c:pt>
                <c:pt idx="54">
                  <c:v>1.0460683741384762</c:v>
                </c:pt>
                <c:pt idx="55">
                  <c:v>1.0738355151512793</c:v>
                </c:pt>
                <c:pt idx="56">
                  <c:v>1.0399414560531333</c:v>
                </c:pt>
                <c:pt idx="57">
                  <c:v>1.0440584693705595</c:v>
                </c:pt>
                <c:pt idx="58">
                  <c:v>1.3052863389824281</c:v>
                </c:pt>
                <c:pt idx="59">
                  <c:v>1.3553278846754866</c:v>
                </c:pt>
                <c:pt idx="60">
                  <c:v>1.2334407828522753</c:v>
                </c:pt>
                <c:pt idx="61">
                  <c:v>1.4120371115435155</c:v>
                </c:pt>
                <c:pt idx="62">
                  <c:v>1.6876137993836124</c:v>
                </c:pt>
                <c:pt idx="63">
                  <c:v>1.868362942761733</c:v>
                </c:pt>
                <c:pt idx="64">
                  <c:v>1.9421629418103423</c:v>
                </c:pt>
                <c:pt idx="65">
                  <c:v>2.1269861093859821</c:v>
                </c:pt>
                <c:pt idx="66">
                  <c:v>2.1580497284046731</c:v>
                </c:pt>
                <c:pt idx="67">
                  <c:v>2.1791304872962849</c:v>
                </c:pt>
                <c:pt idx="68">
                  <c:v>2.102016421283516</c:v>
                </c:pt>
                <c:pt idx="69">
                  <c:v>2.5413633199796917</c:v>
                </c:pt>
                <c:pt idx="70">
                  <c:v>2.8102811747573848</c:v>
                </c:pt>
                <c:pt idx="71">
                  <c:v>3.1671339770413436</c:v>
                </c:pt>
                <c:pt idx="72">
                  <c:v>2.7130540498846045</c:v>
                </c:pt>
                <c:pt idx="73">
                  <c:v>2.8396238390398745</c:v>
                </c:pt>
                <c:pt idx="74">
                  <c:v>2.4262893442944451</c:v>
                </c:pt>
                <c:pt idx="75">
                  <c:v>2.6616827025026351</c:v>
                </c:pt>
                <c:pt idx="76">
                  <c:v>2.792075833819204</c:v>
                </c:pt>
                <c:pt idx="77">
                  <c:v>2.6099000796906529</c:v>
                </c:pt>
                <c:pt idx="78">
                  <c:v>2.5206516075610801</c:v>
                </c:pt>
                <c:pt idx="79">
                  <c:v>3.2797716839507594</c:v>
                </c:pt>
                <c:pt idx="80">
                  <c:v>2.4312392023441909</c:v>
                </c:pt>
                <c:pt idx="81">
                  <c:v>2.7054103024772691</c:v>
                </c:pt>
                <c:pt idx="82">
                  <c:v>2.5177922987101797</c:v>
                </c:pt>
                <c:pt idx="83">
                  <c:v>3.0556270955692337</c:v>
                </c:pt>
                <c:pt idx="84">
                  <c:v>2.9052973843719401</c:v>
                </c:pt>
                <c:pt idx="85">
                  <c:v>2.6634013118678888</c:v>
                </c:pt>
                <c:pt idx="86">
                  <c:v>3.0442767857109567</c:v>
                </c:pt>
                <c:pt idx="87">
                  <c:v>2.8694011252012714</c:v>
                </c:pt>
                <c:pt idx="88">
                  <c:v>3.5478914868389486</c:v>
                </c:pt>
                <c:pt idx="89">
                  <c:v>3.1980101216175987</c:v>
                </c:pt>
                <c:pt idx="90">
                  <c:v>2.054243773307832</c:v>
                </c:pt>
                <c:pt idx="91">
                  <c:v>2.539968098502583</c:v>
                </c:pt>
                <c:pt idx="92">
                  <c:v>2.5303043107235914</c:v>
                </c:pt>
                <c:pt idx="93">
                  <c:v>2.7057399223183536</c:v>
                </c:pt>
                <c:pt idx="94">
                  <c:v>2.9306814888117598</c:v>
                </c:pt>
                <c:pt idx="95">
                  <c:v>3.4126633299166222</c:v>
                </c:pt>
                <c:pt idx="96">
                  <c:v>3.0444865999917861</c:v>
                </c:pt>
                <c:pt idx="97">
                  <c:v>3.4569427833638988</c:v>
                </c:pt>
                <c:pt idx="98">
                  <c:v>3.3593276792277429</c:v>
                </c:pt>
                <c:pt idx="99">
                  <c:v>3.6105763371692881</c:v>
                </c:pt>
                <c:pt idx="100">
                  <c:v>3.2835856435679993</c:v>
                </c:pt>
                <c:pt idx="101">
                  <c:v>3.7669961165869701</c:v>
                </c:pt>
                <c:pt idx="102">
                  <c:v>3.4894431224500018</c:v>
                </c:pt>
                <c:pt idx="103">
                  <c:v>3.3290761779935165</c:v>
                </c:pt>
                <c:pt idx="104">
                  <c:v>3.1767818759212538</c:v>
                </c:pt>
                <c:pt idx="105">
                  <c:v>2.7329681609215664</c:v>
                </c:pt>
                <c:pt idx="106">
                  <c:v>2.9346415992600559</c:v>
                </c:pt>
                <c:pt idx="107">
                  <c:v>2.6604244377755868</c:v>
                </c:pt>
                <c:pt idx="108">
                  <c:v>2.6137669295171535</c:v>
                </c:pt>
                <c:pt idx="109">
                  <c:v>2.6131996290756185</c:v>
                </c:pt>
                <c:pt idx="110">
                  <c:v>2.6264471525110085</c:v>
                </c:pt>
                <c:pt idx="111">
                  <c:v>2.4505124234757494</c:v>
                </c:pt>
                <c:pt idx="112">
                  <c:v>2.8788748659324335</c:v>
                </c:pt>
                <c:pt idx="113">
                  <c:v>3.1510454604549789</c:v>
                </c:pt>
                <c:pt idx="114">
                  <c:v>2.8108579242220677</c:v>
                </c:pt>
                <c:pt idx="115">
                  <c:v>2.8202902666921288</c:v>
                </c:pt>
                <c:pt idx="116">
                  <c:v>3.0308897402851205</c:v>
                </c:pt>
                <c:pt idx="117">
                  <c:v>3.1431017072545284</c:v>
                </c:pt>
                <c:pt idx="118">
                  <c:v>2.6439019539194422</c:v>
                </c:pt>
                <c:pt idx="119">
                  <c:v>2.9207013216249043</c:v>
                </c:pt>
                <c:pt idx="120">
                  <c:v>2.2228339454391253</c:v>
                </c:pt>
                <c:pt idx="121">
                  <c:v>1.7937828945376721</c:v>
                </c:pt>
                <c:pt idx="122">
                  <c:v>1.394744933498302</c:v>
                </c:pt>
                <c:pt idx="123">
                  <c:v>1.6618181592068249</c:v>
                </c:pt>
                <c:pt idx="124">
                  <c:v>1.823148666917755</c:v>
                </c:pt>
                <c:pt idx="125">
                  <c:v>1.4325233226453471</c:v>
                </c:pt>
                <c:pt idx="126">
                  <c:v>1.6030665055120359</c:v>
                </c:pt>
                <c:pt idx="127">
                  <c:v>1.3117291446270305</c:v>
                </c:pt>
                <c:pt idx="128">
                  <c:v>1.2468172848350458</c:v>
                </c:pt>
                <c:pt idx="129">
                  <c:v>1.2957367208384949</c:v>
                </c:pt>
                <c:pt idx="130">
                  <c:v>1.2677515909812334</c:v>
                </c:pt>
                <c:pt idx="131">
                  <c:v>0.92546778574154831</c:v>
                </c:pt>
                <c:pt idx="132">
                  <c:v>0.94979422842700689</c:v>
                </c:pt>
                <c:pt idx="133">
                  <c:v>0.98289774685232567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1F1-F54A-8327-B775A96E12D0}"/>
            </c:ext>
          </c:extLst>
        </c:ser>
        <c:ser>
          <c:idx val="8"/>
          <c:order val="8"/>
          <c:tx>
            <c:strRef>
              <c:f>NN3再投資累積報酬!$A$20:$B$20</c:f>
              <c:strCache>
                <c:ptCount val="2"/>
                <c:pt idx="0">
                  <c:v>5</c:v>
                </c:pt>
                <c:pt idx="1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NN3再投資累積報酬!$C$10:$EF$11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NN3再投資累積報酬!$C$20:$EF$20</c:f>
              <c:numCache>
                <c:formatCode>General</c:formatCode>
                <c:ptCount val="134"/>
                <c:pt idx="0">
                  <c:v>-0.13932460396499158</c:v>
                </c:pt>
                <c:pt idx="1">
                  <c:v>0.18947560274559949</c:v>
                </c:pt>
                <c:pt idx="2">
                  <c:v>0.20791246048613088</c:v>
                </c:pt>
                <c:pt idx="3">
                  <c:v>0.42825888519804245</c:v>
                </c:pt>
                <c:pt idx="4">
                  <c:v>0.28491037972892097</c:v>
                </c:pt>
                <c:pt idx="5">
                  <c:v>0.46985035748614012</c:v>
                </c:pt>
                <c:pt idx="6">
                  <c:v>0.5109123910429445</c:v>
                </c:pt>
                <c:pt idx="7">
                  <c:v>0.30964949289919974</c:v>
                </c:pt>
                <c:pt idx="8">
                  <c:v>0.19163873972161038</c:v>
                </c:pt>
                <c:pt idx="9">
                  <c:v>0.30568885751471031</c:v>
                </c:pt>
                <c:pt idx="10">
                  <c:v>-4.5141904366347241E-2</c:v>
                </c:pt>
                <c:pt idx="11">
                  <c:v>0.43229821980438854</c:v>
                </c:pt>
                <c:pt idx="12">
                  <c:v>0.2745824200884921</c:v>
                </c:pt>
                <c:pt idx="13">
                  <c:v>0.32560267978221447</c:v>
                </c:pt>
                <c:pt idx="14">
                  <c:v>0.62363342322853854</c:v>
                </c:pt>
                <c:pt idx="15">
                  <c:v>0.73155568741717025</c:v>
                </c:pt>
                <c:pt idx="16">
                  <c:v>0.63226586012270736</c:v>
                </c:pt>
                <c:pt idx="17">
                  <c:v>0.46765870364594475</c:v>
                </c:pt>
                <c:pt idx="18">
                  <c:v>0.51496868195797174</c:v>
                </c:pt>
                <c:pt idx="19">
                  <c:v>0.30849632723754739</c:v>
                </c:pt>
                <c:pt idx="20">
                  <c:v>0.42768071520397943</c:v>
                </c:pt>
                <c:pt idx="21">
                  <c:v>0.64189421275532998</c:v>
                </c:pt>
                <c:pt idx="22">
                  <c:v>0.63391789066976445</c:v>
                </c:pt>
                <c:pt idx="23">
                  <c:v>0.68156032209306971</c:v>
                </c:pt>
                <c:pt idx="24">
                  <c:v>0.6452477779436705</c:v>
                </c:pt>
                <c:pt idx="25">
                  <c:v>0.54583697145698018</c:v>
                </c:pt>
                <c:pt idx="26">
                  <c:v>0.39696019524250703</c:v>
                </c:pt>
                <c:pt idx="27">
                  <c:v>0.34882946438774876</c:v>
                </c:pt>
                <c:pt idx="28">
                  <c:v>0.37217797218219362</c:v>
                </c:pt>
                <c:pt idx="29">
                  <c:v>0.31860172456781832</c:v>
                </c:pt>
                <c:pt idx="30">
                  <c:v>0.31037417724720484</c:v>
                </c:pt>
                <c:pt idx="31">
                  <c:v>0.42854136281447142</c:v>
                </c:pt>
                <c:pt idx="32">
                  <c:v>0.59473386504849124</c:v>
                </c:pt>
                <c:pt idx="33">
                  <c:v>0.62222803372224633</c:v>
                </c:pt>
                <c:pt idx="34">
                  <c:v>0.73086637402137811</c:v>
                </c:pt>
                <c:pt idx="35">
                  <c:v>0.85703519903852143</c:v>
                </c:pt>
                <c:pt idx="36">
                  <c:v>0.91849560023574939</c:v>
                </c:pt>
                <c:pt idx="37">
                  <c:v>1.0632848344508883</c:v>
                </c:pt>
                <c:pt idx="38">
                  <c:v>1.1567208572954955</c:v>
                </c:pt>
                <c:pt idx="39">
                  <c:v>1.1839076177342198</c:v>
                </c:pt>
                <c:pt idx="40">
                  <c:v>1.2438613095785884</c:v>
                </c:pt>
                <c:pt idx="41">
                  <c:v>1.6254276919099748</c:v>
                </c:pt>
                <c:pt idx="42">
                  <c:v>1.9197271347983129</c:v>
                </c:pt>
                <c:pt idx="43">
                  <c:v>1.9368331555226304</c:v>
                </c:pt>
                <c:pt idx="44">
                  <c:v>2.1591290669768823</c:v>
                </c:pt>
                <c:pt idx="45">
                  <c:v>1.9865593867622957</c:v>
                </c:pt>
                <c:pt idx="46">
                  <c:v>2.0070629178853796</c:v>
                </c:pt>
                <c:pt idx="47">
                  <c:v>2.2653359434270532</c:v>
                </c:pt>
                <c:pt idx="48">
                  <c:v>2.3916218263538878</c:v>
                </c:pt>
                <c:pt idx="49">
                  <c:v>1.6664848342461487</c:v>
                </c:pt>
                <c:pt idx="50">
                  <c:v>1.5683612191780441</c:v>
                </c:pt>
                <c:pt idx="51">
                  <c:v>1.9989609067633007</c:v>
                </c:pt>
                <c:pt idx="52">
                  <c:v>2.2107042440286739</c:v>
                </c:pt>
                <c:pt idx="53">
                  <c:v>2.0391569159604321</c:v>
                </c:pt>
                <c:pt idx="54">
                  <c:v>2.0210836663068354</c:v>
                </c:pt>
                <c:pt idx="55">
                  <c:v>2.0382693494724542</c:v>
                </c:pt>
                <c:pt idx="56">
                  <c:v>2.0172258623705588</c:v>
                </c:pt>
                <c:pt idx="57">
                  <c:v>1.8011730382253934</c:v>
                </c:pt>
                <c:pt idx="58">
                  <c:v>2.1702143282981887</c:v>
                </c:pt>
                <c:pt idx="59">
                  <c:v>2.2387845166258522</c:v>
                </c:pt>
                <c:pt idx="60">
                  <c:v>2.0469410497458029</c:v>
                </c:pt>
                <c:pt idx="61">
                  <c:v>2.3098683911914972</c:v>
                </c:pt>
                <c:pt idx="62">
                  <c:v>2.763047830618357</c:v>
                </c:pt>
                <c:pt idx="63">
                  <c:v>3.2091844008434594</c:v>
                </c:pt>
                <c:pt idx="64">
                  <c:v>3.047291939445552</c:v>
                </c:pt>
                <c:pt idx="65">
                  <c:v>3.2917788113113495</c:v>
                </c:pt>
                <c:pt idx="66">
                  <c:v>3.3580941198444876</c:v>
                </c:pt>
                <c:pt idx="67">
                  <c:v>3.4107121432942282</c:v>
                </c:pt>
                <c:pt idx="68">
                  <c:v>3.434563096516654</c:v>
                </c:pt>
                <c:pt idx="69">
                  <c:v>4.0900049730039099</c:v>
                </c:pt>
                <c:pt idx="70">
                  <c:v>4.5926681563942866</c:v>
                </c:pt>
                <c:pt idx="71">
                  <c:v>5.240960918069435</c:v>
                </c:pt>
                <c:pt idx="72">
                  <c:v>4.3952904192364501</c:v>
                </c:pt>
                <c:pt idx="73">
                  <c:v>4.5608915031650819</c:v>
                </c:pt>
                <c:pt idx="74">
                  <c:v>3.975696833737663</c:v>
                </c:pt>
                <c:pt idx="75">
                  <c:v>4.4248599740926089</c:v>
                </c:pt>
                <c:pt idx="76">
                  <c:v>4.6972758275236375</c:v>
                </c:pt>
                <c:pt idx="77">
                  <c:v>4.4793439173707359</c:v>
                </c:pt>
                <c:pt idx="78">
                  <c:v>4.3366451786216178</c:v>
                </c:pt>
                <c:pt idx="79">
                  <c:v>5.3027247003027496</c:v>
                </c:pt>
                <c:pt idx="80">
                  <c:v>3.7650880606160548</c:v>
                </c:pt>
                <c:pt idx="81">
                  <c:v>4.1508597605735735</c:v>
                </c:pt>
                <c:pt idx="82">
                  <c:v>3.6406522228753593</c:v>
                </c:pt>
                <c:pt idx="83">
                  <c:v>3.9741481730074915</c:v>
                </c:pt>
                <c:pt idx="84">
                  <c:v>3.8229605620098539</c:v>
                </c:pt>
                <c:pt idx="85">
                  <c:v>3.2276127674312791</c:v>
                </c:pt>
                <c:pt idx="86">
                  <c:v>3.612234199092458</c:v>
                </c:pt>
                <c:pt idx="87">
                  <c:v>3.1870556929842699</c:v>
                </c:pt>
                <c:pt idx="88">
                  <c:v>3.9786234503772278</c:v>
                </c:pt>
                <c:pt idx="89">
                  <c:v>4.0889468154728785</c:v>
                </c:pt>
                <c:pt idx="90">
                  <c:v>1.9720908140365312</c:v>
                </c:pt>
                <c:pt idx="91">
                  <c:v>2.5428249947494366</c:v>
                </c:pt>
                <c:pt idx="92">
                  <c:v>2.564476466372378</c:v>
                </c:pt>
                <c:pt idx="93">
                  <c:v>2.8250975992230103</c:v>
                </c:pt>
                <c:pt idx="94">
                  <c:v>3.1630995830796884</c:v>
                </c:pt>
                <c:pt idx="95">
                  <c:v>3.5397520105185567</c:v>
                </c:pt>
                <c:pt idx="96">
                  <c:v>3.1090763681699691</c:v>
                </c:pt>
                <c:pt idx="97">
                  <c:v>3.4892114431040282</c:v>
                </c:pt>
                <c:pt idx="98">
                  <c:v>3.5338928470641848</c:v>
                </c:pt>
                <c:pt idx="99">
                  <c:v>3.9432968009438039</c:v>
                </c:pt>
                <c:pt idx="100">
                  <c:v>3.8816057783679785</c:v>
                </c:pt>
                <c:pt idx="101">
                  <c:v>4.6390437619093872</c:v>
                </c:pt>
                <c:pt idx="102">
                  <c:v>4.3713476789466545</c:v>
                </c:pt>
                <c:pt idx="103">
                  <c:v>4.0657034409668977</c:v>
                </c:pt>
                <c:pt idx="104">
                  <c:v>3.8143783454234139</c:v>
                </c:pt>
                <c:pt idx="105">
                  <c:v>3.1013264769042497</c:v>
                </c:pt>
                <c:pt idx="106">
                  <c:v>2.9916165517517599</c:v>
                </c:pt>
                <c:pt idx="107">
                  <c:v>2.995045835480536</c:v>
                </c:pt>
                <c:pt idx="108">
                  <c:v>2.9782578114418117</c:v>
                </c:pt>
                <c:pt idx="109">
                  <c:v>2.9345947939433135</c:v>
                </c:pt>
                <c:pt idx="110">
                  <c:v>2.8445841241594088</c:v>
                </c:pt>
                <c:pt idx="111">
                  <c:v>2.6928770411938592</c:v>
                </c:pt>
                <c:pt idx="112">
                  <c:v>3.0066016488340042</c:v>
                </c:pt>
                <c:pt idx="113">
                  <c:v>3.3104087743724886</c:v>
                </c:pt>
                <c:pt idx="114">
                  <c:v>3.3504251019951798</c:v>
                </c:pt>
                <c:pt idx="115">
                  <c:v>3.6028333150214538</c:v>
                </c:pt>
                <c:pt idx="116">
                  <c:v>3.9057724803761147</c:v>
                </c:pt>
                <c:pt idx="117">
                  <c:v>3.9539988307410034</c:v>
                </c:pt>
                <c:pt idx="118">
                  <c:v>3.0265739975779296</c:v>
                </c:pt>
                <c:pt idx="119">
                  <c:v>3.3427110329285208</c:v>
                </c:pt>
                <c:pt idx="120">
                  <c:v>2.4477603767969809</c:v>
                </c:pt>
                <c:pt idx="121">
                  <c:v>1.9877050761778814</c:v>
                </c:pt>
                <c:pt idx="122">
                  <c:v>1.4736133311255091</c:v>
                </c:pt>
                <c:pt idx="123">
                  <c:v>1.793564014586829</c:v>
                </c:pt>
                <c:pt idx="124">
                  <c:v>1.9864881152040357</c:v>
                </c:pt>
                <c:pt idx="125">
                  <c:v>1.5269681505047097</c:v>
                </c:pt>
                <c:pt idx="126">
                  <c:v>1.6624606686106804</c:v>
                </c:pt>
                <c:pt idx="127">
                  <c:v>1.4375504263636523</c:v>
                </c:pt>
                <c:pt idx="128">
                  <c:v>1.4739114280548344</c:v>
                </c:pt>
                <c:pt idx="129">
                  <c:v>1.5705612926688435</c:v>
                </c:pt>
                <c:pt idx="130">
                  <c:v>1.6580878286830991</c:v>
                </c:pt>
                <c:pt idx="131">
                  <c:v>1.1878219574164031</c:v>
                </c:pt>
                <c:pt idx="132">
                  <c:v>1.1930010372176043</c:v>
                </c:pt>
                <c:pt idx="133">
                  <c:v>1.2374782048925312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1F1-F54A-8327-B775A96E12D0}"/>
            </c:ext>
          </c:extLst>
        </c:ser>
        <c:ser>
          <c:idx val="9"/>
          <c:order val="9"/>
          <c:tx>
            <c:strRef>
              <c:f>NN3再投資累積報酬!$A$21:$B$21</c:f>
              <c:strCache>
                <c:ptCount val="2"/>
                <c:pt idx="0">
                  <c:v>4</c:v>
                </c:pt>
                <c:pt idx="1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NN3再投資累積報酬!$C$10:$EF$11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NN3再投資累積報酬!$C$21:$EF$21</c:f>
              <c:numCache>
                <c:formatCode>General</c:formatCode>
                <c:ptCount val="134"/>
                <c:pt idx="0">
                  <c:v>-0.19764916434148616</c:v>
                </c:pt>
                <c:pt idx="1">
                  <c:v>-9.6240844573442175E-2</c:v>
                </c:pt>
                <c:pt idx="2">
                  <c:v>-9.649331174575948E-2</c:v>
                </c:pt>
                <c:pt idx="3">
                  <c:v>8.7291694232100481E-2</c:v>
                </c:pt>
                <c:pt idx="4">
                  <c:v>7.9358663954446573E-2</c:v>
                </c:pt>
                <c:pt idx="5">
                  <c:v>0.25439178233595539</c:v>
                </c:pt>
                <c:pt idx="6">
                  <c:v>0.27209375916828016</c:v>
                </c:pt>
                <c:pt idx="7">
                  <c:v>9.8145750398970888E-2</c:v>
                </c:pt>
                <c:pt idx="8">
                  <c:v>4.4040949147761133E-4</c:v>
                </c:pt>
                <c:pt idx="9">
                  <c:v>0.11016832088585193</c:v>
                </c:pt>
                <c:pt idx="10">
                  <c:v>-0.11173767393441658</c:v>
                </c:pt>
                <c:pt idx="11">
                  <c:v>0.4077985220892455</c:v>
                </c:pt>
                <c:pt idx="12">
                  <c:v>0.21172421537859121</c:v>
                </c:pt>
                <c:pt idx="13">
                  <c:v>0.266770120103756</c:v>
                </c:pt>
                <c:pt idx="14">
                  <c:v>0.61397375854998404</c:v>
                </c:pt>
                <c:pt idx="15">
                  <c:v>0.75100860401311009</c:v>
                </c:pt>
                <c:pt idx="16">
                  <c:v>0.68698866518533386</c:v>
                </c:pt>
                <c:pt idx="17">
                  <c:v>0.46579071140623296</c:v>
                </c:pt>
                <c:pt idx="18">
                  <c:v>0.45138675253292182</c:v>
                </c:pt>
                <c:pt idx="19">
                  <c:v>0.2601661850400212</c:v>
                </c:pt>
                <c:pt idx="20">
                  <c:v>0.41705529986977274</c:v>
                </c:pt>
                <c:pt idx="21">
                  <c:v>0.71152080823801134</c:v>
                </c:pt>
                <c:pt idx="22">
                  <c:v>0.69415315083641627</c:v>
                </c:pt>
                <c:pt idx="23">
                  <c:v>0.76100274001527035</c:v>
                </c:pt>
                <c:pt idx="24">
                  <c:v>0.79532652109513258</c:v>
                </c:pt>
                <c:pt idx="25">
                  <c:v>0.67811503851239463</c:v>
                </c:pt>
                <c:pt idx="26">
                  <c:v>0.41038646762432918</c:v>
                </c:pt>
                <c:pt idx="27">
                  <c:v>0.34452505196222871</c:v>
                </c:pt>
                <c:pt idx="28">
                  <c:v>0.35838811364174816</c:v>
                </c:pt>
                <c:pt idx="29">
                  <c:v>0.28622291664187238</c:v>
                </c:pt>
                <c:pt idx="30">
                  <c:v>0.27263011285880112</c:v>
                </c:pt>
                <c:pt idx="31">
                  <c:v>0.40954139444114412</c:v>
                </c:pt>
                <c:pt idx="32">
                  <c:v>0.55348975219240004</c:v>
                </c:pt>
                <c:pt idx="33">
                  <c:v>0.56154226632288928</c:v>
                </c:pt>
                <c:pt idx="34">
                  <c:v>0.72548936963526267</c:v>
                </c:pt>
                <c:pt idx="35">
                  <c:v>0.83830155874988299</c:v>
                </c:pt>
                <c:pt idx="36">
                  <c:v>0.96429104041104408</c:v>
                </c:pt>
                <c:pt idx="37">
                  <c:v>1.184205318255537</c:v>
                </c:pt>
                <c:pt idx="38">
                  <c:v>1.2884495654417325</c:v>
                </c:pt>
                <c:pt idx="39">
                  <c:v>1.3318013818970695</c:v>
                </c:pt>
                <c:pt idx="40">
                  <c:v>1.5110364773644838</c:v>
                </c:pt>
                <c:pt idx="41">
                  <c:v>2.0262566625099709</c:v>
                </c:pt>
                <c:pt idx="42">
                  <c:v>2.2213166644397009</c:v>
                </c:pt>
                <c:pt idx="43">
                  <c:v>2.2132862077996318</c:v>
                </c:pt>
                <c:pt idx="44">
                  <c:v>2.3669122373273463</c:v>
                </c:pt>
                <c:pt idx="45">
                  <c:v>2.1799786435101884</c:v>
                </c:pt>
                <c:pt idx="46">
                  <c:v>2.2111139096621866</c:v>
                </c:pt>
                <c:pt idx="47">
                  <c:v>2.4230747221681228</c:v>
                </c:pt>
                <c:pt idx="48">
                  <c:v>2.5840321147187568</c:v>
                </c:pt>
                <c:pt idx="49">
                  <c:v>1.6704219370036792</c:v>
                </c:pt>
                <c:pt idx="50">
                  <c:v>1.4807360408974004</c:v>
                </c:pt>
                <c:pt idx="51">
                  <c:v>2.0397603197639382</c:v>
                </c:pt>
                <c:pt idx="52">
                  <c:v>2.1562474240267946</c:v>
                </c:pt>
                <c:pt idx="53">
                  <c:v>2.0875963175428915</c:v>
                </c:pt>
                <c:pt idx="54">
                  <c:v>2.1072042010751413</c:v>
                </c:pt>
                <c:pt idx="55">
                  <c:v>2.1183189817834549</c:v>
                </c:pt>
                <c:pt idx="56">
                  <c:v>2.2325591877194704</c:v>
                </c:pt>
                <c:pt idx="57">
                  <c:v>1.9858458640860128</c:v>
                </c:pt>
                <c:pt idx="58">
                  <c:v>2.4814054963992898</c:v>
                </c:pt>
                <c:pt idx="59">
                  <c:v>2.5634936477480643</c:v>
                </c:pt>
                <c:pt idx="60">
                  <c:v>2.319572933826477</c:v>
                </c:pt>
                <c:pt idx="61">
                  <c:v>2.7933460100614407</c:v>
                </c:pt>
                <c:pt idx="62">
                  <c:v>3.3817698580162601</c:v>
                </c:pt>
                <c:pt idx="63">
                  <c:v>3.6606605180532794</c:v>
                </c:pt>
                <c:pt idx="64">
                  <c:v>3.3630436175080458</c:v>
                </c:pt>
                <c:pt idx="65">
                  <c:v>3.8190215075927432</c:v>
                </c:pt>
                <c:pt idx="66">
                  <c:v>4.0818616910563108</c:v>
                </c:pt>
                <c:pt idx="67">
                  <c:v>4.1444898541743491</c:v>
                </c:pt>
                <c:pt idx="68">
                  <c:v>4.1746374534570618</c:v>
                </c:pt>
                <c:pt idx="69">
                  <c:v>4.8589557999181814</c:v>
                </c:pt>
                <c:pt idx="70">
                  <c:v>5.6528235829848832</c:v>
                </c:pt>
                <c:pt idx="71">
                  <c:v>6.5984758867748914</c:v>
                </c:pt>
                <c:pt idx="72">
                  <c:v>5.4839375457672332</c:v>
                </c:pt>
                <c:pt idx="73">
                  <c:v>5.4645452603164175</c:v>
                </c:pt>
                <c:pt idx="74">
                  <c:v>5.1388624319088958</c:v>
                </c:pt>
                <c:pt idx="75">
                  <c:v>5.431458594427248</c:v>
                </c:pt>
                <c:pt idx="76">
                  <c:v>6.0428330484135016</c:v>
                </c:pt>
                <c:pt idx="77">
                  <c:v>5.5961667785060474</c:v>
                </c:pt>
                <c:pt idx="78">
                  <c:v>5.2881683387283447</c:v>
                </c:pt>
                <c:pt idx="79">
                  <c:v>7.0995133624311428</c:v>
                </c:pt>
                <c:pt idx="80">
                  <c:v>3.8995904872604292</c:v>
                </c:pt>
                <c:pt idx="81">
                  <c:v>4.5427385486187646</c:v>
                </c:pt>
                <c:pt idx="82">
                  <c:v>3.7459632910646716</c:v>
                </c:pt>
                <c:pt idx="83">
                  <c:v>4.1261164744948662</c:v>
                </c:pt>
                <c:pt idx="84">
                  <c:v>3.7134660647225344</c:v>
                </c:pt>
                <c:pt idx="85">
                  <c:v>3.3098625378269437</c:v>
                </c:pt>
                <c:pt idx="86">
                  <c:v>3.8574329295895806</c:v>
                </c:pt>
                <c:pt idx="87">
                  <c:v>3.2070691720692608</c:v>
                </c:pt>
                <c:pt idx="88">
                  <c:v>4.1557758427905762</c:v>
                </c:pt>
                <c:pt idx="89">
                  <c:v>4.313227515168836</c:v>
                </c:pt>
                <c:pt idx="90">
                  <c:v>1.5776313097158638</c:v>
                </c:pt>
                <c:pt idx="91">
                  <c:v>2.1516699593104005</c:v>
                </c:pt>
                <c:pt idx="92">
                  <c:v>2.1620329392238262</c:v>
                </c:pt>
                <c:pt idx="93">
                  <c:v>2.4492222978767946</c:v>
                </c:pt>
                <c:pt idx="94">
                  <c:v>2.689448200433</c:v>
                </c:pt>
                <c:pt idx="95">
                  <c:v>2.9930634920939028</c:v>
                </c:pt>
                <c:pt idx="96">
                  <c:v>2.7428039870615564</c:v>
                </c:pt>
                <c:pt idx="97">
                  <c:v>3.1104432742228454</c:v>
                </c:pt>
                <c:pt idx="98">
                  <c:v>3.3776443544735351</c:v>
                </c:pt>
                <c:pt idx="99">
                  <c:v>3.8246989202067381</c:v>
                </c:pt>
                <c:pt idx="100">
                  <c:v>3.7837762272914883</c:v>
                </c:pt>
                <c:pt idx="101">
                  <c:v>4.91969045018587</c:v>
                </c:pt>
                <c:pt idx="102">
                  <c:v>4.9267482393469573</c:v>
                </c:pt>
                <c:pt idx="103">
                  <c:v>4.6207832179495245</c:v>
                </c:pt>
                <c:pt idx="104">
                  <c:v>4.3675806530576651</c:v>
                </c:pt>
                <c:pt idx="105">
                  <c:v>5.01878997060596</c:v>
                </c:pt>
                <c:pt idx="106">
                  <c:v>5.0924485758365208</c:v>
                </c:pt>
                <c:pt idx="107">
                  <c:v>5.2238071327380693</c:v>
                </c:pt>
                <c:pt idx="108">
                  <c:v>5.2726414769005956</c:v>
                </c:pt>
                <c:pt idx="109">
                  <c:v>5.3609403232281112</c:v>
                </c:pt>
                <c:pt idx="110">
                  <c:v>5.5798042392411009</c:v>
                </c:pt>
                <c:pt idx="111">
                  <c:v>5.3303552199946571</c:v>
                </c:pt>
                <c:pt idx="112">
                  <c:v>6.2134569083090936</c:v>
                </c:pt>
                <c:pt idx="113">
                  <c:v>6.9230081559153964</c:v>
                </c:pt>
                <c:pt idx="114">
                  <c:v>6.6866321826653712</c:v>
                </c:pt>
                <c:pt idx="115">
                  <c:v>7.2339020421906355</c:v>
                </c:pt>
                <c:pt idx="116">
                  <c:v>7.9127526200322453</c:v>
                </c:pt>
                <c:pt idx="117">
                  <c:v>8.1290308574205348</c:v>
                </c:pt>
                <c:pt idx="118">
                  <c:v>6.7163937952448771</c:v>
                </c:pt>
                <c:pt idx="119">
                  <c:v>7.1035319006207107</c:v>
                </c:pt>
                <c:pt idx="120">
                  <c:v>5.4760228174763075</c:v>
                </c:pt>
                <c:pt idx="121">
                  <c:v>4.3714024072900148</c:v>
                </c:pt>
                <c:pt idx="122">
                  <c:v>4.2205181344963822</c:v>
                </c:pt>
                <c:pt idx="123">
                  <c:v>4.9528314155797757</c:v>
                </c:pt>
                <c:pt idx="124">
                  <c:v>5.7162693571447045</c:v>
                </c:pt>
                <c:pt idx="125">
                  <c:v>4.4672701723828538</c:v>
                </c:pt>
                <c:pt idx="126">
                  <c:v>4.6017431251479106</c:v>
                </c:pt>
                <c:pt idx="127">
                  <c:v>4.3057242385889536</c:v>
                </c:pt>
                <c:pt idx="128">
                  <c:v>4.1737946334291509</c:v>
                </c:pt>
                <c:pt idx="129">
                  <c:v>4.2172966549636159</c:v>
                </c:pt>
                <c:pt idx="130">
                  <c:v>4.2905321355721702</c:v>
                </c:pt>
                <c:pt idx="131">
                  <c:v>4.0022041847101892</c:v>
                </c:pt>
                <c:pt idx="132">
                  <c:v>4.0743802491074819</c:v>
                </c:pt>
                <c:pt idx="133">
                  <c:v>3.9791277176013713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1F1-F54A-8327-B775A96E12D0}"/>
            </c:ext>
          </c:extLst>
        </c:ser>
        <c:ser>
          <c:idx val="10"/>
          <c:order val="10"/>
          <c:tx>
            <c:strRef>
              <c:f>NN3再投資累積報酬!$A$22:$B$22</c:f>
              <c:strCache>
                <c:ptCount val="2"/>
                <c:pt idx="0">
                  <c:v>3</c:v>
                </c:pt>
                <c:pt idx="1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NN3再投資累積報酬!$C$10:$EF$11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NN3再投資累積報酬!$C$22:$EF$22</c:f>
              <c:numCache>
                <c:formatCode>General</c:formatCode>
                <c:ptCount val="134"/>
                <c:pt idx="0">
                  <c:v>6.4235717628454703E-2</c:v>
                </c:pt>
                <c:pt idx="1">
                  <c:v>0.21581410139979695</c:v>
                </c:pt>
                <c:pt idx="2">
                  <c:v>0.16593224944781282</c:v>
                </c:pt>
                <c:pt idx="3">
                  <c:v>2.8556375820461E-3</c:v>
                </c:pt>
                <c:pt idx="4">
                  <c:v>-3.0193293702389878E-2</c:v>
                </c:pt>
                <c:pt idx="5">
                  <c:v>9.0235363472234598E-2</c:v>
                </c:pt>
                <c:pt idx="6">
                  <c:v>0.10924834138761486</c:v>
                </c:pt>
                <c:pt idx="7">
                  <c:v>-6.3930166987268278E-3</c:v>
                </c:pt>
                <c:pt idx="8">
                  <c:v>-0.15869982246874803</c:v>
                </c:pt>
                <c:pt idx="9">
                  <c:v>-1.46832317933413E-2</c:v>
                </c:pt>
                <c:pt idx="10">
                  <c:v>-0.19663511059961025</c:v>
                </c:pt>
                <c:pt idx="11">
                  <c:v>0.41082309138967554</c:v>
                </c:pt>
                <c:pt idx="12">
                  <c:v>0.317084713277199</c:v>
                </c:pt>
                <c:pt idx="13">
                  <c:v>0.43645253986974941</c:v>
                </c:pt>
                <c:pt idx="14">
                  <c:v>0.61927655806415838</c:v>
                </c:pt>
                <c:pt idx="15">
                  <c:v>0.72727852617506916</c:v>
                </c:pt>
                <c:pt idx="16">
                  <c:v>0.65951335927666022</c:v>
                </c:pt>
                <c:pt idx="17">
                  <c:v>0.48551670258322077</c:v>
                </c:pt>
                <c:pt idx="18">
                  <c:v>0.56348305637383267</c:v>
                </c:pt>
                <c:pt idx="19">
                  <c:v>0.2888984292422534</c:v>
                </c:pt>
                <c:pt idx="20">
                  <c:v>0.49260624818713294</c:v>
                </c:pt>
                <c:pt idx="21">
                  <c:v>0.87650756043335987</c:v>
                </c:pt>
                <c:pt idx="22">
                  <c:v>0.74541974628164653</c:v>
                </c:pt>
                <c:pt idx="23">
                  <c:v>0.78707942478589676</c:v>
                </c:pt>
                <c:pt idx="24">
                  <c:v>0.79967479074994197</c:v>
                </c:pt>
                <c:pt idx="25">
                  <c:v>0.7307952375919724</c:v>
                </c:pt>
                <c:pt idx="26">
                  <c:v>0.42407870581131557</c:v>
                </c:pt>
                <c:pt idx="27">
                  <c:v>0.40632428555924882</c:v>
                </c:pt>
                <c:pt idx="28">
                  <c:v>0.28657717896816437</c:v>
                </c:pt>
                <c:pt idx="29">
                  <c:v>0.22587348774838967</c:v>
                </c:pt>
                <c:pt idx="30">
                  <c:v>0.16951967489210018</c:v>
                </c:pt>
                <c:pt idx="31">
                  <c:v>0.29333199733567161</c:v>
                </c:pt>
                <c:pt idx="32">
                  <c:v>0.43689788458925194</c:v>
                </c:pt>
                <c:pt idx="33">
                  <c:v>0.45569442478352529</c:v>
                </c:pt>
                <c:pt idx="34">
                  <c:v>0.35631901871830318</c:v>
                </c:pt>
                <c:pt idx="35">
                  <c:v>0.4110342392319859</c:v>
                </c:pt>
                <c:pt idx="36">
                  <c:v>0.52968656116438884</c:v>
                </c:pt>
                <c:pt idx="37">
                  <c:v>0.69968492661117554</c:v>
                </c:pt>
                <c:pt idx="38">
                  <c:v>0.82668091992443604</c:v>
                </c:pt>
                <c:pt idx="39">
                  <c:v>0.86411570091008727</c:v>
                </c:pt>
                <c:pt idx="40">
                  <c:v>1.0121751735642617</c:v>
                </c:pt>
                <c:pt idx="41">
                  <c:v>1.5162908087211244</c:v>
                </c:pt>
                <c:pt idx="42">
                  <c:v>1.7246659549877079</c:v>
                </c:pt>
                <c:pt idx="43">
                  <c:v>1.6561777656499359</c:v>
                </c:pt>
                <c:pt idx="44">
                  <c:v>1.7451609211548136</c:v>
                </c:pt>
                <c:pt idx="45">
                  <c:v>1.5809641259740594</c:v>
                </c:pt>
                <c:pt idx="46">
                  <c:v>1.50314963401074</c:v>
                </c:pt>
                <c:pt idx="47">
                  <c:v>1.2334160701322219</c:v>
                </c:pt>
                <c:pt idx="48">
                  <c:v>1.3936265657026796</c:v>
                </c:pt>
                <c:pt idx="49">
                  <c:v>1.0228447667854512</c:v>
                </c:pt>
                <c:pt idx="50">
                  <c:v>0.93060623106179285</c:v>
                </c:pt>
                <c:pt idx="51">
                  <c:v>1.5135140633356752</c:v>
                </c:pt>
                <c:pt idx="52">
                  <c:v>1.1846535793598481</c:v>
                </c:pt>
                <c:pt idx="53">
                  <c:v>1.1362106744511515</c:v>
                </c:pt>
                <c:pt idx="54">
                  <c:v>1.1836691225640052</c:v>
                </c:pt>
                <c:pt idx="55">
                  <c:v>1.2134517868539842</c:v>
                </c:pt>
                <c:pt idx="56">
                  <c:v>1.315889255757829</c:v>
                </c:pt>
                <c:pt idx="57">
                  <c:v>1.0195468105960046</c:v>
                </c:pt>
                <c:pt idx="58">
                  <c:v>1.2438956795734768</c:v>
                </c:pt>
                <c:pt idx="59">
                  <c:v>1.3673018979222089</c:v>
                </c:pt>
                <c:pt idx="60">
                  <c:v>1.2682548483680693</c:v>
                </c:pt>
                <c:pt idx="61">
                  <c:v>1.6352138868365755</c:v>
                </c:pt>
                <c:pt idx="62">
                  <c:v>2.1406401086652935</c:v>
                </c:pt>
                <c:pt idx="63">
                  <c:v>2.0925017840140732</c:v>
                </c:pt>
                <c:pt idx="64">
                  <c:v>1.9363785969179603</c:v>
                </c:pt>
                <c:pt idx="65">
                  <c:v>2.1561241046819952</c:v>
                </c:pt>
                <c:pt idx="66">
                  <c:v>2.2439593459164571</c:v>
                </c:pt>
                <c:pt idx="67">
                  <c:v>2.3114778488674119</c:v>
                </c:pt>
                <c:pt idx="68">
                  <c:v>2.2572597427023147</c:v>
                </c:pt>
                <c:pt idx="69">
                  <c:v>2.6824321478670652</c:v>
                </c:pt>
                <c:pt idx="70">
                  <c:v>3.4666015301422997</c:v>
                </c:pt>
                <c:pt idx="71">
                  <c:v>4.1747542798482984</c:v>
                </c:pt>
                <c:pt idx="72">
                  <c:v>3.2708877226427386</c:v>
                </c:pt>
                <c:pt idx="73">
                  <c:v>3.427362139637574</c:v>
                </c:pt>
                <c:pt idx="74">
                  <c:v>3.4063463972331602</c:v>
                </c:pt>
                <c:pt idx="75">
                  <c:v>3.6145803513940109</c:v>
                </c:pt>
                <c:pt idx="76">
                  <c:v>4.2794506266163106</c:v>
                </c:pt>
                <c:pt idx="77">
                  <c:v>3.492847970419235</c:v>
                </c:pt>
                <c:pt idx="78">
                  <c:v>3.4255194831418097</c:v>
                </c:pt>
                <c:pt idx="79">
                  <c:v>4.9031032396071019</c:v>
                </c:pt>
                <c:pt idx="80">
                  <c:v>2.5808971637202198</c:v>
                </c:pt>
                <c:pt idx="81">
                  <c:v>3.2569697810601825</c:v>
                </c:pt>
                <c:pt idx="82">
                  <c:v>2.3916849399489197</c:v>
                </c:pt>
                <c:pt idx="83">
                  <c:v>2.7848448907548078</c:v>
                </c:pt>
                <c:pt idx="84">
                  <c:v>2.3390668198187625</c:v>
                </c:pt>
                <c:pt idx="85">
                  <c:v>1.9938757445249187</c:v>
                </c:pt>
                <c:pt idx="86">
                  <c:v>2.1021442987900216</c:v>
                </c:pt>
                <c:pt idx="87">
                  <c:v>1.3556076936917867</c:v>
                </c:pt>
                <c:pt idx="88">
                  <c:v>2.1104197868132348</c:v>
                </c:pt>
                <c:pt idx="89">
                  <c:v>2.0838357386281068</c:v>
                </c:pt>
                <c:pt idx="90">
                  <c:v>7.9476753288856283E-2</c:v>
                </c:pt>
                <c:pt idx="91">
                  <c:v>0.35950226014153408</c:v>
                </c:pt>
                <c:pt idx="92">
                  <c:v>0.34273445927220614</c:v>
                </c:pt>
                <c:pt idx="93">
                  <c:v>0.56005659720130962</c:v>
                </c:pt>
                <c:pt idx="94">
                  <c:v>0.53634033050684904</c:v>
                </c:pt>
                <c:pt idx="95">
                  <c:v>0.62580530161315062</c:v>
                </c:pt>
                <c:pt idx="96">
                  <c:v>0.43033194687989496</c:v>
                </c:pt>
                <c:pt idx="97">
                  <c:v>0.59086338665092542</c:v>
                </c:pt>
                <c:pt idx="98">
                  <c:v>0.64885235096505944</c:v>
                </c:pt>
                <c:pt idx="99">
                  <c:v>0.65503487663991478</c:v>
                </c:pt>
                <c:pt idx="100">
                  <c:v>0.64181309136135734</c:v>
                </c:pt>
                <c:pt idx="101">
                  <c:v>1.0734793849634605</c:v>
                </c:pt>
                <c:pt idx="102">
                  <c:v>1.065202565579443</c:v>
                </c:pt>
                <c:pt idx="103">
                  <c:v>0.94462879748971607</c:v>
                </c:pt>
                <c:pt idx="104">
                  <c:v>0.90432678483784024</c:v>
                </c:pt>
                <c:pt idx="105">
                  <c:v>1.1859654856867849</c:v>
                </c:pt>
                <c:pt idx="106">
                  <c:v>1.1739606922824972</c:v>
                </c:pt>
                <c:pt idx="107">
                  <c:v>1.2109871022469907</c:v>
                </c:pt>
                <c:pt idx="108">
                  <c:v>1.2817056199636476</c:v>
                </c:pt>
                <c:pt idx="109">
                  <c:v>1.3135247947228872</c:v>
                </c:pt>
                <c:pt idx="110">
                  <c:v>1.4605747424934643</c:v>
                </c:pt>
                <c:pt idx="111">
                  <c:v>1.3369406896293694</c:v>
                </c:pt>
                <c:pt idx="112">
                  <c:v>1.7555678912870771</c:v>
                </c:pt>
                <c:pt idx="113">
                  <c:v>2.0998530840767105</c:v>
                </c:pt>
                <c:pt idx="114">
                  <c:v>1.9031176500322924</c:v>
                </c:pt>
                <c:pt idx="115">
                  <c:v>2.0388770935155991</c:v>
                </c:pt>
                <c:pt idx="116">
                  <c:v>2.4139884887323384</c:v>
                </c:pt>
                <c:pt idx="117">
                  <c:v>2.4489042293134498</c:v>
                </c:pt>
                <c:pt idx="118">
                  <c:v>1.9969908460693966</c:v>
                </c:pt>
                <c:pt idx="119">
                  <c:v>1.9787315216520924</c:v>
                </c:pt>
                <c:pt idx="120">
                  <c:v>1.3917697302236989</c:v>
                </c:pt>
                <c:pt idx="121">
                  <c:v>1.2521932025588436</c:v>
                </c:pt>
                <c:pt idx="122">
                  <c:v>1.1227024741376508</c:v>
                </c:pt>
                <c:pt idx="123">
                  <c:v>1.389537038444884</c:v>
                </c:pt>
                <c:pt idx="124">
                  <c:v>1.5768521866762142</c:v>
                </c:pt>
                <c:pt idx="125">
                  <c:v>1.003650464686265</c:v>
                </c:pt>
                <c:pt idx="126">
                  <c:v>0.98732649067364853</c:v>
                </c:pt>
                <c:pt idx="127">
                  <c:v>0.78114537978663701</c:v>
                </c:pt>
                <c:pt idx="128">
                  <c:v>0.6554879798562232</c:v>
                </c:pt>
                <c:pt idx="129">
                  <c:v>0.52206106620575721</c:v>
                </c:pt>
                <c:pt idx="130">
                  <c:v>0.554777923428174</c:v>
                </c:pt>
                <c:pt idx="131">
                  <c:v>0.43441701839317926</c:v>
                </c:pt>
                <c:pt idx="132">
                  <c:v>0.48239296578376689</c:v>
                </c:pt>
                <c:pt idx="133">
                  <c:v>0.43082014928377443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1F1-F54A-8327-B775A96E12D0}"/>
            </c:ext>
          </c:extLst>
        </c:ser>
        <c:ser>
          <c:idx val="11"/>
          <c:order val="11"/>
          <c:tx>
            <c:strRef>
              <c:f>NN3再投資累積報酬!$A$23:$B$23</c:f>
              <c:strCache>
                <c:ptCount val="2"/>
                <c:pt idx="0">
                  <c:v>2</c:v>
                </c:pt>
                <c:pt idx="1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NN3再投資累積報酬!$C$10:$EF$11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NN3再投資累積報酬!$C$23:$EF$23</c:f>
              <c:numCache>
                <c:formatCode>General</c:formatCode>
                <c:ptCount val="134"/>
                <c:pt idx="0">
                  <c:v>-3.4987009286289172E-2</c:v>
                </c:pt>
                <c:pt idx="1">
                  <c:v>0.21021700157612044</c:v>
                </c:pt>
                <c:pt idx="2">
                  <c:v>0.11226061840358614</c:v>
                </c:pt>
                <c:pt idx="3">
                  <c:v>0.10809853916951995</c:v>
                </c:pt>
                <c:pt idx="4">
                  <c:v>5.0229008420880072E-2</c:v>
                </c:pt>
                <c:pt idx="5">
                  <c:v>3.1126918101216816E-2</c:v>
                </c:pt>
                <c:pt idx="6">
                  <c:v>-6.3911503773549372E-3</c:v>
                </c:pt>
                <c:pt idx="7">
                  <c:v>-0.12053246378218108</c:v>
                </c:pt>
                <c:pt idx="8">
                  <c:v>-0.30037431983768803</c:v>
                </c:pt>
                <c:pt idx="9">
                  <c:v>-0.2625640785600627</c:v>
                </c:pt>
                <c:pt idx="10">
                  <c:v>-0.37118064671099027</c:v>
                </c:pt>
                <c:pt idx="11">
                  <c:v>0.24248478898310766</c:v>
                </c:pt>
                <c:pt idx="12">
                  <c:v>8.9783408417083654E-2</c:v>
                </c:pt>
                <c:pt idx="13">
                  <c:v>0.14937439986444256</c:v>
                </c:pt>
                <c:pt idx="14">
                  <c:v>0.48404636418097113</c:v>
                </c:pt>
                <c:pt idx="15">
                  <c:v>0.57727415677881999</c:v>
                </c:pt>
                <c:pt idx="16">
                  <c:v>0.46281058258430274</c:v>
                </c:pt>
                <c:pt idx="17">
                  <c:v>0.33894417088281181</c:v>
                </c:pt>
                <c:pt idx="18">
                  <c:v>0.41825853726131146</c:v>
                </c:pt>
                <c:pt idx="19">
                  <c:v>8.8548174682219427E-2</c:v>
                </c:pt>
                <c:pt idx="20">
                  <c:v>0.37107758777646538</c:v>
                </c:pt>
                <c:pt idx="21">
                  <c:v>0.63782895894390323</c:v>
                </c:pt>
                <c:pt idx="22">
                  <c:v>0.5265311109533497</c:v>
                </c:pt>
                <c:pt idx="23">
                  <c:v>0.58919826612020665</c:v>
                </c:pt>
                <c:pt idx="24">
                  <c:v>0.59969697386357268</c:v>
                </c:pt>
                <c:pt idx="25">
                  <c:v>0.52331464275553485</c:v>
                </c:pt>
                <c:pt idx="26">
                  <c:v>0.16684606817627623</c:v>
                </c:pt>
                <c:pt idx="27">
                  <c:v>0.14933065811486945</c:v>
                </c:pt>
                <c:pt idx="28">
                  <c:v>-0.10549548741038495</c:v>
                </c:pt>
                <c:pt idx="29">
                  <c:v>-0.16534343898116199</c:v>
                </c:pt>
                <c:pt idx="30">
                  <c:v>-0.16705907554233623</c:v>
                </c:pt>
                <c:pt idx="31">
                  <c:v>-9.694911811652962E-2</c:v>
                </c:pt>
                <c:pt idx="32">
                  <c:v>9.1925779931161911E-2</c:v>
                </c:pt>
                <c:pt idx="33">
                  <c:v>0.11768103330239832</c:v>
                </c:pt>
                <c:pt idx="34">
                  <c:v>0.13842519328049074</c:v>
                </c:pt>
                <c:pt idx="35">
                  <c:v>0.28805036677488904</c:v>
                </c:pt>
                <c:pt idx="36">
                  <c:v>0.2980578599372592</c:v>
                </c:pt>
                <c:pt idx="37">
                  <c:v>0.61259636001633733</c:v>
                </c:pt>
                <c:pt idx="38">
                  <c:v>0.60399001033886579</c:v>
                </c:pt>
                <c:pt idx="39">
                  <c:v>0.33890419529519766</c:v>
                </c:pt>
                <c:pt idx="40">
                  <c:v>0.45863569259583103</c:v>
                </c:pt>
                <c:pt idx="41">
                  <c:v>0.94982257421730232</c:v>
                </c:pt>
                <c:pt idx="42">
                  <c:v>0.92114675200352991</c:v>
                </c:pt>
                <c:pt idx="43">
                  <c:v>0.84155801879833114</c:v>
                </c:pt>
                <c:pt idx="44">
                  <c:v>0.90259742822756794</c:v>
                </c:pt>
                <c:pt idx="45">
                  <c:v>0.85001154894884734</c:v>
                </c:pt>
                <c:pt idx="46">
                  <c:v>0.75376116489168177</c:v>
                </c:pt>
                <c:pt idx="47">
                  <c:v>0.86799941341156117</c:v>
                </c:pt>
                <c:pt idx="48">
                  <c:v>1.1859963897644836</c:v>
                </c:pt>
                <c:pt idx="49">
                  <c:v>1.0466312122913397</c:v>
                </c:pt>
                <c:pt idx="50">
                  <c:v>1.0663746135013845</c:v>
                </c:pt>
                <c:pt idx="51">
                  <c:v>0.96088725551884013</c:v>
                </c:pt>
                <c:pt idx="52">
                  <c:v>0.37099697561532929</c:v>
                </c:pt>
                <c:pt idx="53">
                  <c:v>0.50100982713624864</c:v>
                </c:pt>
                <c:pt idx="54">
                  <c:v>0.39379155081807204</c:v>
                </c:pt>
                <c:pt idx="55">
                  <c:v>0.36194760835164042</c:v>
                </c:pt>
                <c:pt idx="56">
                  <c:v>0.46376881524490754</c:v>
                </c:pt>
                <c:pt idx="57">
                  <c:v>0.16591530893516193</c:v>
                </c:pt>
                <c:pt idx="58">
                  <c:v>0.38873580794051077</c:v>
                </c:pt>
                <c:pt idx="59">
                  <c:v>0.53316893599760706</c:v>
                </c:pt>
                <c:pt idx="60">
                  <c:v>0.53628756771154795</c:v>
                </c:pt>
                <c:pt idx="61">
                  <c:v>0.76601524798728637</c:v>
                </c:pt>
                <c:pt idx="62">
                  <c:v>1.1001112254781074</c:v>
                </c:pt>
                <c:pt idx="63">
                  <c:v>1.0855213941822104</c:v>
                </c:pt>
                <c:pt idx="64">
                  <c:v>1.16169494161475</c:v>
                </c:pt>
                <c:pt idx="65">
                  <c:v>1.3741169197208514</c:v>
                </c:pt>
                <c:pt idx="66">
                  <c:v>1.545167061548697</c:v>
                </c:pt>
                <c:pt idx="67">
                  <c:v>1.5905838407744612</c:v>
                </c:pt>
                <c:pt idx="68">
                  <c:v>1.4007578029908068</c:v>
                </c:pt>
                <c:pt idx="69">
                  <c:v>1.7456261957058352</c:v>
                </c:pt>
                <c:pt idx="70">
                  <c:v>2.3103678313798865</c:v>
                </c:pt>
                <c:pt idx="71">
                  <c:v>2.6859872195843528</c:v>
                </c:pt>
                <c:pt idx="72">
                  <c:v>1.9408563027209986</c:v>
                </c:pt>
                <c:pt idx="73">
                  <c:v>1.9167026978061039</c:v>
                </c:pt>
                <c:pt idx="74">
                  <c:v>1.8869357263915205</c:v>
                </c:pt>
                <c:pt idx="75">
                  <c:v>1.9090778375689492</c:v>
                </c:pt>
                <c:pt idx="76">
                  <c:v>2.5094402308361601</c:v>
                </c:pt>
                <c:pt idx="77">
                  <c:v>1.7457361920531445</c:v>
                </c:pt>
                <c:pt idx="78">
                  <c:v>2.3634132372826349</c:v>
                </c:pt>
                <c:pt idx="79">
                  <c:v>3.0081003633547727</c:v>
                </c:pt>
                <c:pt idx="80">
                  <c:v>2.5406572344777683</c:v>
                </c:pt>
                <c:pt idx="81">
                  <c:v>3.0970180896188682</c:v>
                </c:pt>
                <c:pt idx="82">
                  <c:v>1.4858911768653185</c:v>
                </c:pt>
                <c:pt idx="83">
                  <c:v>1.9338399393415595</c:v>
                </c:pt>
                <c:pt idx="84">
                  <c:v>1.024644652192479</c:v>
                </c:pt>
                <c:pt idx="85">
                  <c:v>0.98440409557118036</c:v>
                </c:pt>
                <c:pt idx="86">
                  <c:v>1.175139053563341</c:v>
                </c:pt>
                <c:pt idx="87">
                  <c:v>0.28624452524169608</c:v>
                </c:pt>
                <c:pt idx="88">
                  <c:v>0.78367766043737808</c:v>
                </c:pt>
                <c:pt idx="89">
                  <c:v>0.68913350789166161</c:v>
                </c:pt>
                <c:pt idx="90">
                  <c:v>-0.84615927290064852</c:v>
                </c:pt>
                <c:pt idx="91">
                  <c:v>-0.79825930978229565</c:v>
                </c:pt>
                <c:pt idx="92">
                  <c:v>-0.80011204473646946</c:v>
                </c:pt>
                <c:pt idx="93">
                  <c:v>-0.79779378344512653</c:v>
                </c:pt>
                <c:pt idx="94">
                  <c:v>-0.80527020037742436</c:v>
                </c:pt>
                <c:pt idx="95">
                  <c:v>-0.79637834277973429</c:v>
                </c:pt>
                <c:pt idx="96">
                  <c:v>-0.80066592169429096</c:v>
                </c:pt>
                <c:pt idx="97">
                  <c:v>-0.80510013567240579</c:v>
                </c:pt>
                <c:pt idx="98">
                  <c:v>-0.78543447979364089</c:v>
                </c:pt>
                <c:pt idx="99">
                  <c:v>-0.80447008778310658</c:v>
                </c:pt>
                <c:pt idx="100">
                  <c:v>-0.80015933156021135</c:v>
                </c:pt>
                <c:pt idx="101">
                  <c:v>-0.76378857094052299</c:v>
                </c:pt>
                <c:pt idx="102">
                  <c:v>-0.77110690561376072</c:v>
                </c:pt>
                <c:pt idx="103">
                  <c:v>-0.77475893084046532</c:v>
                </c:pt>
                <c:pt idx="104">
                  <c:v>-0.74791233832432069</c:v>
                </c:pt>
                <c:pt idx="105">
                  <c:v>-0.69411404716399627</c:v>
                </c:pt>
                <c:pt idx="106">
                  <c:v>-0.69698791480632472</c:v>
                </c:pt>
                <c:pt idx="107">
                  <c:v>-0.67821870172911636</c:v>
                </c:pt>
                <c:pt idx="108">
                  <c:v>-0.66590412762322782</c:v>
                </c:pt>
                <c:pt idx="109">
                  <c:v>-0.64739072360320915</c:v>
                </c:pt>
                <c:pt idx="110">
                  <c:v>-0.62853332163265896</c:v>
                </c:pt>
                <c:pt idx="111">
                  <c:v>-0.6608724707537178</c:v>
                </c:pt>
                <c:pt idx="112">
                  <c:v>-0.56665157847957004</c:v>
                </c:pt>
                <c:pt idx="113">
                  <c:v>-0.47300452543890004</c:v>
                </c:pt>
                <c:pt idx="114">
                  <c:v>-0.48327951689754378</c:v>
                </c:pt>
                <c:pt idx="115">
                  <c:v>-0.47992228261889214</c:v>
                </c:pt>
                <c:pt idx="116">
                  <c:v>-0.39458205193090967</c:v>
                </c:pt>
                <c:pt idx="117">
                  <c:v>-0.36607399073828195</c:v>
                </c:pt>
                <c:pt idx="118">
                  <c:v>-0.47397516848422994</c:v>
                </c:pt>
                <c:pt idx="119">
                  <c:v>-0.52125743792659163</c:v>
                </c:pt>
                <c:pt idx="120">
                  <c:v>-0.65918153128539458</c:v>
                </c:pt>
                <c:pt idx="121">
                  <c:v>-0.70142776064430024</c:v>
                </c:pt>
                <c:pt idx="122">
                  <c:v>-0.69119055896151194</c:v>
                </c:pt>
                <c:pt idx="123">
                  <c:v>-0.6058752780184935</c:v>
                </c:pt>
                <c:pt idx="124">
                  <c:v>-0.55021374011584268</c:v>
                </c:pt>
                <c:pt idx="125">
                  <c:v>-0.69121867691213013</c:v>
                </c:pt>
                <c:pt idx="126">
                  <c:v>-0.63876388499891568</c:v>
                </c:pt>
                <c:pt idx="127">
                  <c:v>-0.67592533458599124</c:v>
                </c:pt>
                <c:pt idx="128">
                  <c:v>-0.683524531475037</c:v>
                </c:pt>
                <c:pt idx="129">
                  <c:v>-0.70338445570902586</c:v>
                </c:pt>
                <c:pt idx="130">
                  <c:v>-0.71423593260852014</c:v>
                </c:pt>
                <c:pt idx="131">
                  <c:v>-0.74036217097761425</c:v>
                </c:pt>
                <c:pt idx="132">
                  <c:v>-0.72503037961058436</c:v>
                </c:pt>
                <c:pt idx="133">
                  <c:v>-0.73816905461627447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1F1-F54A-8327-B775A96E12D0}"/>
            </c:ext>
          </c:extLst>
        </c:ser>
        <c:ser>
          <c:idx val="12"/>
          <c:order val="12"/>
          <c:tx>
            <c:strRef>
              <c:f>NN3再投資累積報酬!$A$24:$B$24</c:f>
              <c:strCache>
                <c:ptCount val="2"/>
                <c:pt idx="0">
                  <c:v>1</c:v>
                </c:pt>
                <c:pt idx="1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NN3再投資累積報酬!$C$10:$EF$11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NN3再投資累積報酬!$C$24:$EF$24</c:f>
              <c:numCache>
                <c:formatCode>General</c:formatCode>
                <c:ptCount val="134"/>
                <c:pt idx="0">
                  <c:v>0.16299313693108508</c:v>
                </c:pt>
                <c:pt idx="1">
                  <c:v>0.28000187643772168</c:v>
                </c:pt>
                <c:pt idx="2">
                  <c:v>0.37139443303269459</c:v>
                </c:pt>
                <c:pt idx="3">
                  <c:v>0.47469609009531544</c:v>
                </c:pt>
                <c:pt idx="4">
                  <c:v>0.80762351339814575</c:v>
                </c:pt>
                <c:pt idx="5">
                  <c:v>0.87243766209454976</c:v>
                </c:pt>
                <c:pt idx="6">
                  <c:v>0.90413803171381035</c:v>
                </c:pt>
                <c:pt idx="7">
                  <c:v>0.68428435043410207</c:v>
                </c:pt>
                <c:pt idx="8">
                  <c:v>0.64804650380560913</c:v>
                </c:pt>
                <c:pt idx="9">
                  <c:v>0.80563806748897049</c:v>
                </c:pt>
                <c:pt idx="10">
                  <c:v>0.41239537532281756</c:v>
                </c:pt>
                <c:pt idx="11">
                  <c:v>2.9109679909208923</c:v>
                </c:pt>
                <c:pt idx="12">
                  <c:v>1.9555967300987365</c:v>
                </c:pt>
                <c:pt idx="13">
                  <c:v>1.9607276460221876</c:v>
                </c:pt>
                <c:pt idx="14">
                  <c:v>1.9523191795074846</c:v>
                </c:pt>
                <c:pt idx="15">
                  <c:v>1.8701649936993299</c:v>
                </c:pt>
                <c:pt idx="16">
                  <c:v>1.8384496705189521</c:v>
                </c:pt>
                <c:pt idx="17">
                  <c:v>1.0214870863501875</c:v>
                </c:pt>
                <c:pt idx="18">
                  <c:v>1.5993352344446476</c:v>
                </c:pt>
                <c:pt idx="19">
                  <c:v>1.3428328335096498</c:v>
                </c:pt>
                <c:pt idx="20">
                  <c:v>0.95729157676163479</c:v>
                </c:pt>
                <c:pt idx="21">
                  <c:v>0.95553197163412618</c:v>
                </c:pt>
                <c:pt idx="22">
                  <c:v>0.72024432033907981</c:v>
                </c:pt>
                <c:pt idx="23">
                  <c:v>0.67827896014440814</c:v>
                </c:pt>
                <c:pt idx="24">
                  <c:v>0.7010158945344469</c:v>
                </c:pt>
                <c:pt idx="25">
                  <c:v>0.3876054169823695</c:v>
                </c:pt>
                <c:pt idx="26">
                  <c:v>4.6018591483819593E-2</c:v>
                </c:pt>
                <c:pt idx="27">
                  <c:v>3.7836802582537743E-2</c:v>
                </c:pt>
                <c:pt idx="28">
                  <c:v>-0.14406589164290617</c:v>
                </c:pt>
                <c:pt idx="29">
                  <c:v>-0.1633432482204441</c:v>
                </c:pt>
                <c:pt idx="30">
                  <c:v>-7.474046155023728E-2</c:v>
                </c:pt>
                <c:pt idx="31">
                  <c:v>-2.2280688342594335E-2</c:v>
                </c:pt>
                <c:pt idx="32">
                  <c:v>0.28121707406622765</c:v>
                </c:pt>
                <c:pt idx="33">
                  <c:v>0.39067785478907568</c:v>
                </c:pt>
                <c:pt idx="34">
                  <c:v>0.39268043089997207</c:v>
                </c:pt>
                <c:pt idx="35">
                  <c:v>0.31653293282058415</c:v>
                </c:pt>
                <c:pt idx="36">
                  <c:v>0.29162507576516017</c:v>
                </c:pt>
                <c:pt idx="37">
                  <c:v>0.57731893544208313</c:v>
                </c:pt>
                <c:pt idx="38">
                  <c:v>0.68156412027543389</c:v>
                </c:pt>
                <c:pt idx="39">
                  <c:v>0.40497204595192926</c:v>
                </c:pt>
                <c:pt idx="40">
                  <c:v>0.47111387679208283</c:v>
                </c:pt>
                <c:pt idx="41">
                  <c:v>0.4852943209494931</c:v>
                </c:pt>
                <c:pt idx="42">
                  <c:v>0.44377131814940163</c:v>
                </c:pt>
                <c:pt idx="43">
                  <c:v>0.48774744828938532</c:v>
                </c:pt>
                <c:pt idx="44">
                  <c:v>0.55335014790037707</c:v>
                </c:pt>
                <c:pt idx="45">
                  <c:v>0.41797265008105589</c:v>
                </c:pt>
                <c:pt idx="46">
                  <c:v>0.42504484753485339</c:v>
                </c:pt>
                <c:pt idx="47">
                  <c:v>0.38862355132155768</c:v>
                </c:pt>
                <c:pt idx="48">
                  <c:v>0.62208907123007617</c:v>
                </c:pt>
                <c:pt idx="49">
                  <c:v>0.68351283747555791</c:v>
                </c:pt>
                <c:pt idx="50">
                  <c:v>0.5929487154225197</c:v>
                </c:pt>
                <c:pt idx="51">
                  <c:v>0.45570179385337517</c:v>
                </c:pt>
                <c:pt idx="52">
                  <c:v>-0.71354119718708098</c:v>
                </c:pt>
                <c:pt idx="53">
                  <c:v>-0.66037581287394587</c:v>
                </c:pt>
                <c:pt idx="54">
                  <c:v>-0.67602038166744438</c:v>
                </c:pt>
                <c:pt idx="55">
                  <c:v>-0.64762313526630089</c:v>
                </c:pt>
                <c:pt idx="56">
                  <c:v>-0.63816676175222975</c:v>
                </c:pt>
                <c:pt idx="57">
                  <c:v>-0.77792678109813762</c:v>
                </c:pt>
                <c:pt idx="58">
                  <c:v>-0.72826474567301624</c:v>
                </c:pt>
                <c:pt idx="59">
                  <c:v>-0.72735489023979571</c:v>
                </c:pt>
                <c:pt idx="60">
                  <c:v>-0.7262578898551777</c:v>
                </c:pt>
                <c:pt idx="61">
                  <c:v>-0.63943666677363309</c:v>
                </c:pt>
                <c:pt idx="62">
                  <c:v>-0.63529991675837194</c:v>
                </c:pt>
                <c:pt idx="63">
                  <c:v>-0.6328019612171405</c:v>
                </c:pt>
                <c:pt idx="64">
                  <c:v>-0.69196112381637254</c:v>
                </c:pt>
                <c:pt idx="65">
                  <c:v>-0.6539641646053731</c:v>
                </c:pt>
                <c:pt idx="66">
                  <c:v>-0.67616915728172633</c:v>
                </c:pt>
                <c:pt idx="67">
                  <c:v>-0.66245290579501714</c:v>
                </c:pt>
                <c:pt idx="68">
                  <c:v>-0.66288655844876998</c:v>
                </c:pt>
                <c:pt idx="69">
                  <c:v>-0.6236901439503858</c:v>
                </c:pt>
                <c:pt idx="70">
                  <c:v>-0.53776858209577116</c:v>
                </c:pt>
                <c:pt idx="71">
                  <c:v>-0.48797310610649858</c:v>
                </c:pt>
                <c:pt idx="72">
                  <c:v>-0.5196347415355913</c:v>
                </c:pt>
                <c:pt idx="73">
                  <c:v>-0.58350413306238758</c:v>
                </c:pt>
                <c:pt idx="74">
                  <c:v>-0.53779551543985571</c:v>
                </c:pt>
                <c:pt idx="75">
                  <c:v>-0.4181340565706112</c:v>
                </c:pt>
                <c:pt idx="76">
                  <c:v>-0.35993116998125629</c:v>
                </c:pt>
                <c:pt idx="77">
                  <c:v>-0.22630913734641689</c:v>
                </c:pt>
                <c:pt idx="78">
                  <c:v>0.11400227969145815</c:v>
                </c:pt>
                <c:pt idx="79">
                  <c:v>0.27475983883212729</c:v>
                </c:pt>
                <c:pt idx="80">
                  <c:v>6.9054719153960331E-3</c:v>
                </c:pt>
                <c:pt idx="81">
                  <c:v>0.23015792480081343</c:v>
                </c:pt>
                <c:pt idx="82">
                  <c:v>-0.16818932828246758</c:v>
                </c:pt>
                <c:pt idx="83">
                  <c:v>0.12650230797836648</c:v>
                </c:pt>
                <c:pt idx="84">
                  <c:v>0.49650404206704968</c:v>
                </c:pt>
                <c:pt idx="85">
                  <c:v>0.51612243998663021</c:v>
                </c:pt>
                <c:pt idx="86">
                  <c:v>0.65792549205088724</c:v>
                </c:pt>
                <c:pt idx="87">
                  <c:v>0.89294527288339443</c:v>
                </c:pt>
                <c:pt idx="88">
                  <c:v>1.9332835947181195</c:v>
                </c:pt>
                <c:pt idx="89">
                  <c:v>1.6172552385540095</c:v>
                </c:pt>
                <c:pt idx="90">
                  <c:v>-0.41544446567632232</c:v>
                </c:pt>
                <c:pt idx="91">
                  <c:v>-0.32171437335507713</c:v>
                </c:pt>
                <c:pt idx="92">
                  <c:v>-0.24392371176307559</c:v>
                </c:pt>
                <c:pt idx="93">
                  <c:v>-0.1977389139993585</c:v>
                </c:pt>
                <c:pt idx="94">
                  <c:v>-0.26664931670508873</c:v>
                </c:pt>
                <c:pt idx="95">
                  <c:v>-0.19594037119757834</c:v>
                </c:pt>
                <c:pt idx="96">
                  <c:v>-0.25443679278930864</c:v>
                </c:pt>
                <c:pt idx="97">
                  <c:v>-0.24320559319227764</c:v>
                </c:pt>
                <c:pt idx="98">
                  <c:v>-0.11067790137296341</c:v>
                </c:pt>
                <c:pt idx="99">
                  <c:v>-6.1580924004644433E-2</c:v>
                </c:pt>
                <c:pt idx="100">
                  <c:v>-0.13671723467173635</c:v>
                </c:pt>
                <c:pt idx="101">
                  <c:v>-3.9851186179949316E-2</c:v>
                </c:pt>
                <c:pt idx="102">
                  <c:v>-1.6316782577779132E-2</c:v>
                </c:pt>
                <c:pt idx="103">
                  <c:v>-0.20858816579453798</c:v>
                </c:pt>
                <c:pt idx="104">
                  <c:v>-5.7289408365175154E-2</c:v>
                </c:pt>
                <c:pt idx="105">
                  <c:v>8.7304843817153754E-2</c:v>
                </c:pt>
                <c:pt idx="106">
                  <c:v>-0.10412904523876865</c:v>
                </c:pt>
                <c:pt idx="107">
                  <c:v>-0.19789535723637031</c:v>
                </c:pt>
                <c:pt idx="108">
                  <c:v>-0.15048629327081697</c:v>
                </c:pt>
                <c:pt idx="109">
                  <c:v>-0.14976715862469858</c:v>
                </c:pt>
                <c:pt idx="110">
                  <c:v>-2.9139984050188694E-2</c:v>
                </c:pt>
                <c:pt idx="111">
                  <c:v>-0.15776787856235752</c:v>
                </c:pt>
                <c:pt idx="112">
                  <c:v>0.12817768415454056</c:v>
                </c:pt>
                <c:pt idx="113">
                  <c:v>0.3685973422848281</c:v>
                </c:pt>
                <c:pt idx="114">
                  <c:v>0.17502358122810446</c:v>
                </c:pt>
                <c:pt idx="115">
                  <c:v>0.44919720420411058</c:v>
                </c:pt>
                <c:pt idx="116">
                  <c:v>0.71793749692476827</c:v>
                </c:pt>
                <c:pt idx="117">
                  <c:v>0.91442389321892237</c:v>
                </c:pt>
                <c:pt idx="118">
                  <c:v>0.65984887475581666</c:v>
                </c:pt>
                <c:pt idx="119">
                  <c:v>0.62579602903347342</c:v>
                </c:pt>
                <c:pt idx="120">
                  <c:v>0.27419887438961354</c:v>
                </c:pt>
                <c:pt idx="121">
                  <c:v>0.22531695349727499</c:v>
                </c:pt>
                <c:pt idx="122">
                  <c:v>0.16694458487008035</c:v>
                </c:pt>
                <c:pt idx="123">
                  <c:v>0.35158404014517974</c:v>
                </c:pt>
                <c:pt idx="124">
                  <c:v>0.49871354549895108</c:v>
                </c:pt>
                <c:pt idx="125">
                  <c:v>3.1724704191939734E-2</c:v>
                </c:pt>
                <c:pt idx="126">
                  <c:v>0.38643608028874232</c:v>
                </c:pt>
                <c:pt idx="127">
                  <c:v>0.31646378486238769</c:v>
                </c:pt>
                <c:pt idx="128">
                  <c:v>0.41829347270038242</c:v>
                </c:pt>
                <c:pt idx="129">
                  <c:v>0.37633726505321441</c:v>
                </c:pt>
                <c:pt idx="130">
                  <c:v>0.35664199058924462</c:v>
                </c:pt>
                <c:pt idx="131">
                  <c:v>0.2804355499266129</c:v>
                </c:pt>
                <c:pt idx="132">
                  <c:v>0.42567463627528834</c:v>
                </c:pt>
                <c:pt idx="133">
                  <c:v>0.52158928834975793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1F1-F54A-8327-B775A96E12D0}"/>
            </c:ext>
          </c:extLst>
        </c:ser>
        <c:ser>
          <c:idx val="13"/>
          <c:order val="13"/>
          <c:tx>
            <c:strRef>
              <c:f>NN3再投資累積報酬!$A$25:$B$25</c:f>
              <c:strCache>
                <c:ptCount val="2"/>
                <c:pt idx="0">
                  <c:v>大盤</c:v>
                </c:pt>
                <c:pt idx="1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NN3再投資累積報酬!$C$10:$EF$11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NN3再投資累積報酬!$C$25:$EF$25</c:f>
              <c:numCache>
                <c:formatCode>General</c:formatCode>
                <c:ptCount val="134"/>
                <c:pt idx="0">
                  <c:v>-1.7446770539390366E-2</c:v>
                </c:pt>
                <c:pt idx="1">
                  <c:v>2.893123339404724E-3</c:v>
                </c:pt>
                <c:pt idx="2">
                  <c:v>2.6944635852046872E-2</c:v>
                </c:pt>
                <c:pt idx="3">
                  <c:v>2.0210365301730038E-2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0.11295275081672607</c:v>
                </c:pt>
                <c:pt idx="14">
                  <c:v>0.10882042835093308</c:v>
                </c:pt>
                <c:pt idx="15">
                  <c:v>0.13551706985268064</c:v>
                </c:pt>
                <c:pt idx="16">
                  <c:v>0.12167508804368476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-5.9140260213613516E-2</c:v>
                </c:pt>
                <c:pt idx="21">
                  <c:v>-1.7185893241652206E-2</c:v>
                </c:pt>
                <c:pt idx="22">
                  <c:v>-4.4409529547694393E-2</c:v>
                </c:pt>
                <c:pt idx="23">
                  <c:v>-4.2407561826578566E-2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2.7817794451217015E-3</c:v>
                </c:pt>
                <c:pt idx="27">
                  <c:v>-4.0202844765013457E-2</c:v>
                </c:pt>
                <c:pt idx="28">
                  <c:v>-2.2305320482664204E-2</c:v>
                </c:pt>
                <c:pt idx="29">
                  <c:v>-7.4152570234460313E-3</c:v>
                </c:pt>
                <c:pt idx="30">
                  <c:v>2.8334274381314417E-2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5.7454515782098925E-2</c:v>
                </c:pt>
                <c:pt idx="35">
                  <c:v>5.8917118987427575E-2</c:v>
                </c:pt>
                <c:pt idx="36">
                  <c:v>8.0938283596681648E-2</c:v>
                </c:pt>
                <c:pt idx="37">
                  <c:v>0.11500697453770203</c:v>
                </c:pt>
                <c:pt idx="38">
                  <c:v>0.12196653200545171</c:v>
                </c:pt>
                <c:pt idx="39">
                  <c:v>0.12886130991117528</c:v>
                </c:pt>
                <c:pt idx="40">
                  <c:v>0.14799139743631429</c:v>
                </c:pt>
                <c:pt idx="41">
                  <c:v>0.18780698843660248</c:v>
                </c:pt>
                <c:pt idx="42">
                  <c:v>0.19148751365039929</c:v>
                </c:pt>
                <c:pt idx="43">
                  <c:v>0.20945675046088996</c:v>
                </c:pt>
                <c:pt idx="44">
                  <c:v>0.18617324550329584</c:v>
                </c:pt>
                <c:pt idx="45">
                  <c:v>0.23209180697664689</c:v>
                </c:pt>
                <c:pt idx="46">
                  <c:v>0.20516203655681697</c:v>
                </c:pt>
                <c:pt idx="47">
                  <c:v>0.21453132863303215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0.24451556797958407</c:v>
                </c:pt>
                <c:pt idx="51">
                  <c:v>0.21433638745422812</c:v>
                </c:pt>
                <c:pt idx="52">
                  <c:v>0.23882150637103883</c:v>
                </c:pt>
                <c:pt idx="53">
                  <c:v>0.23447943849994912</c:v>
                </c:pt>
                <c:pt idx="54">
                  <c:v>0.25935658802508499</c:v>
                </c:pt>
                <c:pt idx="55">
                  <c:v>0.26008869763716325</c:v>
                </c:pt>
                <c:pt idx="56">
                  <c:v>0.2535114114609236</c:v>
                </c:pt>
                <c:pt idx="57">
                  <c:v>0.10826483627727623</c:v>
                </c:pt>
                <c:pt idx="58">
                  <c:v>0.11793469710078752</c:v>
                </c:pt>
                <c:pt idx="59">
                  <c:v>9.9625988810205346E-2</c:v>
                </c:pt>
                <c:pt idx="60">
                  <c:v>0.12254260303831388</c:v>
                </c:pt>
                <c:pt idx="61">
                  <c:v>0.17302993558173996</c:v>
                </c:pt>
                <c:pt idx="62">
                  <c:v>0.20112905370185397</c:v>
                </c:pt>
                <c:pt idx="63">
                  <c:v>0.23745011694095197</c:v>
                </c:pt>
                <c:pt idx="64">
                  <c:v>0.18334151222801376</c:v>
                </c:pt>
                <c:pt idx="65">
                  <c:v>0.20924423024871497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0.21987619627534571</c:v>
                </c:pt>
                <c:pt idx="69">
                  <c:v>0.27805738326883356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0.20998513144491437</c:v>
                </c:pt>
                <c:pt idx="76">
                  <c:v>0.20447092205281336</c:v>
                </c:pt>
                <c:pt idx="77">
                  <c:v>0.27699361006036605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0.49692143719092186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1.0974294483812512</c:v>
                </c:pt>
                <c:pt idx="123">
                  <c:v>1.1079601605760616</c:v>
                </c:pt>
                <c:pt idx="124">
                  <c:v>1.1868319851241949</c:v>
                </c:pt>
                <c:pt idx="125">
                  <c:v>1.3707686184169408</c:v>
                </c:pt>
                <c:pt idx="126">
                  <c:v>1.2834475238077694</c:v>
                </c:pt>
                <c:pt idx="127">
                  <c:v>1.2905072649494538</c:v>
                </c:pt>
                <c:pt idx="128">
                  <c:v>1.2860233033025419</c:v>
                </c:pt>
                <c:pt idx="129">
                  <c:v>1.3465094307246845</c:v>
                </c:pt>
                <c:pt idx="130">
                  <c:v>1.2884273650883467</c:v>
                </c:pt>
                <c:pt idx="131">
                  <c:v>1.3664981882262612</c:v>
                </c:pt>
                <c:pt idx="132">
                  <c:v>1.4163413115117764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1F1-F54A-8327-B775A96E1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869983"/>
        <c:axId val="1355659599"/>
      </c:lineChart>
      <c:catAx>
        <c:axId val="34886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55659599"/>
        <c:crosses val="autoZero"/>
        <c:auto val="1"/>
        <c:lblAlgn val="ctr"/>
        <c:lblOffset val="100"/>
        <c:noMultiLvlLbl val="0"/>
      </c:catAx>
      <c:valAx>
        <c:axId val="135565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886998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579967</xdr:colOff>
      <xdr:row>26</xdr:row>
      <xdr:rowOff>190501</xdr:rowOff>
    </xdr:from>
    <xdr:to>
      <xdr:col>9</xdr:col>
      <xdr:colOff>338667</xdr:colOff>
      <xdr:row>42</xdr:row>
      <xdr:rowOff>127001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138</xdr:col>
      <xdr:colOff>350599</xdr:colOff>
      <xdr:row>14</xdr:row>
      <xdr:rowOff>90400</xdr:rowOff>
    </xdr:from>
    <xdr:to>
      <xdr:col>148</xdr:col>
      <xdr:colOff>220134</xdr:colOff>
      <xdr:row>40</xdr:row>
      <xdr:rowOff>50799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31"/>
  <sheetViews>
    <sheetView topLeftCell="B1" zoomScale="140" zoomScaleNormal="80" workbookViewId="0">
      <selection activeCell="C36" sqref="C36"/>
    </sheetView>
  </sheetViews>
  <sheetFormatPr baseColWidth="10" defaultColWidth="8.83203125" defaultRowHeight="15"/>
  <sheetData>
    <row r="1" spans="1:136" s="1" customFormat="1">
      <c r="A1" s="2" t="s">
        <v>0</v>
      </c>
    </row>
    <row r="2" spans="1:136" s="1" customFormat="1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 s="1" customFormat="1">
      <c r="B3" s="2" t="s">
        <v>136</v>
      </c>
      <c r="C3" s="13">
        <v>3.1330205500125892E-2</v>
      </c>
      <c r="D3" s="13">
        <v>-1.7543647438287732E-2</v>
      </c>
      <c r="E3" s="13">
        <v>2.9643896967172619E-2</v>
      </c>
      <c r="F3" s="13">
        <v>2.8182985261082649E-2</v>
      </c>
      <c r="G3" s="13">
        <v>4.1800491511821747E-2</v>
      </c>
      <c r="H3" s="13">
        <v>1.7699908465147018E-2</v>
      </c>
      <c r="I3" s="13">
        <v>1.256205607205629E-2</v>
      </c>
      <c r="J3" s="13">
        <v>1.2357430532574649E-3</v>
      </c>
      <c r="K3" s="13">
        <v>3.5791270434856408E-2</v>
      </c>
      <c r="L3" s="13">
        <v>6.6725820302963257E-2</v>
      </c>
      <c r="M3" s="13">
        <v>1.32761662825942E-2</v>
      </c>
      <c r="N3" s="13">
        <v>-1.340599730610847E-3</v>
      </c>
      <c r="O3" s="13">
        <v>-3.9153536781668663E-3</v>
      </c>
      <c r="P3" s="13">
        <v>2.3424895480275151E-2</v>
      </c>
      <c r="Q3" s="13">
        <v>2.038630656898022E-2</v>
      </c>
      <c r="R3" s="13">
        <v>1.957200467586517E-2</v>
      </c>
      <c r="S3" s="13">
        <v>2.2870888933539391E-2</v>
      </c>
      <c r="T3" s="13">
        <v>4.3855453841388234E-3</v>
      </c>
      <c r="U3" s="13">
        <v>-8.5439961403608322E-3</v>
      </c>
      <c r="V3" s="13">
        <v>-8.516303263604641E-3</v>
      </c>
      <c r="W3" s="13">
        <v>-1.7971992492675781E-2</v>
      </c>
      <c r="X3" s="13">
        <v>-1.1634783819317819E-2</v>
      </c>
      <c r="Y3" s="13">
        <v>-2.656730450689793E-2</v>
      </c>
      <c r="Z3" s="13">
        <v>-2.7729809284210209E-2</v>
      </c>
      <c r="AA3" s="13">
        <v>7.4403420090675354E-2</v>
      </c>
      <c r="AB3" s="13">
        <v>-2.764703705906868E-2</v>
      </c>
      <c r="AC3" s="13">
        <v>-2.7917437255382541E-2</v>
      </c>
      <c r="AD3" s="13">
        <v>-3.129136934876442E-2</v>
      </c>
      <c r="AE3" s="13">
        <v>-2.063364535570145E-2</v>
      </c>
      <c r="AF3" s="13">
        <v>-3.5181421786546707E-2</v>
      </c>
      <c r="AG3" s="13">
        <v>-1.2474990449845791E-2</v>
      </c>
      <c r="AH3" s="13">
        <v>-2.2227592766284939E-2</v>
      </c>
      <c r="AI3" s="13">
        <v>2.8354397043585781E-2</v>
      </c>
      <c r="AJ3" s="13">
        <v>1.7696382477879521E-2</v>
      </c>
      <c r="AK3" s="13">
        <v>-1.5488248318433759E-3</v>
      </c>
      <c r="AL3" s="13">
        <v>6.0541510581970208E-2</v>
      </c>
      <c r="AM3" s="13">
        <v>4.2939703911542892E-2</v>
      </c>
      <c r="AN3" s="13">
        <v>4.6451166272163391E-2</v>
      </c>
      <c r="AO3" s="13">
        <v>4.6414647251367569E-2</v>
      </c>
      <c r="AP3" s="13">
        <v>2.7322841808199879E-2</v>
      </c>
      <c r="AQ3" s="13">
        <v>4.9711406230926507E-2</v>
      </c>
      <c r="AR3" s="13">
        <v>4.072609543800354E-2</v>
      </c>
      <c r="AS3" s="13">
        <v>3.7940710783004761E-2</v>
      </c>
      <c r="AT3" s="13">
        <v>4.3215282261371613E-2</v>
      </c>
      <c r="AU3" s="13">
        <v>3.5848293453454971E-2</v>
      </c>
      <c r="AV3" s="13">
        <v>4.8106551170349121E-2</v>
      </c>
      <c r="AW3" s="13">
        <v>0.25755825638771063</v>
      </c>
      <c r="AX3" s="13">
        <v>2.3971892893314362E-2</v>
      </c>
      <c r="AY3" s="13">
        <v>5.6368216872215271E-2</v>
      </c>
      <c r="AZ3" s="13">
        <v>4.440823569893837E-2</v>
      </c>
      <c r="BA3" s="13">
        <v>4.0217362344264977E-2</v>
      </c>
      <c r="BB3" s="13">
        <v>3.9215490221977227E-2</v>
      </c>
      <c r="BC3" s="13">
        <v>5.1480397582054138E-2</v>
      </c>
      <c r="BD3" s="13">
        <v>4.9942176789045327E-2</v>
      </c>
      <c r="BE3" s="13">
        <v>4.9302525818347931E-2</v>
      </c>
      <c r="BF3" s="13">
        <v>5.0215017050504678E-2</v>
      </c>
      <c r="BG3" s="13">
        <v>4.4806387275457382E-2</v>
      </c>
      <c r="BH3" s="13">
        <v>7.2218522429466248E-2</v>
      </c>
      <c r="BI3" s="13">
        <v>5.3198006004095078E-2</v>
      </c>
      <c r="BJ3" s="13">
        <v>5.0947383046150208E-2</v>
      </c>
      <c r="BK3" s="13">
        <v>4.6847827732563019E-2</v>
      </c>
      <c r="BL3" s="13">
        <v>5.1777664572000497E-2</v>
      </c>
      <c r="BM3" s="13">
        <v>4.5751150697469711E-2</v>
      </c>
      <c r="BN3" s="13">
        <v>5.1456984132528312E-2</v>
      </c>
      <c r="BO3" s="13">
        <v>5.444614589214325E-2</v>
      </c>
      <c r="BP3" s="13">
        <v>5.1880281418561942E-2</v>
      </c>
      <c r="BQ3" s="13">
        <v>4.9081109464168549E-2</v>
      </c>
      <c r="BR3" s="13">
        <v>3.0115354806184769E-2</v>
      </c>
      <c r="BS3" s="13">
        <v>4.8800110816955573E-2</v>
      </c>
      <c r="BT3" s="13">
        <v>4.8635218292474747E-2</v>
      </c>
      <c r="BU3" s="13">
        <v>4.5633736997842789E-2</v>
      </c>
      <c r="BV3" s="13">
        <v>4.947228729724884E-2</v>
      </c>
      <c r="BW3" s="13">
        <v>4.4601880013942719E-2</v>
      </c>
      <c r="BX3" s="13">
        <v>4.56710085272789E-2</v>
      </c>
      <c r="BY3" s="13">
        <v>3.6897704005241387E-2</v>
      </c>
      <c r="BZ3" s="13">
        <v>0.21394279599189761</v>
      </c>
      <c r="CA3" s="13">
        <v>2.7052136138081551E-2</v>
      </c>
      <c r="CB3" s="13">
        <v>4.6074997633695602E-2</v>
      </c>
      <c r="CC3" s="13">
        <v>7.2226598858833313E-2</v>
      </c>
      <c r="CD3" s="13">
        <v>3.4700907766819E-2</v>
      </c>
      <c r="CE3" s="13">
        <v>3.6362294107675552E-2</v>
      </c>
      <c r="CF3" s="13">
        <v>4.7756139189004898E-2</v>
      </c>
      <c r="CG3" s="13">
        <v>3.6376580595970147E-2</v>
      </c>
      <c r="CH3" s="13">
        <v>4.3285507708787918E-2</v>
      </c>
      <c r="CI3" s="13">
        <v>4.2804375290870673E-2</v>
      </c>
      <c r="CJ3" s="13">
        <v>4.3789677321910858E-2</v>
      </c>
      <c r="CK3" s="13">
        <v>4.193609207868576E-2</v>
      </c>
      <c r="CL3" s="13">
        <v>4.5073911547660828E-2</v>
      </c>
      <c r="CM3" s="13">
        <v>5.7426575571298599E-2</v>
      </c>
      <c r="CN3" s="13">
        <v>4.8870686441659927E-2</v>
      </c>
      <c r="CO3" s="13">
        <v>4.6467091888189323E-2</v>
      </c>
      <c r="CP3" s="13">
        <v>4.5427285134792328E-2</v>
      </c>
      <c r="CQ3" s="13">
        <v>4.3254118412733078E-2</v>
      </c>
      <c r="CR3" s="13">
        <v>4.2831581085920327E-2</v>
      </c>
      <c r="CS3" s="13">
        <v>4.1360333561897278E-2</v>
      </c>
      <c r="CT3" s="13">
        <v>2.374728582799435E-2</v>
      </c>
      <c r="CU3" s="13">
        <v>3.9278171956539147E-2</v>
      </c>
      <c r="CV3" s="13">
        <v>4.09957654774189E-2</v>
      </c>
      <c r="CW3" s="13">
        <v>3.6699786782264709E-2</v>
      </c>
      <c r="CX3" s="13">
        <v>3.8764949887990952E-2</v>
      </c>
      <c r="CY3" s="13">
        <v>3.7805531173944473E-2</v>
      </c>
      <c r="CZ3" s="13">
        <v>4.325726255774498E-2</v>
      </c>
      <c r="DA3" s="13">
        <v>4.4850636273622513E-2</v>
      </c>
      <c r="DB3" s="13">
        <v>4.3851811438798897E-2</v>
      </c>
      <c r="DC3" s="13">
        <v>4.9191009253263467E-2</v>
      </c>
      <c r="DD3" s="13">
        <v>4.212004691362381E-2</v>
      </c>
      <c r="DE3" s="13">
        <v>4.7127000987529748E-2</v>
      </c>
      <c r="DF3" s="13">
        <v>3.8079626858234412E-2</v>
      </c>
      <c r="DG3" s="13">
        <v>3.8307089358568192E-2</v>
      </c>
      <c r="DH3" s="13">
        <v>3.9209745824337013E-2</v>
      </c>
      <c r="DI3" s="13">
        <v>5.0754562020301819E-2</v>
      </c>
      <c r="DJ3" s="13">
        <v>4.9327295273542397E-2</v>
      </c>
      <c r="DK3" s="13">
        <v>4.6511236578226089E-2</v>
      </c>
      <c r="DL3" s="13">
        <v>4.22775037586689E-2</v>
      </c>
      <c r="DM3" s="13">
        <v>3.2305262982845313E-2</v>
      </c>
      <c r="DN3" s="13">
        <v>4.6072427183389657E-2</v>
      </c>
      <c r="DO3" s="13">
        <v>4.8485249280929572E-2</v>
      </c>
      <c r="DP3" s="13">
        <v>4.6022161841392517E-2</v>
      </c>
      <c r="DQ3" s="13">
        <v>4.4537413865327842E-2</v>
      </c>
      <c r="DR3" s="13">
        <v>4.4425271451473243E-2</v>
      </c>
      <c r="DS3" s="13">
        <v>4.2646575719118118E-2</v>
      </c>
      <c r="DT3" s="13">
        <v>4.6090584248304367E-2</v>
      </c>
      <c r="DU3" s="13">
        <v>4.3128091841936111E-2</v>
      </c>
      <c r="DV3" s="13">
        <v>4.1349083185195923E-2</v>
      </c>
      <c r="DW3" s="13">
        <v>4.0377732366323471E-2</v>
      </c>
      <c r="DX3" s="13">
        <v>4.6240631490945823E-2</v>
      </c>
      <c r="DY3" s="13">
        <v>4.529276117682457E-2</v>
      </c>
      <c r="DZ3" s="13">
        <v>3.8002155721187592E-2</v>
      </c>
      <c r="EA3" s="13">
        <v>4.3337244540452957E-2</v>
      </c>
      <c r="EB3" s="13">
        <v>3.5762075334787369E-2</v>
      </c>
      <c r="EC3" s="13">
        <v>3.0851878225803379E-2</v>
      </c>
      <c r="ED3" s="13">
        <v>4.0065716952085488E-2</v>
      </c>
      <c r="EE3" s="13">
        <v>4.3372519314289093E-2</v>
      </c>
      <c r="EF3" s="13">
        <v>4.6325836330652237E-2</v>
      </c>
    </row>
    <row r="4" spans="1:136" s="1" customFormat="1">
      <c r="B4" s="2" t="s">
        <v>137</v>
      </c>
      <c r="C4" s="13">
        <v>-2.2946899756789211E-2</v>
      </c>
      <c r="D4" s="13">
        <v>-3.2528996467590332E-2</v>
      </c>
      <c r="E4" s="13">
        <v>-2.231709286570549E-2</v>
      </c>
      <c r="F4" s="13">
        <v>-3.0678801238536831E-2</v>
      </c>
      <c r="G4" s="13">
        <v>-3.2594364136457443E-2</v>
      </c>
      <c r="H4" s="13">
        <v>-2.7283268049359322E-2</v>
      </c>
      <c r="I4" s="13">
        <v>-3.6774773150682449E-2</v>
      </c>
      <c r="J4" s="13">
        <v>-3.694760799407959E-2</v>
      </c>
      <c r="K4" s="13">
        <v>-3.4350186586379998E-2</v>
      </c>
      <c r="L4" s="13">
        <v>-3.5141970962286002E-2</v>
      </c>
      <c r="M4" s="13">
        <v>-3.6390375345945358E-2</v>
      </c>
      <c r="N4" s="13">
        <v>-2.7910143136978149E-2</v>
      </c>
      <c r="O4" s="13">
        <v>-3.4657396376132972E-2</v>
      </c>
      <c r="P4" s="13">
        <v>-3.7157066166400909E-2</v>
      </c>
      <c r="Q4" s="13">
        <v>-3.2246530055999763E-2</v>
      </c>
      <c r="R4" s="13">
        <v>-3.2251663506031043E-2</v>
      </c>
      <c r="S4" s="13">
        <v>-2.9913196340203289E-2</v>
      </c>
      <c r="T4" s="13">
        <v>-2.9206940904259682E-2</v>
      </c>
      <c r="U4" s="13">
        <v>-2.8744202107191089E-2</v>
      </c>
      <c r="V4" s="13">
        <v>-2.8017682954668999E-2</v>
      </c>
      <c r="W4" s="13">
        <v>-2.7434077113866809E-2</v>
      </c>
      <c r="X4" s="13">
        <v>-2.876461856067181E-2</v>
      </c>
      <c r="Y4" s="13">
        <v>-3.1099813058972359E-2</v>
      </c>
      <c r="Z4" s="13">
        <v>-3.0133392661809921E-2</v>
      </c>
      <c r="AA4" s="13">
        <v>-2.9746487736701969E-2</v>
      </c>
      <c r="AB4" s="13">
        <v>-2.964571118354797E-2</v>
      </c>
      <c r="AC4" s="13">
        <v>-2.9567878693342209E-2</v>
      </c>
      <c r="AD4" s="13">
        <v>-2.8945522382855419E-2</v>
      </c>
      <c r="AE4" s="13">
        <v>-2.8935028240084652E-2</v>
      </c>
      <c r="AF4" s="13">
        <v>-2.8917042538523671E-2</v>
      </c>
      <c r="AG4" s="13">
        <v>-2.828941494226456E-2</v>
      </c>
      <c r="AH4" s="13">
        <v>-1.883991435170174E-2</v>
      </c>
      <c r="AI4" s="13">
        <v>-4.0709320455789573E-2</v>
      </c>
      <c r="AJ4" s="13">
        <v>-3.4136712551116943E-2</v>
      </c>
      <c r="AK4" s="13">
        <v>-2.7761854231357571E-2</v>
      </c>
      <c r="AL4" s="13">
        <v>-2.6954172179102901E-2</v>
      </c>
      <c r="AM4" s="13">
        <v>-2.9749177396297451E-2</v>
      </c>
      <c r="AN4" s="13">
        <v>-2.958561293780804E-2</v>
      </c>
      <c r="AO4" s="13">
        <v>-3.5846035927534103E-2</v>
      </c>
      <c r="AP4" s="13">
        <v>-3.5248521715402603E-2</v>
      </c>
      <c r="AQ4" s="13">
        <v>-2.2184915840625759E-2</v>
      </c>
      <c r="AR4" s="13">
        <v>-2.593911811709404E-2</v>
      </c>
      <c r="AS4" s="13">
        <v>-2.9777109622955319E-2</v>
      </c>
      <c r="AT4" s="13">
        <v>-2.5417083874344829E-2</v>
      </c>
      <c r="AU4" s="13">
        <v>-3.08467410504818E-2</v>
      </c>
      <c r="AV4" s="13">
        <v>-3.2425623387098312E-2</v>
      </c>
      <c r="AW4" s="13">
        <v>-2.665197849273682E-2</v>
      </c>
      <c r="AX4" s="13">
        <v>-2.6401566341519359E-2</v>
      </c>
      <c r="AY4" s="13">
        <v>-3.4196376800537109E-2</v>
      </c>
      <c r="AZ4" s="13">
        <v>-2.7192108333110809E-2</v>
      </c>
      <c r="BA4" s="13">
        <v>-3.141489252448082E-2</v>
      </c>
      <c r="BB4" s="13">
        <v>-3.3737760037183762E-2</v>
      </c>
      <c r="BC4" s="13">
        <v>-3.037294372916222E-2</v>
      </c>
      <c r="BD4" s="13">
        <v>-3.122984804213047E-2</v>
      </c>
      <c r="BE4" s="13">
        <v>-3.2925654202699661E-2</v>
      </c>
      <c r="BF4" s="13">
        <v>-3.0702147632837299E-2</v>
      </c>
      <c r="BG4" s="13">
        <v>-3.2038435339927673E-2</v>
      </c>
      <c r="BH4" s="13">
        <v>-2.992494776844978E-2</v>
      </c>
      <c r="BI4" s="13">
        <v>-3.1321626156568527E-2</v>
      </c>
      <c r="BJ4" s="13">
        <v>-3.0535932630300518E-2</v>
      </c>
      <c r="BK4" s="13">
        <v>-3.2727848738431931E-2</v>
      </c>
      <c r="BL4" s="13">
        <v>-3.1020708382129669E-2</v>
      </c>
      <c r="BM4" s="13">
        <v>-3.1905554234981537E-2</v>
      </c>
      <c r="BN4" s="13">
        <v>-1.146291196346283E-2</v>
      </c>
      <c r="BO4" s="13">
        <v>-2.2440502420067791E-2</v>
      </c>
      <c r="BP4" s="13">
        <v>-2.6134863495826721E-2</v>
      </c>
      <c r="BQ4" s="13">
        <v>-3.2739493995904922E-2</v>
      </c>
      <c r="BR4" s="13">
        <v>-1.1072360910475251E-2</v>
      </c>
      <c r="BS4" s="13">
        <v>-3.3545445650815957E-2</v>
      </c>
      <c r="BT4" s="13">
        <v>-2.5867762044072151E-2</v>
      </c>
      <c r="BU4" s="13">
        <v>-3.5770893096923828E-2</v>
      </c>
      <c r="BV4" s="13">
        <v>-3.3611096441745758E-2</v>
      </c>
      <c r="BW4" s="13">
        <v>-2.3763570934534069E-2</v>
      </c>
      <c r="BX4" s="13">
        <v>-3.2385952770709991E-2</v>
      </c>
      <c r="BY4" s="13">
        <v>-3.174808993935585E-2</v>
      </c>
      <c r="BZ4" s="13">
        <v>-3.5722728818655007E-2</v>
      </c>
      <c r="CA4" s="13">
        <v>-3.2349672168493271E-2</v>
      </c>
      <c r="CB4" s="13">
        <v>-2.4401739239692691E-2</v>
      </c>
      <c r="CC4" s="13">
        <v>-2.9154768213629719E-2</v>
      </c>
      <c r="CD4" s="13">
        <v>-2.6064924895763401E-2</v>
      </c>
      <c r="CE4" s="13">
        <v>-3.1504537910223007E-2</v>
      </c>
      <c r="CF4" s="13">
        <v>-3.0558105558156971E-2</v>
      </c>
      <c r="CG4" s="13">
        <v>-3.0557489022612572E-2</v>
      </c>
      <c r="CH4" s="13">
        <v>-3.119574673473835E-2</v>
      </c>
      <c r="CI4" s="13">
        <v>-3.099741600453854E-2</v>
      </c>
      <c r="CJ4" s="13">
        <v>-3.2932452857494347E-2</v>
      </c>
      <c r="CK4" s="13">
        <v>-3.1934447586536407E-2</v>
      </c>
      <c r="CL4" s="13">
        <v>-3.1415339559316642E-2</v>
      </c>
      <c r="CM4" s="13">
        <v>-3.0473604798316959E-2</v>
      </c>
      <c r="CN4" s="13">
        <v>-3.1549032777547843E-2</v>
      </c>
      <c r="CO4" s="13">
        <v>-3.048702701926231E-2</v>
      </c>
      <c r="CP4" s="13">
        <v>-3.008273430168629E-2</v>
      </c>
      <c r="CQ4" s="13">
        <v>-3.185567632317543E-2</v>
      </c>
      <c r="CR4" s="13">
        <v>-2.9665300622582439E-2</v>
      </c>
      <c r="CS4" s="13">
        <v>-3.06941531598568E-2</v>
      </c>
      <c r="CT4" s="13">
        <v>-2.3139951750636101E-2</v>
      </c>
      <c r="CU4" s="13">
        <v>-2.7379043400287632E-2</v>
      </c>
      <c r="CV4" s="13">
        <v>-2.8476610779762272E-2</v>
      </c>
      <c r="CW4" s="13">
        <v>-3.2229896634817123E-2</v>
      </c>
      <c r="CX4" s="13">
        <v>-2.7671042829751968E-2</v>
      </c>
      <c r="CY4" s="13">
        <v>-2.780521847307682E-2</v>
      </c>
      <c r="CZ4" s="13">
        <v>-2.5955270975828171E-2</v>
      </c>
      <c r="DA4" s="13">
        <v>-2.869330532848835E-2</v>
      </c>
      <c r="DB4" s="13">
        <v>-3.3299807459115982E-2</v>
      </c>
      <c r="DC4" s="13">
        <v>-3.2515127211809158E-2</v>
      </c>
      <c r="DD4" s="13">
        <v>-3.2184645533561707E-2</v>
      </c>
      <c r="DE4" s="13">
        <v>-2.9689539223909382E-2</v>
      </c>
      <c r="DF4" s="13">
        <v>-3.0039757490158081E-2</v>
      </c>
      <c r="DG4" s="13">
        <v>-2.7630811557173729E-2</v>
      </c>
      <c r="DH4" s="13">
        <v>-2.948114275932312E-2</v>
      </c>
      <c r="DI4" s="13">
        <v>-2.9837131500244141E-2</v>
      </c>
      <c r="DJ4" s="13">
        <v>-3.0152346938848499E-2</v>
      </c>
      <c r="DK4" s="13">
        <v>-2.9910968616604802E-2</v>
      </c>
      <c r="DL4" s="13">
        <v>-3.0357034876942631E-2</v>
      </c>
      <c r="DM4" s="13">
        <v>-2.8307907283306118E-2</v>
      </c>
      <c r="DN4" s="13">
        <v>-2.7425747364759449E-2</v>
      </c>
      <c r="DO4" s="13">
        <v>-2.8660286217927929E-2</v>
      </c>
      <c r="DP4" s="13">
        <v>-2.6614684611558911E-2</v>
      </c>
      <c r="DQ4" s="13">
        <v>-2.7624152600765228E-2</v>
      </c>
      <c r="DR4" s="13">
        <v>-2.8681257739663121E-2</v>
      </c>
      <c r="DS4" s="13">
        <v>-2.8064034879207611E-2</v>
      </c>
      <c r="DT4" s="13">
        <v>-2.8476167470216751E-2</v>
      </c>
      <c r="DU4" s="13">
        <v>-2.8130983933806419E-2</v>
      </c>
      <c r="DV4" s="13">
        <v>-2.8065690770745281E-2</v>
      </c>
      <c r="DW4" s="13">
        <v>-2.618366107344627E-2</v>
      </c>
      <c r="DX4" s="13">
        <v>-2.7583243325352669E-2</v>
      </c>
      <c r="DY4" s="13">
        <v>-2.974858321249485E-2</v>
      </c>
      <c r="DZ4" s="13">
        <v>-2.467053942382336E-2</v>
      </c>
      <c r="EA4" s="13">
        <v>-2.6180332526564602E-2</v>
      </c>
      <c r="EB4" s="13">
        <v>-2.6299703866243359E-2</v>
      </c>
      <c r="EC4" s="13">
        <v>-2.7548244222998619E-2</v>
      </c>
      <c r="ED4" s="13">
        <v>-2.391510829329491E-2</v>
      </c>
      <c r="EE4" s="13">
        <v>-3.1682092696428299E-2</v>
      </c>
      <c r="EF4" s="13">
        <v>-2.8993211686611179E-2</v>
      </c>
    </row>
    <row r="5" spans="1:136" s="1" customFormat="1">
      <c r="B5" s="2" t="s">
        <v>138</v>
      </c>
      <c r="C5" s="13">
        <v>-1.7830728320404889E-3</v>
      </c>
      <c r="D5" s="13">
        <v>-5.807969719171524E-3</v>
      </c>
      <c r="E5" s="13">
        <v>-5.4487348534166813E-3</v>
      </c>
      <c r="F5" s="13">
        <v>-5.0667491741478443E-3</v>
      </c>
      <c r="G5" s="13">
        <v>-7.0356116630136967E-3</v>
      </c>
      <c r="H5" s="13">
        <v>-5.7321330532431602E-3</v>
      </c>
      <c r="I5" s="13">
        <v>-4.5550367794930926E-3</v>
      </c>
      <c r="J5" s="13">
        <v>-6.6406917758285999E-3</v>
      </c>
      <c r="K5" s="13">
        <v>-7.1166539564728737E-3</v>
      </c>
      <c r="L5" s="13">
        <v>-5.1224259659647942E-3</v>
      </c>
      <c r="M5" s="13">
        <v>-6.61063427105546E-3</v>
      </c>
      <c r="N5" s="13">
        <v>5.8811819180846214E-3</v>
      </c>
      <c r="O5" s="13">
        <v>2.1359868347644809E-2</v>
      </c>
      <c r="P5" s="13">
        <v>1.4080207329243419E-3</v>
      </c>
      <c r="Q5" s="13">
        <v>2.8066970407962799E-3</v>
      </c>
      <c r="R5" s="13">
        <v>-6.5349945798516273E-3</v>
      </c>
      <c r="S5" s="13">
        <v>-3.3381129615008831E-3</v>
      </c>
      <c r="T5" s="13">
        <v>4.9602827057242393E-3</v>
      </c>
      <c r="U5" s="13">
        <v>3.3406838774681091E-3</v>
      </c>
      <c r="V5" s="13">
        <v>6.140547338873148E-4</v>
      </c>
      <c r="W5" s="13">
        <v>9.1809040168300271E-4</v>
      </c>
      <c r="X5" s="13">
        <v>-4.8206630162894726E-3</v>
      </c>
      <c r="Y5" s="13">
        <v>-9.6054915338754654E-3</v>
      </c>
      <c r="Z5" s="13">
        <v>-3.1937819439917798E-3</v>
      </c>
      <c r="AA5" s="13">
        <v>-1.071048714220524E-2</v>
      </c>
      <c r="AB5" s="13">
        <v>-8.0073485150933266E-3</v>
      </c>
      <c r="AC5" s="13">
        <v>-9.7105018794536591E-3</v>
      </c>
      <c r="AD5" s="13">
        <v>-1.193892490118742E-2</v>
      </c>
      <c r="AE5" s="13">
        <v>-9.1045163571834564E-3</v>
      </c>
      <c r="AF5" s="13">
        <v>-5.2170734852552414E-3</v>
      </c>
      <c r="AG5" s="13">
        <v>-6.7129302769899368E-3</v>
      </c>
      <c r="AH5" s="13">
        <v>-4.2343703098595142E-3</v>
      </c>
      <c r="AI5" s="13">
        <v>-3.7024291232228279E-3</v>
      </c>
      <c r="AJ5" s="13">
        <v>-3.4234239719808102E-3</v>
      </c>
      <c r="AK5" s="13">
        <v>-5.0286529585719109E-3</v>
      </c>
      <c r="AL5" s="13">
        <v>-5.3550507873296738E-3</v>
      </c>
      <c r="AM5" s="13">
        <v>-6.9953757338225842E-3</v>
      </c>
      <c r="AN5" s="13">
        <v>-1.9440042087808249E-3</v>
      </c>
      <c r="AO5" s="13">
        <v>-5.7561695575714111E-3</v>
      </c>
      <c r="AP5" s="13">
        <v>-5.5434941314160824E-3</v>
      </c>
      <c r="AQ5" s="13">
        <v>-8.768024854362011E-4</v>
      </c>
      <c r="AR5" s="13">
        <v>-3.7110829725861549E-3</v>
      </c>
      <c r="AS5" s="13">
        <v>-1.8258683849126101E-3</v>
      </c>
      <c r="AT5" s="13">
        <v>1.723302528262138E-2</v>
      </c>
      <c r="AU5" s="13">
        <v>-6.8042157217860222E-3</v>
      </c>
      <c r="AV5" s="13">
        <v>1.040650904178619E-2</v>
      </c>
      <c r="AW5" s="13">
        <v>-1.1680858209729189E-2</v>
      </c>
      <c r="AX5" s="13">
        <v>-1.109044998884201E-2</v>
      </c>
      <c r="AY5" s="13">
        <v>-7.5637380359694362E-4</v>
      </c>
      <c r="AZ5" s="13">
        <v>1.07489638030529E-2</v>
      </c>
      <c r="BA5" s="13">
        <v>-1.3510514982044699E-3</v>
      </c>
      <c r="BB5" s="13">
        <v>-7.5233145616948596E-3</v>
      </c>
      <c r="BC5" s="13">
        <v>1.9595171324908729E-3</v>
      </c>
      <c r="BD5" s="13">
        <v>-1.7605321481823921E-2</v>
      </c>
      <c r="BE5" s="13">
        <v>-5.7958187535405159E-3</v>
      </c>
      <c r="BF5" s="13">
        <v>6.0290488181635737E-4</v>
      </c>
      <c r="BG5" s="13">
        <v>-7.3045212775468826E-3</v>
      </c>
      <c r="BH5" s="13">
        <v>-4.3621701188385487E-3</v>
      </c>
      <c r="BI5" s="13">
        <v>6.2929122941568494E-4</v>
      </c>
      <c r="BJ5" s="13">
        <v>1.5743880067020649E-4</v>
      </c>
      <c r="BK5" s="13">
        <v>-8.4008211269974709E-3</v>
      </c>
      <c r="BL5" s="13">
        <v>-1.1468764860183001E-3</v>
      </c>
      <c r="BM5" s="13">
        <v>-2.949054585769773E-3</v>
      </c>
      <c r="BN5" s="13">
        <v>-6.1059690779075027E-4</v>
      </c>
      <c r="BO5" s="13">
        <v>-4.5644012279808521E-3</v>
      </c>
      <c r="BP5" s="13">
        <v>3.4177984343841672E-4</v>
      </c>
      <c r="BQ5" s="13">
        <v>1.0708648478612299E-3</v>
      </c>
      <c r="BR5" s="13">
        <v>4.8396759666502481E-4</v>
      </c>
      <c r="BS5" s="13">
        <v>-7.7918096212670207E-4</v>
      </c>
      <c r="BT5" s="13">
        <v>5.7771807769313455E-4</v>
      </c>
      <c r="BU5" s="13">
        <v>-4.3007326312363148E-3</v>
      </c>
      <c r="BV5" s="13">
        <v>-1.3925109524279831E-3</v>
      </c>
      <c r="BW5" s="13">
        <v>-3.6537761334329839E-3</v>
      </c>
      <c r="BX5" s="13">
        <v>-1.9937008619308472E-3</v>
      </c>
      <c r="BY5" s="13">
        <v>-2.6817773468792439E-3</v>
      </c>
      <c r="BZ5" s="13">
        <v>2.2256071679294109E-3</v>
      </c>
      <c r="CA5" s="13">
        <v>-1.7740057781338692E-2</v>
      </c>
      <c r="CB5" s="13">
        <v>-1.854742132127285E-2</v>
      </c>
      <c r="CC5" s="13">
        <v>-8.9547159150242805E-3</v>
      </c>
      <c r="CD5" s="13">
        <v>-6.0267932713031769E-3</v>
      </c>
      <c r="CE5" s="13">
        <v>4.5224521309137336E-3</v>
      </c>
      <c r="CF5" s="13">
        <v>-4.9523431807756424E-3</v>
      </c>
      <c r="CG5" s="13">
        <v>-1.120204571634531E-3</v>
      </c>
      <c r="CH5" s="13">
        <v>-3.2324404455721378E-3</v>
      </c>
      <c r="CI5" s="13">
        <v>-5.5289170704782009E-3</v>
      </c>
      <c r="CJ5" s="13">
        <v>4.4923755340278149E-3</v>
      </c>
      <c r="CK5" s="13">
        <v>-6.095989141613245E-3</v>
      </c>
      <c r="CL5" s="13">
        <v>-8.0949869006872177E-3</v>
      </c>
      <c r="CM5" s="13">
        <v>5.0488505512475967E-3</v>
      </c>
      <c r="CN5" s="13">
        <v>-1.788548310287297E-3</v>
      </c>
      <c r="CO5" s="13">
        <v>2.7636219747364521E-3</v>
      </c>
      <c r="CP5" s="13">
        <v>-3.583973273634911E-3</v>
      </c>
      <c r="CQ5" s="13">
        <v>-4.7339932061731824E-3</v>
      </c>
      <c r="CR5" s="13">
        <v>1.54245609883219E-3</v>
      </c>
      <c r="CS5" s="13">
        <v>-6.9501805119216442E-3</v>
      </c>
      <c r="CT5" s="13">
        <v>-6.800045957788825E-4</v>
      </c>
      <c r="CU5" s="13">
        <v>-3.5899188369512558E-3</v>
      </c>
      <c r="CV5" s="13">
        <v>-9.6032914007082582E-4</v>
      </c>
      <c r="CW5" s="13">
        <v>-3.6334127653390169E-3</v>
      </c>
      <c r="CX5" s="13">
        <v>-1.5083478065207601E-3</v>
      </c>
      <c r="CY5" s="13">
        <v>-2.2476767189800739E-3</v>
      </c>
      <c r="CZ5" s="13">
        <v>-1.561234821565449E-4</v>
      </c>
      <c r="DA5" s="13">
        <v>-1.49183627218008E-3</v>
      </c>
      <c r="DB5" s="13">
        <v>-3.169323550537229E-3</v>
      </c>
      <c r="DC5" s="13">
        <v>-3.9032646454870701E-3</v>
      </c>
      <c r="DD5" s="13">
        <v>-4.5191487297415733E-3</v>
      </c>
      <c r="DE5" s="13">
        <v>-5.4920930415391922E-3</v>
      </c>
      <c r="DF5" s="13">
        <v>-1.9542425870895389E-2</v>
      </c>
      <c r="DG5" s="13">
        <v>-5.0942343659698963E-3</v>
      </c>
      <c r="DH5" s="13">
        <v>-4.3465639464557171E-3</v>
      </c>
      <c r="DI5" s="13">
        <v>-1.3278067111968991E-2</v>
      </c>
      <c r="DJ5" s="13">
        <v>2.4301805533468719E-3</v>
      </c>
      <c r="DK5" s="13">
        <v>-8.2946429029107094E-3</v>
      </c>
      <c r="DL5" s="13">
        <v>-4.3598045594990253E-3</v>
      </c>
      <c r="DM5" s="13">
        <v>-1.441237283870578E-3</v>
      </c>
      <c r="DN5" s="13">
        <v>-3.749192226678133E-3</v>
      </c>
      <c r="DO5" s="13">
        <v>1.835820032283664E-3</v>
      </c>
      <c r="DP5" s="13">
        <v>-4.5633451081812382E-3</v>
      </c>
      <c r="DQ5" s="13">
        <v>-4.5281355269253254E-3</v>
      </c>
      <c r="DR5" s="13">
        <v>-7.0934956893324852E-3</v>
      </c>
      <c r="DS5" s="13">
        <v>-3.5971722099930048E-3</v>
      </c>
      <c r="DT5" s="13">
        <v>-1.070812228135765E-3</v>
      </c>
      <c r="DU5" s="13">
        <v>-5.7690823450684547E-3</v>
      </c>
      <c r="DV5" s="13">
        <v>-3.1534233130514622E-3</v>
      </c>
      <c r="DW5" s="13">
        <v>-6.9596427492797366E-3</v>
      </c>
      <c r="DX5" s="13">
        <v>-6.651862058788538E-3</v>
      </c>
      <c r="DY5" s="13">
        <v>-3.220914863049984E-3</v>
      </c>
      <c r="DZ5" s="13">
        <v>-1.9205159042030571E-3</v>
      </c>
      <c r="EA5" s="13">
        <v>-2.516824752092361E-3</v>
      </c>
      <c r="EB5" s="13">
        <v>-4.4912919402122498E-3</v>
      </c>
      <c r="EC5" s="13">
        <v>-4.5820055529475212E-3</v>
      </c>
      <c r="ED5" s="13">
        <v>-6.5560955554246902E-3</v>
      </c>
      <c r="EE5" s="13">
        <v>-5.9297331608831882E-3</v>
      </c>
      <c r="EF5" s="13">
        <v>-6.2290588393807411E-3</v>
      </c>
    </row>
    <row r="6" spans="1:136" s="1" customFormat="1">
      <c r="A6" s="2" t="s">
        <v>139</v>
      </c>
      <c r="C6" s="13">
        <f t="array" ref="C6">MATCH(MAX(ABS(C3:C5)),ABS(C3:C5),0)</f>
        <v>1</v>
      </c>
      <c r="D6" s="13">
        <f t="array" ref="D6">MATCH(MAX(ABS(D3:D5)),ABS(D3:D5),0)</f>
        <v>2</v>
      </c>
      <c r="E6" s="13">
        <f t="array" ref="E6">MATCH(MAX(ABS(E3:E5)),ABS(E3:E5),0)</f>
        <v>1</v>
      </c>
      <c r="F6" s="13">
        <f t="array" ref="F6">MATCH(MAX(ABS(F3:F5)),ABS(F3:F5),0)</f>
        <v>2</v>
      </c>
      <c r="G6" s="13">
        <f t="array" ref="G6">MATCH(MAX(ABS(G3:G5)),ABS(G3:G5),0)</f>
        <v>1</v>
      </c>
      <c r="H6" s="13">
        <f t="array" ref="H6">MATCH(MAX(ABS(H3:H5)),ABS(H3:H5),0)</f>
        <v>2</v>
      </c>
      <c r="I6" s="13">
        <f t="array" ref="I6">MATCH(MAX(ABS(I3:I5)),ABS(I3:I5),0)</f>
        <v>2</v>
      </c>
      <c r="J6" s="13">
        <f t="array" ref="J6">MATCH(MAX(ABS(J3:J5)),ABS(J3:J5),0)</f>
        <v>2</v>
      </c>
      <c r="K6" s="13">
        <f t="array" ref="K6">MATCH(MAX(ABS(K3:K5)),ABS(K3:K5),0)</f>
        <v>1</v>
      </c>
      <c r="L6" s="13">
        <f t="array" ref="L6">MATCH(MAX(ABS(L3:L5)),ABS(L3:L5),0)</f>
        <v>1</v>
      </c>
      <c r="M6" s="13">
        <f t="array" ref="M6">MATCH(MAX(ABS(M3:M5)),ABS(M3:M5),0)</f>
        <v>2</v>
      </c>
      <c r="N6" s="13">
        <f t="array" ref="N6">MATCH(MAX(ABS(N3:N5)),ABS(N3:N5),0)</f>
        <v>2</v>
      </c>
      <c r="O6" s="13">
        <f t="array" ref="O6">MATCH(MAX(ABS(O3:O5)),ABS(O3:O5),0)</f>
        <v>2</v>
      </c>
      <c r="P6" s="13">
        <f t="array" ref="P6">MATCH(MAX(ABS(P3:P5)),ABS(P3:P5),0)</f>
        <v>2</v>
      </c>
      <c r="Q6" s="13">
        <f t="array" ref="Q6">MATCH(MAX(ABS(Q3:Q5)),ABS(Q3:Q5),0)</f>
        <v>2</v>
      </c>
      <c r="R6" s="13">
        <f t="array" ref="R6">MATCH(MAX(ABS(R3:R5)),ABS(R3:R5),0)</f>
        <v>2</v>
      </c>
      <c r="S6" s="13">
        <f t="array" ref="S6">MATCH(MAX(ABS(S3:S5)),ABS(S3:S5),0)</f>
        <v>2</v>
      </c>
      <c r="T6" s="13">
        <f t="array" ref="T6">MATCH(MAX(ABS(T3:T5)),ABS(T3:T5),0)</f>
        <v>2</v>
      </c>
      <c r="U6" s="13">
        <f t="array" ref="U6">MATCH(MAX(ABS(U3:U5)),ABS(U3:U5),0)</f>
        <v>2</v>
      </c>
      <c r="V6" s="13">
        <f t="array" ref="V6">MATCH(MAX(ABS(V3:V5)),ABS(V3:V5),0)</f>
        <v>2</v>
      </c>
      <c r="W6" s="13">
        <f t="array" ref="W6">MATCH(MAX(ABS(W3:W5)),ABS(W3:W5),0)</f>
        <v>2</v>
      </c>
      <c r="X6" s="13">
        <f t="array" ref="X6">MATCH(MAX(ABS(X3:X5)),ABS(X3:X5),0)</f>
        <v>2</v>
      </c>
      <c r="Y6" s="13">
        <f t="array" ref="Y6">MATCH(MAX(ABS(Y3:Y5)),ABS(Y3:Y5),0)</f>
        <v>2</v>
      </c>
      <c r="Z6" s="13">
        <f t="array" ref="Z6">MATCH(MAX(ABS(Z3:Z5)),ABS(Z3:Z5),0)</f>
        <v>2</v>
      </c>
      <c r="AA6" s="13">
        <f t="array" ref="AA6">MATCH(MAX(ABS(AA3:AA5)),ABS(AA3:AA5),0)</f>
        <v>1</v>
      </c>
      <c r="AB6" s="13">
        <f t="array" ref="AB6">MATCH(MAX(ABS(AB3:AB5)),ABS(AB3:AB5),0)</f>
        <v>2</v>
      </c>
      <c r="AC6" s="13">
        <f t="array" ref="AC6">MATCH(MAX(ABS(AC3:AC5)),ABS(AC3:AC5),0)</f>
        <v>2</v>
      </c>
      <c r="AD6" s="13">
        <f t="array" ref="AD6">MATCH(MAX(ABS(AD3:AD5)),ABS(AD3:AD5),0)</f>
        <v>1</v>
      </c>
      <c r="AE6" s="13">
        <f t="array" ref="AE6">MATCH(MAX(ABS(AE3:AE5)),ABS(AE3:AE5),0)</f>
        <v>2</v>
      </c>
      <c r="AF6" s="13">
        <f t="array" ref="AF6">MATCH(MAX(ABS(AF3:AF5)),ABS(AF3:AF5),0)</f>
        <v>1</v>
      </c>
      <c r="AG6" s="13">
        <f t="array" ref="AG6">MATCH(MAX(ABS(AG3:AG5)),ABS(AG3:AG5),0)</f>
        <v>2</v>
      </c>
      <c r="AH6" s="13">
        <f t="array" ref="AH6">MATCH(MAX(ABS(AH3:AH5)),ABS(AH3:AH5),0)</f>
        <v>1</v>
      </c>
      <c r="AI6" s="13">
        <f t="array" ref="AI6">MATCH(MAX(ABS(AI3:AI5)),ABS(AI3:AI5),0)</f>
        <v>2</v>
      </c>
      <c r="AJ6" s="13">
        <f t="array" ref="AJ6">MATCH(MAX(ABS(AJ3:AJ5)),ABS(AJ3:AJ5),0)</f>
        <v>2</v>
      </c>
      <c r="AK6" s="13">
        <f t="array" ref="AK6">MATCH(MAX(ABS(AK3:AK5)),ABS(AK3:AK5),0)</f>
        <v>2</v>
      </c>
      <c r="AL6" s="13">
        <f t="array" ref="AL6">MATCH(MAX(ABS(AL3:AL5)),ABS(AL3:AL5),0)</f>
        <v>1</v>
      </c>
      <c r="AM6" s="13">
        <f t="array" ref="AM6">MATCH(MAX(ABS(AM3:AM5)),ABS(AM3:AM5),0)</f>
        <v>1</v>
      </c>
      <c r="AN6" s="13">
        <f t="array" ref="AN6">MATCH(MAX(ABS(AN3:AN5)),ABS(AN3:AN5),0)</f>
        <v>1</v>
      </c>
      <c r="AO6" s="13">
        <f t="array" ref="AO6">MATCH(MAX(ABS(AO3:AO5)),ABS(AO3:AO5),0)</f>
        <v>1</v>
      </c>
      <c r="AP6" s="13">
        <f t="array" ref="AP6">MATCH(MAX(ABS(AP3:AP5)),ABS(AP3:AP5),0)</f>
        <v>2</v>
      </c>
      <c r="AQ6" s="13">
        <f t="array" ref="AQ6">MATCH(MAX(ABS(AQ3:AQ5)),ABS(AQ3:AQ5),0)</f>
        <v>1</v>
      </c>
      <c r="AR6" s="13">
        <f t="array" ref="AR6">MATCH(MAX(ABS(AR3:AR5)),ABS(AR3:AR5),0)</f>
        <v>1</v>
      </c>
      <c r="AS6" s="13">
        <f t="array" ref="AS6">MATCH(MAX(ABS(AS3:AS5)),ABS(AS3:AS5),0)</f>
        <v>1</v>
      </c>
      <c r="AT6" s="13">
        <f t="array" ref="AT6">MATCH(MAX(ABS(AT3:AT5)),ABS(AT3:AT5),0)</f>
        <v>1</v>
      </c>
      <c r="AU6" s="13">
        <f t="array" ref="AU6">MATCH(MAX(ABS(AU3:AU5)),ABS(AU3:AU5),0)</f>
        <v>1</v>
      </c>
      <c r="AV6" s="13">
        <f t="array" ref="AV6">MATCH(MAX(ABS(AV3:AV5)),ABS(AV3:AV5),0)</f>
        <v>1</v>
      </c>
      <c r="AW6" s="13">
        <f t="array" ref="AW6">MATCH(MAX(ABS(AW3:AW5)),ABS(AW3:AW5),0)</f>
        <v>1</v>
      </c>
      <c r="AX6" s="13">
        <f t="array" ref="AX6">MATCH(MAX(ABS(AX3:AX5)),ABS(AX3:AX5),0)</f>
        <v>2</v>
      </c>
      <c r="AY6" s="13">
        <f t="array" ref="AY6">MATCH(MAX(ABS(AY3:AY5)),ABS(AY3:AY5),0)</f>
        <v>1</v>
      </c>
      <c r="AZ6" s="13">
        <f t="array" ref="AZ6">MATCH(MAX(ABS(AZ3:AZ5)),ABS(AZ3:AZ5),0)</f>
        <v>1</v>
      </c>
      <c r="BA6" s="13">
        <f t="array" ref="BA6">MATCH(MAX(ABS(BA3:BA5)),ABS(BA3:BA5),0)</f>
        <v>1</v>
      </c>
      <c r="BB6" s="13">
        <f t="array" ref="BB6">MATCH(MAX(ABS(BB3:BB5)),ABS(BB3:BB5),0)</f>
        <v>1</v>
      </c>
      <c r="BC6" s="13">
        <f t="array" ref="BC6">MATCH(MAX(ABS(BC3:BC5)),ABS(BC3:BC5),0)</f>
        <v>1</v>
      </c>
      <c r="BD6" s="13">
        <f t="array" ref="BD6">MATCH(MAX(ABS(BD3:BD5)),ABS(BD3:BD5),0)</f>
        <v>1</v>
      </c>
      <c r="BE6" s="13">
        <f t="array" ref="BE6">MATCH(MAX(ABS(BE3:BE5)),ABS(BE3:BE5),0)</f>
        <v>1</v>
      </c>
      <c r="BF6" s="13">
        <f t="array" ref="BF6">MATCH(MAX(ABS(BF3:BF5)),ABS(BF3:BF5),0)</f>
        <v>1</v>
      </c>
      <c r="BG6" s="13">
        <f t="array" ref="BG6">MATCH(MAX(ABS(BG3:BG5)),ABS(BG3:BG5),0)</f>
        <v>1</v>
      </c>
      <c r="BH6" s="13">
        <f t="array" ref="BH6">MATCH(MAX(ABS(BH3:BH5)),ABS(BH3:BH5),0)</f>
        <v>1</v>
      </c>
      <c r="BI6" s="13">
        <f t="array" ref="BI6">MATCH(MAX(ABS(BI3:BI5)),ABS(BI3:BI5),0)</f>
        <v>1</v>
      </c>
      <c r="BJ6" s="13">
        <f t="array" ref="BJ6">MATCH(MAX(ABS(BJ3:BJ5)),ABS(BJ3:BJ5),0)</f>
        <v>1</v>
      </c>
      <c r="BK6" s="13">
        <f t="array" ref="BK6">MATCH(MAX(ABS(BK3:BK5)),ABS(BK3:BK5),0)</f>
        <v>1</v>
      </c>
      <c r="BL6" s="13">
        <f t="array" ref="BL6">MATCH(MAX(ABS(BL3:BL5)),ABS(BL3:BL5),0)</f>
        <v>1</v>
      </c>
      <c r="BM6" s="13">
        <f t="array" ref="BM6">MATCH(MAX(ABS(BM3:BM5)),ABS(BM3:BM5),0)</f>
        <v>1</v>
      </c>
      <c r="BN6" s="13">
        <f t="array" ref="BN6">MATCH(MAX(ABS(BN3:BN5)),ABS(BN3:BN5),0)</f>
        <v>1</v>
      </c>
      <c r="BO6" s="13">
        <f t="array" ref="BO6">MATCH(MAX(ABS(BO3:BO5)),ABS(BO3:BO5),0)</f>
        <v>1</v>
      </c>
      <c r="BP6" s="13">
        <f t="array" ref="BP6">MATCH(MAX(ABS(BP3:BP5)),ABS(BP3:BP5),0)</f>
        <v>1</v>
      </c>
      <c r="BQ6" s="13">
        <f t="array" ref="BQ6">MATCH(MAX(ABS(BQ3:BQ5)),ABS(BQ3:BQ5),0)</f>
        <v>1</v>
      </c>
      <c r="BR6" s="13">
        <f t="array" ref="BR6">MATCH(MAX(ABS(BR3:BR5)),ABS(BR3:BR5),0)</f>
        <v>1</v>
      </c>
      <c r="BS6" s="13">
        <f t="array" ref="BS6">MATCH(MAX(ABS(BS3:BS5)),ABS(BS3:BS5),0)</f>
        <v>1</v>
      </c>
      <c r="BT6" s="13">
        <f t="array" ref="BT6">MATCH(MAX(ABS(BT3:BT5)),ABS(BT3:BT5),0)</f>
        <v>1</v>
      </c>
      <c r="BU6" s="13">
        <f t="array" ref="BU6">MATCH(MAX(ABS(BU3:BU5)),ABS(BU3:BU5),0)</f>
        <v>1</v>
      </c>
      <c r="BV6" s="13">
        <f t="array" ref="BV6">MATCH(MAX(ABS(BV3:BV5)),ABS(BV3:BV5),0)</f>
        <v>1</v>
      </c>
      <c r="BW6" s="13">
        <f t="array" ref="BW6">MATCH(MAX(ABS(BW3:BW5)),ABS(BW3:BW5),0)</f>
        <v>1</v>
      </c>
      <c r="BX6" s="13">
        <f t="array" ref="BX6">MATCH(MAX(ABS(BX3:BX5)),ABS(BX3:BX5),0)</f>
        <v>1</v>
      </c>
      <c r="BY6" s="13">
        <f t="array" ref="BY6">MATCH(MAX(ABS(BY3:BY5)),ABS(BY3:BY5),0)</f>
        <v>1</v>
      </c>
      <c r="BZ6" s="13">
        <f t="array" ref="BZ6">MATCH(MAX(ABS(BZ3:BZ5)),ABS(BZ3:BZ5),0)</f>
        <v>1</v>
      </c>
      <c r="CA6" s="13">
        <f t="array" ref="CA6">MATCH(MAX(ABS(CA3:CA5)),ABS(CA3:CA5),0)</f>
        <v>2</v>
      </c>
      <c r="CB6" s="13">
        <f t="array" ref="CB6">MATCH(MAX(ABS(CB3:CB5)),ABS(CB3:CB5),0)</f>
        <v>1</v>
      </c>
      <c r="CC6" s="13">
        <f t="array" ref="CC6">MATCH(MAX(ABS(CC3:CC5)),ABS(CC3:CC5),0)</f>
        <v>1</v>
      </c>
      <c r="CD6" s="13">
        <f t="array" ref="CD6">MATCH(MAX(ABS(CD3:CD5)),ABS(CD3:CD5),0)</f>
        <v>1</v>
      </c>
      <c r="CE6" s="13">
        <f t="array" ref="CE6">MATCH(MAX(ABS(CE3:CE5)),ABS(CE3:CE5),0)</f>
        <v>1</v>
      </c>
      <c r="CF6" s="13">
        <f t="array" ref="CF6">MATCH(MAX(ABS(CF3:CF5)),ABS(CF3:CF5),0)</f>
        <v>1</v>
      </c>
      <c r="CG6" s="13">
        <f t="array" ref="CG6">MATCH(MAX(ABS(CG3:CG5)),ABS(CG3:CG5),0)</f>
        <v>1</v>
      </c>
      <c r="CH6" s="13">
        <f t="array" ref="CH6">MATCH(MAX(ABS(CH3:CH5)),ABS(CH3:CH5),0)</f>
        <v>1</v>
      </c>
      <c r="CI6" s="13">
        <f t="array" ref="CI6">MATCH(MAX(ABS(CI3:CI5)),ABS(CI3:CI5),0)</f>
        <v>1</v>
      </c>
      <c r="CJ6" s="13">
        <f t="array" ref="CJ6">MATCH(MAX(ABS(CJ3:CJ5)),ABS(CJ3:CJ5),0)</f>
        <v>1</v>
      </c>
      <c r="CK6" s="13">
        <f t="array" ref="CK6">MATCH(MAX(ABS(CK3:CK5)),ABS(CK3:CK5),0)</f>
        <v>1</v>
      </c>
      <c r="CL6" s="13">
        <f t="array" ref="CL6">MATCH(MAX(ABS(CL3:CL5)),ABS(CL3:CL5),0)</f>
        <v>1</v>
      </c>
      <c r="CM6" s="13">
        <f t="array" ref="CM6">MATCH(MAX(ABS(CM3:CM5)),ABS(CM3:CM5),0)</f>
        <v>1</v>
      </c>
      <c r="CN6" s="13">
        <f t="array" ref="CN6">MATCH(MAX(ABS(CN3:CN5)),ABS(CN3:CN5),0)</f>
        <v>1</v>
      </c>
      <c r="CO6" s="13">
        <f t="array" ref="CO6">MATCH(MAX(ABS(CO3:CO5)),ABS(CO3:CO5),0)</f>
        <v>1</v>
      </c>
      <c r="CP6" s="13">
        <f t="array" ref="CP6">MATCH(MAX(ABS(CP3:CP5)),ABS(CP3:CP5),0)</f>
        <v>1</v>
      </c>
      <c r="CQ6" s="13">
        <f t="array" ref="CQ6">MATCH(MAX(ABS(CQ3:CQ5)),ABS(CQ3:CQ5),0)</f>
        <v>1</v>
      </c>
      <c r="CR6" s="13">
        <f t="array" ref="CR6">MATCH(MAX(ABS(CR3:CR5)),ABS(CR3:CR5),0)</f>
        <v>1</v>
      </c>
      <c r="CS6" s="13">
        <f t="array" ref="CS6">MATCH(MAX(ABS(CS3:CS5)),ABS(CS3:CS5),0)</f>
        <v>1</v>
      </c>
      <c r="CT6" s="13">
        <f t="array" ref="CT6">MATCH(MAX(ABS(CT3:CT5)),ABS(CT3:CT5),0)</f>
        <v>1</v>
      </c>
      <c r="CU6" s="13">
        <f t="array" ref="CU6">MATCH(MAX(ABS(CU3:CU5)),ABS(CU3:CU5),0)</f>
        <v>1</v>
      </c>
      <c r="CV6" s="13">
        <f t="array" ref="CV6">MATCH(MAX(ABS(CV3:CV5)),ABS(CV3:CV5),0)</f>
        <v>1</v>
      </c>
      <c r="CW6" s="13">
        <f t="array" ref="CW6">MATCH(MAX(ABS(CW3:CW5)),ABS(CW3:CW5),0)</f>
        <v>1</v>
      </c>
      <c r="CX6" s="13">
        <f t="array" ref="CX6">MATCH(MAX(ABS(CX3:CX5)),ABS(CX3:CX5),0)</f>
        <v>1</v>
      </c>
      <c r="CY6" s="13">
        <f t="array" ref="CY6">MATCH(MAX(ABS(CY3:CY5)),ABS(CY3:CY5),0)</f>
        <v>1</v>
      </c>
      <c r="CZ6" s="13">
        <f t="array" ref="CZ6">MATCH(MAX(ABS(CZ3:CZ5)),ABS(CZ3:CZ5),0)</f>
        <v>1</v>
      </c>
      <c r="DA6" s="13">
        <f t="array" ref="DA6">MATCH(MAX(ABS(DA3:DA5)),ABS(DA3:DA5),0)</f>
        <v>1</v>
      </c>
      <c r="DB6" s="13">
        <f t="array" ref="DB6">MATCH(MAX(ABS(DB3:DB5)),ABS(DB3:DB5),0)</f>
        <v>1</v>
      </c>
      <c r="DC6" s="13">
        <f t="array" ref="DC6">MATCH(MAX(ABS(DC3:DC5)),ABS(DC3:DC5),0)</f>
        <v>1</v>
      </c>
      <c r="DD6" s="13">
        <f t="array" ref="DD6">MATCH(MAX(ABS(DD3:DD5)),ABS(DD3:DD5),0)</f>
        <v>1</v>
      </c>
      <c r="DE6" s="13">
        <f t="array" ref="DE6">MATCH(MAX(ABS(DE3:DE5)),ABS(DE3:DE5),0)</f>
        <v>1</v>
      </c>
      <c r="DF6" s="13">
        <f t="array" ref="DF6">MATCH(MAX(ABS(DF3:DF5)),ABS(DF3:DF5),0)</f>
        <v>1</v>
      </c>
      <c r="DG6" s="13">
        <f t="array" ref="DG6">MATCH(MAX(ABS(DG3:DG5)),ABS(DG3:DG5),0)</f>
        <v>1</v>
      </c>
      <c r="DH6" s="13">
        <f t="array" ref="DH6">MATCH(MAX(ABS(DH3:DH5)),ABS(DH3:DH5),0)</f>
        <v>1</v>
      </c>
      <c r="DI6" s="13">
        <f t="array" ref="DI6">MATCH(MAX(ABS(DI3:DI5)),ABS(DI3:DI5),0)</f>
        <v>1</v>
      </c>
      <c r="DJ6" s="13">
        <f t="array" ref="DJ6">MATCH(MAX(ABS(DJ3:DJ5)),ABS(DJ3:DJ5),0)</f>
        <v>1</v>
      </c>
      <c r="DK6" s="13">
        <f t="array" ref="DK6">MATCH(MAX(ABS(DK3:DK5)),ABS(DK3:DK5),0)</f>
        <v>1</v>
      </c>
      <c r="DL6" s="13">
        <f t="array" ref="DL6">MATCH(MAX(ABS(DL3:DL5)),ABS(DL3:DL5),0)</f>
        <v>1</v>
      </c>
      <c r="DM6" s="13">
        <f t="array" ref="DM6">MATCH(MAX(ABS(DM3:DM5)),ABS(DM3:DM5),0)</f>
        <v>1</v>
      </c>
      <c r="DN6" s="13">
        <f t="array" ref="DN6">MATCH(MAX(ABS(DN3:DN5)),ABS(DN3:DN5),0)</f>
        <v>1</v>
      </c>
      <c r="DO6" s="13">
        <f t="array" ref="DO6">MATCH(MAX(ABS(DO3:DO5)),ABS(DO3:DO5),0)</f>
        <v>1</v>
      </c>
      <c r="DP6" s="13">
        <f t="array" ref="DP6">MATCH(MAX(ABS(DP3:DP5)),ABS(DP3:DP5),0)</f>
        <v>1</v>
      </c>
      <c r="DQ6" s="13">
        <f t="array" ref="DQ6">MATCH(MAX(ABS(DQ3:DQ5)),ABS(DQ3:DQ5),0)</f>
        <v>1</v>
      </c>
      <c r="DR6" s="13">
        <f t="array" ref="DR6">MATCH(MAX(ABS(DR3:DR5)),ABS(DR3:DR5),0)</f>
        <v>1</v>
      </c>
      <c r="DS6" s="13">
        <f t="array" ref="DS6">MATCH(MAX(ABS(DS3:DS5)),ABS(DS3:DS5),0)</f>
        <v>1</v>
      </c>
      <c r="DT6" s="13">
        <f t="array" ref="DT6">MATCH(MAX(ABS(DT3:DT5)),ABS(DT3:DT5),0)</f>
        <v>1</v>
      </c>
      <c r="DU6" s="13">
        <f t="array" ref="DU6">MATCH(MAX(ABS(DU3:DU5)),ABS(DU3:DU5),0)</f>
        <v>1</v>
      </c>
      <c r="DV6" s="13">
        <f t="array" ref="DV6">MATCH(MAX(ABS(DV3:DV5)),ABS(DV3:DV5),0)</f>
        <v>1</v>
      </c>
      <c r="DW6" s="13">
        <f t="array" ref="DW6">MATCH(MAX(ABS(DW3:DW5)),ABS(DW3:DW5),0)</f>
        <v>1</v>
      </c>
      <c r="DX6" s="13">
        <f t="array" ref="DX6">MATCH(MAX(ABS(DX3:DX5)),ABS(DX3:DX5),0)</f>
        <v>1</v>
      </c>
      <c r="DY6" s="13">
        <f t="array" ref="DY6">MATCH(MAX(ABS(DY3:DY5)),ABS(DY3:DY5),0)</f>
        <v>1</v>
      </c>
      <c r="DZ6" s="13">
        <f t="array" ref="DZ6">MATCH(MAX(ABS(DZ3:DZ5)),ABS(DZ3:DZ5),0)</f>
        <v>1</v>
      </c>
      <c r="EA6" s="13">
        <f t="array" ref="EA6">MATCH(MAX(ABS(EA3:EA5)),ABS(EA3:EA5),0)</f>
        <v>1</v>
      </c>
      <c r="EB6" s="13">
        <f t="array" ref="EB6">MATCH(MAX(ABS(EB3:EB5)),ABS(EB3:EB5),0)</f>
        <v>1</v>
      </c>
      <c r="EC6" s="13">
        <f t="array" ref="EC6">MATCH(MAX(ABS(EC3:EC5)),ABS(EC3:EC5),0)</f>
        <v>1</v>
      </c>
      <c r="ED6" s="13">
        <f t="array" ref="ED6">MATCH(MAX(ABS(ED3:ED5)),ABS(ED3:ED5),0)</f>
        <v>1</v>
      </c>
      <c r="EE6" s="13">
        <f t="array" ref="EE6">MATCH(MAX(ABS(EE3:EE5)),ABS(EE3:EE5),0)</f>
        <v>1</v>
      </c>
      <c r="EF6" s="13">
        <f t="array" ref="EF6">MATCH(MAX(ABS(EF3:EF5)),ABS(EF3:EF5),0)</f>
        <v>1</v>
      </c>
    </row>
    <row r="7" spans="1:136">
      <c r="C7" s="14" t="str">
        <f t="shared" ref="C7:AH7" si="0">IF(C6=1,"bm",IF(C6=2,"size",IF(C6=3,"mom")))</f>
        <v>bm</v>
      </c>
      <c r="D7" s="14" t="str">
        <f t="shared" si="0"/>
        <v>size</v>
      </c>
      <c r="E7" s="14" t="str">
        <f t="shared" si="0"/>
        <v>bm</v>
      </c>
      <c r="F7" s="14" t="str">
        <f t="shared" si="0"/>
        <v>size</v>
      </c>
      <c r="G7" s="14" t="str">
        <f t="shared" si="0"/>
        <v>bm</v>
      </c>
      <c r="H7" s="14" t="str">
        <f t="shared" si="0"/>
        <v>size</v>
      </c>
      <c r="I7" s="14" t="str">
        <f t="shared" si="0"/>
        <v>size</v>
      </c>
      <c r="J7" s="14" t="str">
        <f t="shared" si="0"/>
        <v>size</v>
      </c>
      <c r="K7" s="14" t="str">
        <f t="shared" si="0"/>
        <v>bm</v>
      </c>
      <c r="L7" s="14" t="str">
        <f t="shared" si="0"/>
        <v>bm</v>
      </c>
      <c r="M7" s="14" t="str">
        <f t="shared" si="0"/>
        <v>size</v>
      </c>
      <c r="N7" s="14" t="str">
        <f t="shared" si="0"/>
        <v>size</v>
      </c>
      <c r="O7" s="14" t="str">
        <f t="shared" si="0"/>
        <v>size</v>
      </c>
      <c r="P7" s="14" t="str">
        <f t="shared" si="0"/>
        <v>size</v>
      </c>
      <c r="Q7" s="14" t="str">
        <f t="shared" si="0"/>
        <v>size</v>
      </c>
      <c r="R7" s="14" t="str">
        <f t="shared" si="0"/>
        <v>size</v>
      </c>
      <c r="S7" s="14" t="str">
        <f t="shared" si="0"/>
        <v>size</v>
      </c>
      <c r="T7" s="14" t="str">
        <f t="shared" si="0"/>
        <v>size</v>
      </c>
      <c r="U7" s="14" t="str">
        <f t="shared" si="0"/>
        <v>size</v>
      </c>
      <c r="V7" s="14" t="str">
        <f t="shared" si="0"/>
        <v>size</v>
      </c>
      <c r="W7" s="14" t="str">
        <f t="shared" si="0"/>
        <v>size</v>
      </c>
      <c r="X7" s="14" t="str">
        <f t="shared" si="0"/>
        <v>size</v>
      </c>
      <c r="Y7" s="14" t="str">
        <f t="shared" si="0"/>
        <v>size</v>
      </c>
      <c r="Z7" s="14" t="str">
        <f t="shared" si="0"/>
        <v>size</v>
      </c>
      <c r="AA7" s="14" t="str">
        <f t="shared" si="0"/>
        <v>bm</v>
      </c>
      <c r="AB7" s="14" t="str">
        <f t="shared" si="0"/>
        <v>size</v>
      </c>
      <c r="AC7" s="14" t="str">
        <f t="shared" si="0"/>
        <v>size</v>
      </c>
      <c r="AD7" s="14" t="str">
        <f t="shared" si="0"/>
        <v>bm</v>
      </c>
      <c r="AE7" s="14" t="str">
        <f t="shared" si="0"/>
        <v>size</v>
      </c>
      <c r="AF7" s="14" t="str">
        <f t="shared" si="0"/>
        <v>bm</v>
      </c>
      <c r="AG7" s="14" t="str">
        <f t="shared" si="0"/>
        <v>size</v>
      </c>
      <c r="AH7" s="14" t="str">
        <f t="shared" si="0"/>
        <v>bm</v>
      </c>
      <c r="AI7" s="14" t="str">
        <f t="shared" ref="AI7:BN7" si="1">IF(AI6=1,"bm",IF(AI6=2,"size",IF(AI6=3,"mom")))</f>
        <v>size</v>
      </c>
      <c r="AJ7" s="14" t="str">
        <f t="shared" si="1"/>
        <v>size</v>
      </c>
      <c r="AK7" s="14" t="str">
        <f t="shared" si="1"/>
        <v>size</v>
      </c>
      <c r="AL7" s="14" t="str">
        <f t="shared" si="1"/>
        <v>bm</v>
      </c>
      <c r="AM7" s="14" t="str">
        <f t="shared" si="1"/>
        <v>bm</v>
      </c>
      <c r="AN7" s="14" t="str">
        <f t="shared" si="1"/>
        <v>bm</v>
      </c>
      <c r="AO7" s="14" t="str">
        <f t="shared" si="1"/>
        <v>bm</v>
      </c>
      <c r="AP7" s="14" t="str">
        <f t="shared" si="1"/>
        <v>size</v>
      </c>
      <c r="AQ7" s="14" t="str">
        <f t="shared" si="1"/>
        <v>bm</v>
      </c>
      <c r="AR7" s="14" t="str">
        <f t="shared" si="1"/>
        <v>bm</v>
      </c>
      <c r="AS7" s="14" t="str">
        <f t="shared" si="1"/>
        <v>bm</v>
      </c>
      <c r="AT7" s="14" t="str">
        <f t="shared" si="1"/>
        <v>bm</v>
      </c>
      <c r="AU7" s="14" t="str">
        <f t="shared" si="1"/>
        <v>bm</v>
      </c>
      <c r="AV7" s="14" t="str">
        <f t="shared" si="1"/>
        <v>bm</v>
      </c>
      <c r="AW7" s="14" t="str">
        <f t="shared" si="1"/>
        <v>bm</v>
      </c>
      <c r="AX7" s="14" t="str">
        <f t="shared" si="1"/>
        <v>size</v>
      </c>
      <c r="AY7" s="14" t="str">
        <f t="shared" si="1"/>
        <v>bm</v>
      </c>
      <c r="AZ7" s="14" t="str">
        <f t="shared" si="1"/>
        <v>bm</v>
      </c>
      <c r="BA7" s="14" t="str">
        <f t="shared" si="1"/>
        <v>bm</v>
      </c>
      <c r="BB7" s="14" t="str">
        <f t="shared" si="1"/>
        <v>bm</v>
      </c>
      <c r="BC7" s="14" t="str">
        <f t="shared" si="1"/>
        <v>bm</v>
      </c>
      <c r="BD7" s="14" t="str">
        <f t="shared" si="1"/>
        <v>bm</v>
      </c>
      <c r="BE7" s="14" t="str">
        <f t="shared" si="1"/>
        <v>bm</v>
      </c>
      <c r="BF7" s="14" t="str">
        <f t="shared" si="1"/>
        <v>bm</v>
      </c>
      <c r="BG7" s="14" t="str">
        <f t="shared" si="1"/>
        <v>bm</v>
      </c>
      <c r="BH7" s="14" t="str">
        <f t="shared" si="1"/>
        <v>bm</v>
      </c>
      <c r="BI7" s="14" t="str">
        <f t="shared" si="1"/>
        <v>bm</v>
      </c>
      <c r="BJ7" s="14" t="str">
        <f t="shared" si="1"/>
        <v>bm</v>
      </c>
      <c r="BK7" s="14" t="str">
        <f t="shared" si="1"/>
        <v>bm</v>
      </c>
      <c r="BL7" s="14" t="str">
        <f t="shared" si="1"/>
        <v>bm</v>
      </c>
      <c r="BM7" s="14" t="str">
        <f t="shared" si="1"/>
        <v>bm</v>
      </c>
      <c r="BN7" s="14" t="str">
        <f t="shared" si="1"/>
        <v>bm</v>
      </c>
      <c r="BO7" s="14" t="str">
        <f t="shared" ref="BO7:CT7" si="2">IF(BO6=1,"bm",IF(BO6=2,"size",IF(BO6=3,"mom")))</f>
        <v>bm</v>
      </c>
      <c r="BP7" s="14" t="str">
        <f t="shared" si="2"/>
        <v>bm</v>
      </c>
      <c r="BQ7" s="14" t="str">
        <f t="shared" si="2"/>
        <v>bm</v>
      </c>
      <c r="BR7" s="14" t="str">
        <f t="shared" si="2"/>
        <v>bm</v>
      </c>
      <c r="BS7" s="14" t="str">
        <f t="shared" si="2"/>
        <v>bm</v>
      </c>
      <c r="BT7" s="14" t="str">
        <f t="shared" si="2"/>
        <v>bm</v>
      </c>
      <c r="BU7" s="14" t="str">
        <f t="shared" si="2"/>
        <v>bm</v>
      </c>
      <c r="BV7" s="14" t="str">
        <f t="shared" si="2"/>
        <v>bm</v>
      </c>
      <c r="BW7" s="14" t="str">
        <f t="shared" si="2"/>
        <v>bm</v>
      </c>
      <c r="BX7" s="14" t="str">
        <f t="shared" si="2"/>
        <v>bm</v>
      </c>
      <c r="BY7" s="14" t="str">
        <f t="shared" si="2"/>
        <v>bm</v>
      </c>
      <c r="BZ7" s="14" t="str">
        <f t="shared" si="2"/>
        <v>bm</v>
      </c>
      <c r="CA7" s="14" t="str">
        <f t="shared" si="2"/>
        <v>size</v>
      </c>
      <c r="CB7" s="14" t="str">
        <f t="shared" si="2"/>
        <v>bm</v>
      </c>
      <c r="CC7" s="14" t="str">
        <f t="shared" si="2"/>
        <v>bm</v>
      </c>
      <c r="CD7" s="14" t="str">
        <f t="shared" si="2"/>
        <v>bm</v>
      </c>
      <c r="CE7" s="14" t="str">
        <f t="shared" si="2"/>
        <v>bm</v>
      </c>
      <c r="CF7" s="14" t="str">
        <f t="shared" si="2"/>
        <v>bm</v>
      </c>
      <c r="CG7" s="14" t="str">
        <f t="shared" si="2"/>
        <v>bm</v>
      </c>
      <c r="CH7" s="14" t="str">
        <f t="shared" si="2"/>
        <v>bm</v>
      </c>
      <c r="CI7" s="14" t="str">
        <f t="shared" si="2"/>
        <v>bm</v>
      </c>
      <c r="CJ7" s="14" t="str">
        <f t="shared" si="2"/>
        <v>bm</v>
      </c>
      <c r="CK7" s="14" t="str">
        <f t="shared" si="2"/>
        <v>bm</v>
      </c>
      <c r="CL7" s="14" t="str">
        <f t="shared" si="2"/>
        <v>bm</v>
      </c>
      <c r="CM7" s="14" t="str">
        <f t="shared" si="2"/>
        <v>bm</v>
      </c>
      <c r="CN7" s="14" t="str">
        <f t="shared" si="2"/>
        <v>bm</v>
      </c>
      <c r="CO7" s="14" t="str">
        <f t="shared" si="2"/>
        <v>bm</v>
      </c>
      <c r="CP7" s="14" t="str">
        <f t="shared" si="2"/>
        <v>bm</v>
      </c>
      <c r="CQ7" s="14" t="str">
        <f t="shared" si="2"/>
        <v>bm</v>
      </c>
      <c r="CR7" s="14" t="str">
        <f t="shared" si="2"/>
        <v>bm</v>
      </c>
      <c r="CS7" s="14" t="str">
        <f t="shared" si="2"/>
        <v>bm</v>
      </c>
      <c r="CT7" s="14" t="str">
        <f t="shared" si="2"/>
        <v>bm</v>
      </c>
      <c r="CU7" s="14" t="str">
        <f t="shared" ref="CU7:DZ7" si="3">IF(CU6=1,"bm",IF(CU6=2,"size",IF(CU6=3,"mom")))</f>
        <v>bm</v>
      </c>
      <c r="CV7" s="14" t="str">
        <f t="shared" si="3"/>
        <v>bm</v>
      </c>
      <c r="CW7" s="14" t="str">
        <f t="shared" si="3"/>
        <v>bm</v>
      </c>
      <c r="CX7" s="14" t="str">
        <f t="shared" si="3"/>
        <v>bm</v>
      </c>
      <c r="CY7" s="14" t="str">
        <f t="shared" si="3"/>
        <v>bm</v>
      </c>
      <c r="CZ7" s="14" t="str">
        <f t="shared" si="3"/>
        <v>bm</v>
      </c>
      <c r="DA7" s="14" t="str">
        <f t="shared" si="3"/>
        <v>bm</v>
      </c>
      <c r="DB7" s="14" t="str">
        <f t="shared" si="3"/>
        <v>bm</v>
      </c>
      <c r="DC7" s="14" t="str">
        <f t="shared" si="3"/>
        <v>bm</v>
      </c>
      <c r="DD7" s="14" t="str">
        <f t="shared" si="3"/>
        <v>bm</v>
      </c>
      <c r="DE7" s="14" t="str">
        <f t="shared" si="3"/>
        <v>bm</v>
      </c>
      <c r="DF7" s="14" t="str">
        <f t="shared" si="3"/>
        <v>bm</v>
      </c>
      <c r="DG7" s="14" t="str">
        <f t="shared" si="3"/>
        <v>bm</v>
      </c>
      <c r="DH7" s="14" t="str">
        <f t="shared" si="3"/>
        <v>bm</v>
      </c>
      <c r="DI7" s="14" t="str">
        <f t="shared" si="3"/>
        <v>bm</v>
      </c>
      <c r="DJ7" s="14" t="str">
        <f t="shared" si="3"/>
        <v>bm</v>
      </c>
      <c r="DK7" s="14" t="str">
        <f t="shared" si="3"/>
        <v>bm</v>
      </c>
      <c r="DL7" s="14" t="str">
        <f t="shared" si="3"/>
        <v>bm</v>
      </c>
      <c r="DM7" s="14" t="str">
        <f t="shared" si="3"/>
        <v>bm</v>
      </c>
      <c r="DN7" s="14" t="str">
        <f t="shared" si="3"/>
        <v>bm</v>
      </c>
      <c r="DO7" s="14" t="str">
        <f t="shared" si="3"/>
        <v>bm</v>
      </c>
      <c r="DP7" s="14" t="str">
        <f t="shared" si="3"/>
        <v>bm</v>
      </c>
      <c r="DQ7" s="14" t="str">
        <f t="shared" si="3"/>
        <v>bm</v>
      </c>
      <c r="DR7" s="14" t="str">
        <f t="shared" si="3"/>
        <v>bm</v>
      </c>
      <c r="DS7" s="14" t="str">
        <f t="shared" si="3"/>
        <v>bm</v>
      </c>
      <c r="DT7" s="14" t="str">
        <f t="shared" si="3"/>
        <v>bm</v>
      </c>
      <c r="DU7" s="14" t="str">
        <f t="shared" si="3"/>
        <v>bm</v>
      </c>
      <c r="DV7" s="14" t="str">
        <f t="shared" si="3"/>
        <v>bm</v>
      </c>
      <c r="DW7" s="14" t="str">
        <f t="shared" si="3"/>
        <v>bm</v>
      </c>
      <c r="DX7" s="14" t="str">
        <f t="shared" si="3"/>
        <v>bm</v>
      </c>
      <c r="DY7" s="14" t="str">
        <f t="shared" si="3"/>
        <v>bm</v>
      </c>
      <c r="DZ7" s="14" t="str">
        <f t="shared" si="3"/>
        <v>bm</v>
      </c>
      <c r="EA7" s="14" t="str">
        <f t="shared" ref="EA7:EF7" si="4">IF(EA6=1,"bm",IF(EA6=2,"size",IF(EA6=3,"mom")))</f>
        <v>bm</v>
      </c>
      <c r="EB7" s="14" t="str">
        <f t="shared" si="4"/>
        <v>bm</v>
      </c>
      <c r="EC7" s="14" t="str">
        <f t="shared" si="4"/>
        <v>bm</v>
      </c>
      <c r="ED7" s="14" t="str">
        <f t="shared" si="4"/>
        <v>bm</v>
      </c>
      <c r="EE7" s="14" t="str">
        <f t="shared" si="4"/>
        <v>bm</v>
      </c>
      <c r="EF7" s="14" t="str">
        <f t="shared" si="4"/>
        <v>bm</v>
      </c>
    </row>
    <row r="8" spans="1:136">
      <c r="C8" s="13">
        <f t="shared" ref="C8:AH8" si="5">IF(C6=1,C3,IF(C6=2,C4,IF(C6=3,C5)))</f>
        <v>3.1330205500125892E-2</v>
      </c>
      <c r="D8" s="13">
        <f t="shared" si="5"/>
        <v>-3.2528996467590332E-2</v>
      </c>
      <c r="E8" s="13">
        <f t="shared" si="5"/>
        <v>2.9643896967172619E-2</v>
      </c>
      <c r="F8" s="13">
        <f t="shared" si="5"/>
        <v>-3.0678801238536831E-2</v>
      </c>
      <c r="G8" s="13">
        <f t="shared" si="5"/>
        <v>4.1800491511821747E-2</v>
      </c>
      <c r="H8" s="13">
        <f t="shared" si="5"/>
        <v>-2.7283268049359322E-2</v>
      </c>
      <c r="I8" s="13">
        <f t="shared" si="5"/>
        <v>-3.6774773150682449E-2</v>
      </c>
      <c r="J8" s="13">
        <f t="shared" si="5"/>
        <v>-3.694760799407959E-2</v>
      </c>
      <c r="K8" s="13">
        <f t="shared" si="5"/>
        <v>3.5791270434856408E-2</v>
      </c>
      <c r="L8" s="13">
        <f t="shared" si="5"/>
        <v>6.6725820302963257E-2</v>
      </c>
      <c r="M8" s="13">
        <f t="shared" si="5"/>
        <v>-3.6390375345945358E-2</v>
      </c>
      <c r="N8" s="13">
        <f t="shared" si="5"/>
        <v>-2.7910143136978149E-2</v>
      </c>
      <c r="O8" s="13">
        <f t="shared" si="5"/>
        <v>-3.4657396376132972E-2</v>
      </c>
      <c r="P8" s="13">
        <f t="shared" si="5"/>
        <v>-3.7157066166400909E-2</v>
      </c>
      <c r="Q8" s="13">
        <f t="shared" si="5"/>
        <v>-3.2246530055999763E-2</v>
      </c>
      <c r="R8" s="13">
        <f t="shared" si="5"/>
        <v>-3.2251663506031043E-2</v>
      </c>
      <c r="S8" s="13">
        <f t="shared" si="5"/>
        <v>-2.9913196340203289E-2</v>
      </c>
      <c r="T8" s="13">
        <f t="shared" si="5"/>
        <v>-2.9206940904259682E-2</v>
      </c>
      <c r="U8" s="13">
        <f t="shared" si="5"/>
        <v>-2.8744202107191089E-2</v>
      </c>
      <c r="V8" s="13">
        <f t="shared" si="5"/>
        <v>-2.8017682954668999E-2</v>
      </c>
      <c r="W8" s="13">
        <f t="shared" si="5"/>
        <v>-2.7434077113866809E-2</v>
      </c>
      <c r="X8" s="13">
        <f t="shared" si="5"/>
        <v>-2.876461856067181E-2</v>
      </c>
      <c r="Y8" s="13">
        <f t="shared" si="5"/>
        <v>-3.1099813058972359E-2</v>
      </c>
      <c r="Z8" s="13">
        <f t="shared" si="5"/>
        <v>-3.0133392661809921E-2</v>
      </c>
      <c r="AA8" s="13">
        <f t="shared" si="5"/>
        <v>7.4403420090675354E-2</v>
      </c>
      <c r="AB8" s="13">
        <f t="shared" si="5"/>
        <v>-2.964571118354797E-2</v>
      </c>
      <c r="AC8" s="13">
        <f t="shared" si="5"/>
        <v>-2.9567878693342209E-2</v>
      </c>
      <c r="AD8" s="13">
        <f t="shared" si="5"/>
        <v>-3.129136934876442E-2</v>
      </c>
      <c r="AE8" s="13">
        <f t="shared" si="5"/>
        <v>-2.8935028240084652E-2</v>
      </c>
      <c r="AF8" s="13">
        <f t="shared" si="5"/>
        <v>-3.5181421786546707E-2</v>
      </c>
      <c r="AG8" s="13">
        <f t="shared" si="5"/>
        <v>-2.828941494226456E-2</v>
      </c>
      <c r="AH8" s="13">
        <f t="shared" si="5"/>
        <v>-2.2227592766284939E-2</v>
      </c>
      <c r="AI8" s="13">
        <f t="shared" ref="AI8:BN8" si="6">IF(AI6=1,AI3,IF(AI6=2,AI4,IF(AI6=3,AI5)))</f>
        <v>-4.0709320455789573E-2</v>
      </c>
      <c r="AJ8" s="13">
        <f t="shared" si="6"/>
        <v>-3.4136712551116943E-2</v>
      </c>
      <c r="AK8" s="13">
        <f t="shared" si="6"/>
        <v>-2.7761854231357571E-2</v>
      </c>
      <c r="AL8" s="13">
        <f t="shared" si="6"/>
        <v>6.0541510581970208E-2</v>
      </c>
      <c r="AM8" s="13">
        <f t="shared" si="6"/>
        <v>4.2939703911542892E-2</v>
      </c>
      <c r="AN8" s="13">
        <f t="shared" si="6"/>
        <v>4.6451166272163391E-2</v>
      </c>
      <c r="AO8" s="13">
        <f t="shared" si="6"/>
        <v>4.6414647251367569E-2</v>
      </c>
      <c r="AP8" s="13">
        <f t="shared" si="6"/>
        <v>-3.5248521715402603E-2</v>
      </c>
      <c r="AQ8" s="13">
        <f t="shared" si="6"/>
        <v>4.9711406230926507E-2</v>
      </c>
      <c r="AR8" s="13">
        <f t="shared" si="6"/>
        <v>4.072609543800354E-2</v>
      </c>
      <c r="AS8" s="13">
        <f t="shared" si="6"/>
        <v>3.7940710783004761E-2</v>
      </c>
      <c r="AT8" s="13">
        <f t="shared" si="6"/>
        <v>4.3215282261371613E-2</v>
      </c>
      <c r="AU8" s="13">
        <f t="shared" si="6"/>
        <v>3.5848293453454971E-2</v>
      </c>
      <c r="AV8" s="13">
        <f t="shared" si="6"/>
        <v>4.8106551170349121E-2</v>
      </c>
      <c r="AW8" s="13">
        <f t="shared" si="6"/>
        <v>0.25755825638771063</v>
      </c>
      <c r="AX8" s="13">
        <f t="shared" si="6"/>
        <v>-2.6401566341519359E-2</v>
      </c>
      <c r="AY8" s="13">
        <f t="shared" si="6"/>
        <v>5.6368216872215271E-2</v>
      </c>
      <c r="AZ8" s="13">
        <f t="shared" si="6"/>
        <v>4.440823569893837E-2</v>
      </c>
      <c r="BA8" s="13">
        <f t="shared" si="6"/>
        <v>4.0217362344264977E-2</v>
      </c>
      <c r="BB8" s="13">
        <f t="shared" si="6"/>
        <v>3.9215490221977227E-2</v>
      </c>
      <c r="BC8" s="13">
        <f t="shared" si="6"/>
        <v>5.1480397582054138E-2</v>
      </c>
      <c r="BD8" s="13">
        <f t="shared" si="6"/>
        <v>4.9942176789045327E-2</v>
      </c>
      <c r="BE8" s="13">
        <f t="shared" si="6"/>
        <v>4.9302525818347931E-2</v>
      </c>
      <c r="BF8" s="13">
        <f t="shared" si="6"/>
        <v>5.0215017050504678E-2</v>
      </c>
      <c r="BG8" s="13">
        <f t="shared" si="6"/>
        <v>4.4806387275457382E-2</v>
      </c>
      <c r="BH8" s="13">
        <f t="shared" si="6"/>
        <v>7.2218522429466248E-2</v>
      </c>
      <c r="BI8" s="13">
        <f t="shared" si="6"/>
        <v>5.3198006004095078E-2</v>
      </c>
      <c r="BJ8" s="13">
        <f t="shared" si="6"/>
        <v>5.0947383046150208E-2</v>
      </c>
      <c r="BK8" s="13">
        <f t="shared" si="6"/>
        <v>4.6847827732563019E-2</v>
      </c>
      <c r="BL8" s="13">
        <f t="shared" si="6"/>
        <v>5.1777664572000497E-2</v>
      </c>
      <c r="BM8" s="13">
        <f t="shared" si="6"/>
        <v>4.5751150697469711E-2</v>
      </c>
      <c r="BN8" s="13">
        <f t="shared" si="6"/>
        <v>5.1456984132528312E-2</v>
      </c>
      <c r="BO8" s="13">
        <f t="shared" ref="BO8:CT8" si="7">IF(BO6=1,BO3,IF(BO6=2,BO4,IF(BO6=3,BO5)))</f>
        <v>5.444614589214325E-2</v>
      </c>
      <c r="BP8" s="13">
        <f t="shared" si="7"/>
        <v>5.1880281418561942E-2</v>
      </c>
      <c r="BQ8" s="13">
        <f t="shared" si="7"/>
        <v>4.9081109464168549E-2</v>
      </c>
      <c r="BR8" s="13">
        <f t="shared" si="7"/>
        <v>3.0115354806184769E-2</v>
      </c>
      <c r="BS8" s="13">
        <f t="shared" si="7"/>
        <v>4.8800110816955573E-2</v>
      </c>
      <c r="BT8" s="13">
        <f t="shared" si="7"/>
        <v>4.8635218292474747E-2</v>
      </c>
      <c r="BU8" s="13">
        <f t="shared" si="7"/>
        <v>4.5633736997842789E-2</v>
      </c>
      <c r="BV8" s="13">
        <f t="shared" si="7"/>
        <v>4.947228729724884E-2</v>
      </c>
      <c r="BW8" s="13">
        <f t="shared" si="7"/>
        <v>4.4601880013942719E-2</v>
      </c>
      <c r="BX8" s="13">
        <f t="shared" si="7"/>
        <v>4.56710085272789E-2</v>
      </c>
      <c r="BY8" s="13">
        <f t="shared" si="7"/>
        <v>3.6897704005241387E-2</v>
      </c>
      <c r="BZ8" s="13">
        <f t="shared" si="7"/>
        <v>0.21394279599189761</v>
      </c>
      <c r="CA8" s="13">
        <f t="shared" si="7"/>
        <v>-3.2349672168493271E-2</v>
      </c>
      <c r="CB8" s="13">
        <f t="shared" si="7"/>
        <v>4.6074997633695602E-2</v>
      </c>
      <c r="CC8" s="13">
        <f t="shared" si="7"/>
        <v>7.2226598858833313E-2</v>
      </c>
      <c r="CD8" s="13">
        <f t="shared" si="7"/>
        <v>3.4700907766819E-2</v>
      </c>
      <c r="CE8" s="13">
        <f t="shared" si="7"/>
        <v>3.6362294107675552E-2</v>
      </c>
      <c r="CF8" s="13">
        <f t="shared" si="7"/>
        <v>4.7756139189004898E-2</v>
      </c>
      <c r="CG8" s="13">
        <f t="shared" si="7"/>
        <v>3.6376580595970147E-2</v>
      </c>
      <c r="CH8" s="13">
        <f t="shared" si="7"/>
        <v>4.3285507708787918E-2</v>
      </c>
      <c r="CI8" s="13">
        <f t="shared" si="7"/>
        <v>4.2804375290870673E-2</v>
      </c>
      <c r="CJ8" s="13">
        <f t="shared" si="7"/>
        <v>4.3789677321910858E-2</v>
      </c>
      <c r="CK8" s="13">
        <f t="shared" si="7"/>
        <v>4.193609207868576E-2</v>
      </c>
      <c r="CL8" s="13">
        <f t="shared" si="7"/>
        <v>4.5073911547660828E-2</v>
      </c>
      <c r="CM8" s="13">
        <f t="shared" si="7"/>
        <v>5.7426575571298599E-2</v>
      </c>
      <c r="CN8" s="13">
        <f t="shared" si="7"/>
        <v>4.8870686441659927E-2</v>
      </c>
      <c r="CO8" s="13">
        <f t="shared" si="7"/>
        <v>4.6467091888189323E-2</v>
      </c>
      <c r="CP8" s="13">
        <f t="shared" si="7"/>
        <v>4.5427285134792328E-2</v>
      </c>
      <c r="CQ8" s="13">
        <f t="shared" si="7"/>
        <v>4.3254118412733078E-2</v>
      </c>
      <c r="CR8" s="13">
        <f t="shared" si="7"/>
        <v>4.2831581085920327E-2</v>
      </c>
      <c r="CS8" s="13">
        <f t="shared" si="7"/>
        <v>4.1360333561897278E-2</v>
      </c>
      <c r="CT8" s="13">
        <f t="shared" si="7"/>
        <v>2.374728582799435E-2</v>
      </c>
      <c r="CU8" s="13">
        <f t="shared" ref="CU8:DZ8" si="8">IF(CU6=1,CU3,IF(CU6=2,CU4,IF(CU6=3,CU5)))</f>
        <v>3.9278171956539147E-2</v>
      </c>
      <c r="CV8" s="13">
        <f t="shared" si="8"/>
        <v>4.09957654774189E-2</v>
      </c>
      <c r="CW8" s="13">
        <f t="shared" si="8"/>
        <v>3.6699786782264709E-2</v>
      </c>
      <c r="CX8" s="13">
        <f t="shared" si="8"/>
        <v>3.8764949887990952E-2</v>
      </c>
      <c r="CY8" s="13">
        <f t="shared" si="8"/>
        <v>3.7805531173944473E-2</v>
      </c>
      <c r="CZ8" s="13">
        <f t="shared" si="8"/>
        <v>4.325726255774498E-2</v>
      </c>
      <c r="DA8" s="13">
        <f t="shared" si="8"/>
        <v>4.4850636273622513E-2</v>
      </c>
      <c r="DB8" s="13">
        <f t="shared" si="8"/>
        <v>4.3851811438798897E-2</v>
      </c>
      <c r="DC8" s="13">
        <f t="shared" si="8"/>
        <v>4.9191009253263467E-2</v>
      </c>
      <c r="DD8" s="13">
        <f t="shared" si="8"/>
        <v>4.212004691362381E-2</v>
      </c>
      <c r="DE8" s="13">
        <f t="shared" si="8"/>
        <v>4.7127000987529748E-2</v>
      </c>
      <c r="DF8" s="13">
        <f t="shared" si="8"/>
        <v>3.8079626858234412E-2</v>
      </c>
      <c r="DG8" s="13">
        <f t="shared" si="8"/>
        <v>3.8307089358568192E-2</v>
      </c>
      <c r="DH8" s="13">
        <f t="shared" si="8"/>
        <v>3.9209745824337013E-2</v>
      </c>
      <c r="DI8" s="13">
        <f t="shared" si="8"/>
        <v>5.0754562020301819E-2</v>
      </c>
      <c r="DJ8" s="13">
        <f t="shared" si="8"/>
        <v>4.9327295273542397E-2</v>
      </c>
      <c r="DK8" s="13">
        <f t="shared" si="8"/>
        <v>4.6511236578226089E-2</v>
      </c>
      <c r="DL8" s="13">
        <f t="shared" si="8"/>
        <v>4.22775037586689E-2</v>
      </c>
      <c r="DM8" s="13">
        <f t="shared" si="8"/>
        <v>3.2305262982845313E-2</v>
      </c>
      <c r="DN8" s="13">
        <f t="shared" si="8"/>
        <v>4.6072427183389657E-2</v>
      </c>
      <c r="DO8" s="13">
        <f t="shared" si="8"/>
        <v>4.8485249280929572E-2</v>
      </c>
      <c r="DP8" s="13">
        <f t="shared" si="8"/>
        <v>4.6022161841392517E-2</v>
      </c>
      <c r="DQ8" s="13">
        <f t="shared" si="8"/>
        <v>4.4537413865327842E-2</v>
      </c>
      <c r="DR8" s="13">
        <f t="shared" si="8"/>
        <v>4.4425271451473243E-2</v>
      </c>
      <c r="DS8" s="13">
        <f t="shared" si="8"/>
        <v>4.2646575719118118E-2</v>
      </c>
      <c r="DT8" s="13">
        <f t="shared" si="8"/>
        <v>4.6090584248304367E-2</v>
      </c>
      <c r="DU8" s="13">
        <f t="shared" si="8"/>
        <v>4.3128091841936111E-2</v>
      </c>
      <c r="DV8" s="13">
        <f t="shared" si="8"/>
        <v>4.1349083185195923E-2</v>
      </c>
      <c r="DW8" s="13">
        <f t="shared" si="8"/>
        <v>4.0377732366323471E-2</v>
      </c>
      <c r="DX8" s="13">
        <f t="shared" si="8"/>
        <v>4.6240631490945823E-2</v>
      </c>
      <c r="DY8" s="13">
        <f t="shared" si="8"/>
        <v>4.529276117682457E-2</v>
      </c>
      <c r="DZ8" s="13">
        <f t="shared" si="8"/>
        <v>3.8002155721187592E-2</v>
      </c>
      <c r="EA8" s="13">
        <f t="shared" ref="EA8:EF8" si="9">IF(EA6=1,EA3,IF(EA6=2,EA4,IF(EA6=3,EA5)))</f>
        <v>4.3337244540452957E-2</v>
      </c>
      <c r="EB8" s="13">
        <f t="shared" si="9"/>
        <v>3.5762075334787369E-2</v>
      </c>
      <c r="EC8" s="13">
        <f t="shared" si="9"/>
        <v>3.0851878225803379E-2</v>
      </c>
      <c r="ED8" s="13">
        <f t="shared" si="9"/>
        <v>4.0065716952085488E-2</v>
      </c>
      <c r="EE8" s="13">
        <f t="shared" si="9"/>
        <v>4.3372519314289093E-2</v>
      </c>
      <c r="EF8" s="13">
        <f t="shared" si="9"/>
        <v>4.6325836330652237E-2</v>
      </c>
    </row>
    <row r="10" spans="1:136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 t="s">
        <v>142</v>
      </c>
      <c r="B11" s="2" t="s">
        <v>143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5">
        <v>45689</v>
      </c>
    </row>
    <row r="12" spans="1:136">
      <c r="A12" s="2">
        <v>10</v>
      </c>
      <c r="B12" s="2">
        <v>96</v>
      </c>
      <c r="C12" s="13">
        <v>4.701350899422875E-2</v>
      </c>
      <c r="D12" s="13">
        <v>0.11468851041666669</v>
      </c>
      <c r="E12" s="13">
        <v>-6.7540283583579167E-3</v>
      </c>
      <c r="F12" s="13">
        <v>1.342140625E-2</v>
      </c>
      <c r="G12" s="13">
        <v>7.9043467459283603E-3</v>
      </c>
      <c r="H12" s="13">
        <v>3.8530718750000012E-2</v>
      </c>
      <c r="I12" s="13">
        <v>1.280994791666666E-2</v>
      </c>
      <c r="J12" s="13">
        <v>-2.940780208333334E-2</v>
      </c>
      <c r="K12" s="13">
        <v>-1.0988403852822111E-2</v>
      </c>
      <c r="L12" s="13">
        <v>-2.2772307809632709E-3</v>
      </c>
      <c r="M12" s="13">
        <v>-3.9668749999999768E-4</v>
      </c>
      <c r="N12" s="13">
        <v>6.9326749999999965E-2</v>
      </c>
      <c r="O12" s="13">
        <v>1.7240843749999998E-2</v>
      </c>
      <c r="P12" s="13">
        <v>2.3033333333332889E-4</v>
      </c>
      <c r="Q12" s="13">
        <v>3.5270468749999978E-2</v>
      </c>
      <c r="R12" s="13">
        <v>6.6630833333333368E-3</v>
      </c>
      <c r="S12" s="13">
        <v>-1.6472229166666671E-2</v>
      </c>
      <c r="T12" s="13">
        <v>-7.7403854166666688E-3</v>
      </c>
      <c r="U12" s="13">
        <v>-1.6178791666666682E-2</v>
      </c>
      <c r="V12" s="13">
        <v>6.2048020833333217E-3</v>
      </c>
      <c r="W12" s="13">
        <v>6.4039645833333325E-2</v>
      </c>
      <c r="X12" s="13">
        <v>2.707373958333335E-2</v>
      </c>
      <c r="Y12" s="13">
        <v>1.544010416666668E-2</v>
      </c>
      <c r="Z12" s="13">
        <v>5.166041666666666E-3</v>
      </c>
      <c r="AA12" s="13">
        <v>-3.9403661401111782E-2</v>
      </c>
      <c r="AB12" s="13">
        <v>-3.7113229166666761E-3</v>
      </c>
      <c r="AC12" s="13">
        <v>5.1674479166666544E-3</v>
      </c>
      <c r="AD12" s="13">
        <v>-5.84710999923721E-3</v>
      </c>
      <c r="AE12" s="13">
        <v>-5.8317010416666662E-2</v>
      </c>
      <c r="AF12" s="13">
        <v>-2.0432151303864929E-2</v>
      </c>
      <c r="AG12" s="13">
        <v>1.207918750000001E-2</v>
      </c>
      <c r="AH12" s="13">
        <v>-1.3405804649633229E-2</v>
      </c>
      <c r="AI12" s="13">
        <v>2.3246958333333331E-2</v>
      </c>
      <c r="AJ12" s="13">
        <v>2.1062375000000012E-2</v>
      </c>
      <c r="AK12" s="13">
        <v>9.5040416666666711E-3</v>
      </c>
      <c r="AL12" s="13">
        <v>1.7859003021922081E-2</v>
      </c>
      <c r="AM12" s="13">
        <v>3.0086115612597931E-2</v>
      </c>
      <c r="AN12" s="13">
        <v>6.9233234313428524E-2</v>
      </c>
      <c r="AO12" s="13">
        <v>2.228793039673051E-3</v>
      </c>
      <c r="AP12" s="13">
        <v>-4.6336666666666696E-3</v>
      </c>
      <c r="AQ12" s="13">
        <v>-7.6219363885838051E-3</v>
      </c>
      <c r="AR12" s="13">
        <v>1.35262594499664E-2</v>
      </c>
      <c r="AS12" s="13">
        <v>1.9099718454700602E-2</v>
      </c>
      <c r="AT12" s="13">
        <v>1.3834904707671181E-2</v>
      </c>
      <c r="AU12" s="13">
        <v>2.070865868087543E-2</v>
      </c>
      <c r="AV12" s="13">
        <v>-4.1360084745025012E-2</v>
      </c>
      <c r="AW12" s="13">
        <v>6.2147701801607523E-4</v>
      </c>
      <c r="AX12" s="13">
        <v>-8.6579791666666663E-3</v>
      </c>
      <c r="AY12" s="13">
        <v>2.4955293067673249E-2</v>
      </c>
      <c r="AZ12" s="13">
        <v>-2.3000260716576439E-3</v>
      </c>
      <c r="BA12" s="13">
        <v>4.9378881832418033E-3</v>
      </c>
      <c r="BB12" s="13">
        <v>1.527460525245942E-2</v>
      </c>
      <c r="BC12" s="13">
        <v>1.227278903847649E-2</v>
      </c>
      <c r="BD12" s="13">
        <v>1.3630556941652629E-2</v>
      </c>
      <c r="BE12" s="13">
        <v>1.860880983938528E-2</v>
      </c>
      <c r="BF12" s="13">
        <v>6.7792352483200119E-2</v>
      </c>
      <c r="BG12" s="13">
        <v>3.3670862441262807E-2</v>
      </c>
      <c r="BH12" s="13">
        <v>1.422336001132196E-2</v>
      </c>
      <c r="BI12" s="13">
        <v>5.002125303099076E-2</v>
      </c>
      <c r="BJ12" s="13">
        <v>-7.9599331991781624E-4</v>
      </c>
      <c r="BK12" s="13">
        <v>-2.1284664960133971E-2</v>
      </c>
      <c r="BL12" s="13">
        <v>2.4709245830148639E-2</v>
      </c>
      <c r="BM12" s="13">
        <v>-5.1690919562298789E-3</v>
      </c>
      <c r="BN12" s="13">
        <v>1.1516535512096511E-2</v>
      </c>
      <c r="BO12" s="13">
        <v>2.4246310256236889E-2</v>
      </c>
      <c r="BP12" s="13">
        <v>-1.0508985305294091E-2</v>
      </c>
      <c r="BQ12" s="13">
        <v>1.3896749618746689E-2</v>
      </c>
      <c r="BR12" s="13">
        <v>-2.2610084533988121E-3</v>
      </c>
      <c r="BS12" s="13">
        <v>1.886329338439598E-2</v>
      </c>
      <c r="BT12" s="13">
        <v>2.2031468677444231E-2</v>
      </c>
      <c r="BU12" s="13">
        <v>8.7815171400964752E-3</v>
      </c>
      <c r="BV12" s="13">
        <v>2.3062455733191E-2</v>
      </c>
      <c r="BW12" s="13">
        <v>-2.948376871952952E-2</v>
      </c>
      <c r="BX12" s="13">
        <v>1.1477162003950089E-2</v>
      </c>
      <c r="BY12" s="13">
        <v>-3.3370800331571443E-2</v>
      </c>
      <c r="BZ12" s="13">
        <v>4.5356945691272972E-2</v>
      </c>
      <c r="CA12" s="13">
        <v>1.4580583333333331E-2</v>
      </c>
      <c r="CB12" s="13">
        <v>1.943242131762835E-3</v>
      </c>
      <c r="CC12" s="13">
        <v>-1.6770964394110251E-2</v>
      </c>
      <c r="CD12" s="13">
        <v>0.1109336335844525</v>
      </c>
      <c r="CE12" s="13">
        <v>1.161940844222922E-2</v>
      </c>
      <c r="CF12" s="13">
        <v>2.776758341377213E-2</v>
      </c>
      <c r="CG12" s="13">
        <v>4.1857234050063037E-2</v>
      </c>
      <c r="CH12" s="13">
        <v>6.3297372377959904E-2</v>
      </c>
      <c r="CI12" s="13">
        <v>-3.4655912412205718E-2</v>
      </c>
      <c r="CJ12" s="13">
        <v>1.544518047868886E-2</v>
      </c>
      <c r="CK12" s="13">
        <v>1.2803144154834811E-2</v>
      </c>
      <c r="CL12" s="13">
        <v>0.1180156076696104</v>
      </c>
      <c r="CM12" s="13">
        <v>-1.5219726167340819E-2</v>
      </c>
      <c r="CN12" s="13">
        <v>-2.7083701214559368E-2</v>
      </c>
      <c r="CO12" s="13">
        <v>-2.7266126880105788E-2</v>
      </c>
      <c r="CP12" s="13">
        <v>4.5299021467493747E-2</v>
      </c>
      <c r="CQ12" s="13">
        <v>3.6572194909933541E-2</v>
      </c>
      <c r="CR12" s="13">
        <v>2.1178784306524409E-3</v>
      </c>
      <c r="CS12" s="13">
        <v>-1.5201647687045549E-2</v>
      </c>
      <c r="CT12" s="13">
        <v>-8.2403602353092742E-4</v>
      </c>
      <c r="CU12" s="13">
        <v>3.5623715662195188E-2</v>
      </c>
      <c r="CV12" s="13">
        <v>8.1126263755370142E-3</v>
      </c>
      <c r="CW12" s="13">
        <v>5.5479247445322649E-3</v>
      </c>
      <c r="CX12" s="13">
        <v>6.098988253699178E-2</v>
      </c>
      <c r="CY12" s="13">
        <v>-5.982942211490587E-3</v>
      </c>
      <c r="CZ12" s="13">
        <v>7.7792327339500603E-2</v>
      </c>
      <c r="DA12" s="13">
        <v>5.6037840703605252E-3</v>
      </c>
      <c r="DB12" s="13">
        <v>-2.298187595412704E-2</v>
      </c>
      <c r="DC12" s="13">
        <v>3.3973202874774677E-2</v>
      </c>
      <c r="DD12" s="13">
        <v>2.4888978057240451E-2</v>
      </c>
      <c r="DE12" s="13">
        <v>1.198108381221169E-3</v>
      </c>
      <c r="DF12" s="13">
        <v>-6.834525736040385E-3</v>
      </c>
      <c r="DG12" s="13">
        <v>-9.4770893931691788E-4</v>
      </c>
      <c r="DH12" s="13">
        <v>-3.8226819714325612E-3</v>
      </c>
      <c r="DI12" s="13">
        <v>-5.4443172992132437E-2</v>
      </c>
      <c r="DJ12" s="13">
        <v>8.0625982547704502E-3</v>
      </c>
      <c r="DK12" s="13">
        <v>-1.5945953127016341E-2</v>
      </c>
      <c r="DL12" s="13">
        <v>-3.5467602264376702E-4</v>
      </c>
      <c r="DM12" s="13">
        <v>-4.8403492450799163E-3</v>
      </c>
      <c r="DN12" s="13">
        <v>4.2410365386064831E-2</v>
      </c>
      <c r="DO12" s="13">
        <v>2.259973368032869E-2</v>
      </c>
      <c r="DP12" s="13">
        <v>3.2584449600297112E-2</v>
      </c>
      <c r="DQ12" s="13">
        <v>-2.276986490903608E-2</v>
      </c>
      <c r="DR12" s="13">
        <v>1.8778943279386909E-2</v>
      </c>
      <c r="DS12" s="13">
        <v>-3.5726155451697807E-2</v>
      </c>
      <c r="DT12" s="13">
        <v>-4.5297883394400537E-2</v>
      </c>
      <c r="DU12" s="13">
        <v>1.3752648086382459E-2</v>
      </c>
      <c r="DV12" s="13">
        <v>4.8550824477530688E-2</v>
      </c>
      <c r="DW12" s="13">
        <v>4.3725564220037427E-2</v>
      </c>
      <c r="DX12" s="13">
        <v>-5.0152080542361532E-2</v>
      </c>
      <c r="DY12" s="13">
        <v>1.5357270118494901E-2</v>
      </c>
      <c r="DZ12" s="13">
        <v>-4.1357254801773907E-3</v>
      </c>
      <c r="EA12" s="13">
        <v>6.4003941323197033E-2</v>
      </c>
      <c r="EB12" s="13">
        <v>2.8283267748527709E-3</v>
      </c>
      <c r="EC12" s="13">
        <v>2.6651509579665299E-2</v>
      </c>
      <c r="ED12" s="13">
        <v>-6.050815280848415E-2</v>
      </c>
      <c r="EE12" s="13">
        <v>1.1917096272487391E-2</v>
      </c>
      <c r="EF12" s="13">
        <v>3.9233348038795662E-2</v>
      </c>
    </row>
    <row r="13" spans="1:136">
      <c r="A13" s="2">
        <v>20</v>
      </c>
      <c r="B13" s="2">
        <v>48</v>
      </c>
      <c r="C13" s="13">
        <v>4.2506117601795589E-2</v>
      </c>
      <c r="D13" s="13">
        <v>0.12374510416666661</v>
      </c>
      <c r="E13" s="13">
        <v>-3.4496619491353048E-2</v>
      </c>
      <c r="F13" s="13">
        <v>-1.14548125E-2</v>
      </c>
      <c r="G13" s="13">
        <v>-1.490797975730339E-2</v>
      </c>
      <c r="H13" s="13">
        <v>2.999035416666665E-2</v>
      </c>
      <c r="I13" s="13">
        <v>2.9130541666666659E-2</v>
      </c>
      <c r="J13" s="13">
        <v>-4.3898812500000023E-2</v>
      </c>
      <c r="K13" s="13">
        <v>-4.5330990242219003E-2</v>
      </c>
      <c r="L13" s="13">
        <v>-2.913566903744547E-2</v>
      </c>
      <c r="M13" s="13">
        <v>2.5687291666666671E-2</v>
      </c>
      <c r="N13" s="13">
        <v>9.9806729166666677E-2</v>
      </c>
      <c r="O13" s="13">
        <v>3.9789374999999988E-2</v>
      </c>
      <c r="P13" s="13">
        <v>1.6792145833333331E-2</v>
      </c>
      <c r="Q13" s="13">
        <v>7.3225020833333321E-2</v>
      </c>
      <c r="R13" s="13">
        <v>1.415983333333333E-2</v>
      </c>
      <c r="S13" s="13">
        <v>-1.2243312500000001E-2</v>
      </c>
      <c r="T13" s="13">
        <v>-2.2104479166666649E-2</v>
      </c>
      <c r="U13" s="13">
        <v>1.5963125000000159E-3</v>
      </c>
      <c r="V13" s="13">
        <v>-2.009412499999998E-2</v>
      </c>
      <c r="W13" s="13">
        <v>7.5476395833333348E-2</v>
      </c>
      <c r="X13" s="13">
        <v>5.3276458333333318E-2</v>
      </c>
      <c r="Y13" s="13">
        <v>1.392037499999999E-2</v>
      </c>
      <c r="Z13" s="13">
        <v>2.058391666666666E-2</v>
      </c>
      <c r="AA13" s="13">
        <v>-3.2119510338471283E-2</v>
      </c>
      <c r="AB13" s="13">
        <v>-1.6035979166666669E-2</v>
      </c>
      <c r="AC13" s="13">
        <v>8.031270833333326E-3</v>
      </c>
      <c r="AD13" s="13">
        <v>-6.5790452025407779E-3</v>
      </c>
      <c r="AE13" s="13">
        <v>-6.5719479166666678E-2</v>
      </c>
      <c r="AF13" s="13">
        <v>-3.1940463834301228E-2</v>
      </c>
      <c r="AG13" s="13">
        <v>3.2824583333333321E-3</v>
      </c>
      <c r="AH13" s="13">
        <v>-9.6413392395163916E-3</v>
      </c>
      <c r="AI13" s="13">
        <v>1.9910041666666659E-2</v>
      </c>
      <c r="AJ13" s="13">
        <v>1.9885916666666659E-2</v>
      </c>
      <c r="AK13" s="13">
        <v>3.31895833333334E-3</v>
      </c>
      <c r="AL13" s="13">
        <v>2.3151428595171029E-2</v>
      </c>
      <c r="AM13" s="13">
        <v>4.6282443536828928E-2</v>
      </c>
      <c r="AN13" s="13">
        <v>0.10533023813603409</v>
      </c>
      <c r="AO13" s="13">
        <v>9.3111878994149404E-3</v>
      </c>
      <c r="AP13" s="13">
        <v>-6.5878125000000034E-3</v>
      </c>
      <c r="AQ13" s="13">
        <v>-6.0492887688996834E-3</v>
      </c>
      <c r="AR13" s="13">
        <v>1.0689185535935661E-2</v>
      </c>
      <c r="AS13" s="13">
        <v>4.1313118484234093E-2</v>
      </c>
      <c r="AT13" s="13">
        <v>4.0463087854439743E-2</v>
      </c>
      <c r="AU13" s="13">
        <v>4.0976126475978862E-2</v>
      </c>
      <c r="AV13" s="13">
        <v>-9.475472639553081E-3</v>
      </c>
      <c r="AW13" s="13">
        <v>4.0800135830634E-3</v>
      </c>
      <c r="AX13" s="13">
        <v>-1.1880625000000001E-2</v>
      </c>
      <c r="AY13" s="13">
        <v>1.756434634862496E-2</v>
      </c>
      <c r="AZ13" s="13">
        <v>-8.1034674694993921E-3</v>
      </c>
      <c r="BA13" s="13">
        <v>6.5409376070610318E-3</v>
      </c>
      <c r="BB13" s="13">
        <v>4.2875374496810892E-2</v>
      </c>
      <c r="BC13" s="13">
        <v>1.128376711165765E-2</v>
      </c>
      <c r="BD13" s="13">
        <v>3.344428383681335E-3</v>
      </c>
      <c r="BE13" s="13">
        <v>2.7391806305641558E-2</v>
      </c>
      <c r="BF13" s="13">
        <v>8.3929415307496771E-2</v>
      </c>
      <c r="BG13" s="13">
        <v>4.6566462338711673E-2</v>
      </c>
      <c r="BH13" s="13">
        <v>8.4757298116190372E-3</v>
      </c>
      <c r="BI13" s="13">
        <v>5.2409132456701382E-2</v>
      </c>
      <c r="BJ13" s="13">
        <v>-1.6847085990264871E-2</v>
      </c>
      <c r="BK13" s="13">
        <v>-1.8391024879749449E-2</v>
      </c>
      <c r="BL13" s="13">
        <v>3.1947860213175139E-2</v>
      </c>
      <c r="BM13" s="13">
        <v>1.6918615618881649E-2</v>
      </c>
      <c r="BN13" s="13">
        <v>1.105254187527629E-2</v>
      </c>
      <c r="BO13" s="13">
        <v>3.0878716233474109E-2</v>
      </c>
      <c r="BP13" s="13">
        <v>9.4326956946515182E-3</v>
      </c>
      <c r="BQ13" s="13">
        <v>4.1653063789425779E-2</v>
      </c>
      <c r="BR13" s="13">
        <v>-6.6814174835574522E-3</v>
      </c>
      <c r="BS13" s="13">
        <v>7.4194718402196772E-3</v>
      </c>
      <c r="BT13" s="13">
        <v>3.8343505616472817E-2</v>
      </c>
      <c r="BU13" s="13">
        <v>1.7706555036553769E-2</v>
      </c>
      <c r="BV13" s="13">
        <v>2.065359687620864E-2</v>
      </c>
      <c r="BW13" s="13">
        <v>1.763237810677006E-3</v>
      </c>
      <c r="BX13" s="13">
        <v>2.1078067524026588E-2</v>
      </c>
      <c r="BY13" s="13">
        <v>-1.4512397670490481E-2</v>
      </c>
      <c r="BZ13" s="13">
        <v>7.6138123059050211E-2</v>
      </c>
      <c r="CA13" s="13">
        <v>2.4012187500000001E-2</v>
      </c>
      <c r="CB13" s="13">
        <v>-6.5958267252201053E-3</v>
      </c>
      <c r="CC13" s="13">
        <v>-1.2530912212633369E-2</v>
      </c>
      <c r="CD13" s="13">
        <v>0.1050858328923274</v>
      </c>
      <c r="CE13" s="13">
        <v>9.2209843254137634E-3</v>
      </c>
      <c r="CF13" s="13">
        <v>4.4514266725069238E-2</v>
      </c>
      <c r="CG13" s="13">
        <v>4.0449062968955063E-2</v>
      </c>
      <c r="CH13" s="13">
        <v>5.8334611827207158E-2</v>
      </c>
      <c r="CI13" s="13">
        <v>-5.1853509134263308E-2</v>
      </c>
      <c r="CJ13" s="13">
        <v>-3.106087971951194E-3</v>
      </c>
      <c r="CK13" s="13">
        <v>3.2045269236463968E-2</v>
      </c>
      <c r="CL13" s="13">
        <v>8.1453366102180805E-2</v>
      </c>
      <c r="CM13" s="13">
        <v>-1.0296803756394969E-2</v>
      </c>
      <c r="CN13" s="13">
        <v>-2.688756599885234E-2</v>
      </c>
      <c r="CO13" s="13">
        <v>-1.345745856322739E-2</v>
      </c>
      <c r="CP13" s="13">
        <v>6.9726540277734339E-2</v>
      </c>
      <c r="CQ13" s="13">
        <v>3.8184950196159702E-2</v>
      </c>
      <c r="CR13" s="13">
        <v>8.2797809976485181E-3</v>
      </c>
      <c r="CS13" s="13">
        <v>1.0833051115274659E-2</v>
      </c>
      <c r="CT13" s="13">
        <v>8.0707993163786768E-3</v>
      </c>
      <c r="CU13" s="13">
        <v>3.7161402282311212E-2</v>
      </c>
      <c r="CV13" s="13">
        <v>-2.9533121732579042E-3</v>
      </c>
      <c r="CW13" s="13">
        <v>5.97703085624611E-3</v>
      </c>
      <c r="CX13" s="13">
        <v>6.0033255240053027E-2</v>
      </c>
      <c r="CY13" s="13">
        <v>-1.3118740115012659E-2</v>
      </c>
      <c r="CZ13" s="13">
        <v>5.7224220353485122E-2</v>
      </c>
      <c r="DA13" s="13">
        <v>-5.583676925821391E-3</v>
      </c>
      <c r="DB13" s="13">
        <v>-4.1761569716784581E-2</v>
      </c>
      <c r="DC13" s="13">
        <v>2.9775565878292928E-2</v>
      </c>
      <c r="DD13" s="13">
        <v>1.069760060073574E-2</v>
      </c>
      <c r="DE13" s="13">
        <v>5.9289571260749546E-3</v>
      </c>
      <c r="DF13" s="13">
        <v>-2.8518796793634778E-2</v>
      </c>
      <c r="DG13" s="13">
        <v>-1.6306571728899009E-3</v>
      </c>
      <c r="DH13" s="13">
        <v>1.129576788191507E-2</v>
      </c>
      <c r="DI13" s="13">
        <v>-4.5977025094676827E-2</v>
      </c>
      <c r="DJ13" s="13">
        <v>-3.3317561795107452E-3</v>
      </c>
      <c r="DK13" s="13">
        <v>1.240907421862765E-2</v>
      </c>
      <c r="DL13" s="13">
        <v>-1.6300246491314559E-2</v>
      </c>
      <c r="DM13" s="13">
        <v>-6.6588690484439203E-3</v>
      </c>
      <c r="DN13" s="13">
        <v>1.1499577922513139E-2</v>
      </c>
      <c r="DO13" s="13">
        <v>4.6891412388131722E-2</v>
      </c>
      <c r="DP13" s="13">
        <v>4.8786635856269467E-2</v>
      </c>
      <c r="DQ13" s="13">
        <v>-2.6430081417128711E-2</v>
      </c>
      <c r="DR13" s="13">
        <v>1.377120927231194E-2</v>
      </c>
      <c r="DS13" s="13">
        <v>-3.8887627839669842E-2</v>
      </c>
      <c r="DT13" s="13">
        <v>-3.542630104766481E-2</v>
      </c>
      <c r="DU13" s="13">
        <v>1.8705163637144761E-2</v>
      </c>
      <c r="DV13" s="13">
        <v>7.9620144024188558E-2</v>
      </c>
      <c r="DW13" s="13">
        <v>4.4417789624350307E-2</v>
      </c>
      <c r="DX13" s="13">
        <v>-6.4523379578496173E-2</v>
      </c>
      <c r="DY13" s="13">
        <v>3.5386044653833333E-2</v>
      </c>
      <c r="DZ13" s="13">
        <v>-1.460881448721826E-2</v>
      </c>
      <c r="EA13" s="13">
        <v>7.3242869042682138E-2</v>
      </c>
      <c r="EB13" s="13">
        <v>2.1373218199386389E-2</v>
      </c>
      <c r="EC13" s="13">
        <v>4.1659753435228923E-2</v>
      </c>
      <c r="ED13" s="13">
        <v>-6.5682093659234955E-2</v>
      </c>
      <c r="EE13" s="13">
        <v>7.9525935749644935E-3</v>
      </c>
      <c r="EF13" s="13">
        <v>6.6577215363556236E-2</v>
      </c>
    </row>
    <row r="14" spans="1:136">
      <c r="A14" s="2">
        <v>50</v>
      </c>
      <c r="B14" s="2">
        <v>19</v>
      </c>
      <c r="C14" s="13">
        <v>-3.7017512404591897E-2</v>
      </c>
      <c r="D14" s="13">
        <v>0.22230878947368421</v>
      </c>
      <c r="E14" s="13">
        <v>-4.7525943267256017E-2</v>
      </c>
      <c r="F14" s="13">
        <v>3.4543210526315787E-2</v>
      </c>
      <c r="G14" s="13">
        <v>-4.1019916497925447E-2</v>
      </c>
      <c r="H14" s="13">
        <v>5.9588947368421033E-2</v>
      </c>
      <c r="I14" s="13">
        <v>7.7115000000000003E-2</v>
      </c>
      <c r="J14" s="13">
        <v>-0.1050935789473684</v>
      </c>
      <c r="K14" s="13">
        <v>-0.13417870371405349</v>
      </c>
      <c r="L14" s="13">
        <v>4.847197187706806E-3</v>
      </c>
      <c r="M14" s="13">
        <v>-7.5951368421052629E-2</v>
      </c>
      <c r="N14" s="13">
        <v>0.20483268421052631</v>
      </c>
      <c r="O14" s="13">
        <v>3.9642368421052628E-2</v>
      </c>
      <c r="P14" s="13">
        <v>4.7779947368421033E-2</v>
      </c>
      <c r="Q14" s="13">
        <v>5.8239052631578962E-2</v>
      </c>
      <c r="R14" s="13">
        <v>-1.4151684210526309E-2</v>
      </c>
      <c r="S14" s="13">
        <v>3.8535263157894732E-2</v>
      </c>
      <c r="T14" s="13">
        <v>-1.736173684210527E-2</v>
      </c>
      <c r="U14" s="13">
        <v>3.6578263157894739E-2</v>
      </c>
      <c r="V14" s="13">
        <v>-3.837431578947368E-2</v>
      </c>
      <c r="W14" s="13">
        <v>0.1161653684210526</v>
      </c>
      <c r="X14" s="13">
        <v>5.3581789473684222E-2</v>
      </c>
      <c r="Y14" s="13">
        <v>-1.6763578947368431E-2</v>
      </c>
      <c r="Z14" s="13">
        <v>2.1252E-2</v>
      </c>
      <c r="AA14" s="13">
        <v>-3.9450180302082173E-2</v>
      </c>
      <c r="AB14" s="13">
        <v>-7.498263157894737E-2</v>
      </c>
      <c r="AC14" s="13">
        <v>-2.9292631578947369E-2</v>
      </c>
      <c r="AD14" s="13">
        <v>1.292010661121834E-2</v>
      </c>
      <c r="AE14" s="13">
        <v>-4.019052631578951E-3</v>
      </c>
      <c r="AF14" s="13">
        <v>-4.0420702542399108E-2</v>
      </c>
      <c r="AG14" s="13">
        <v>6.3905789473684242E-3</v>
      </c>
      <c r="AH14" s="13">
        <v>-5.250277930506024E-3</v>
      </c>
      <c r="AI14" s="13">
        <v>1.0965315789473681E-2</v>
      </c>
      <c r="AJ14" s="13">
        <v>9.629468421052631E-2</v>
      </c>
      <c r="AK14" s="13">
        <v>-1.150942105263158E-2</v>
      </c>
      <c r="AL14" s="13">
        <v>3.7969189722460717E-2</v>
      </c>
      <c r="AM14" s="13">
        <v>6.1242166378625243E-2</v>
      </c>
      <c r="AN14" s="13">
        <v>9.8594666769543718E-2</v>
      </c>
      <c r="AO14" s="13">
        <v>6.0905705465409951E-2</v>
      </c>
      <c r="AP14" s="13">
        <v>7.0551578947368413E-3</v>
      </c>
      <c r="AQ14" s="13">
        <v>-3.6796773775995059E-4</v>
      </c>
      <c r="AR14" s="13">
        <v>3.764583976226292E-2</v>
      </c>
      <c r="AS14" s="13">
        <v>8.5376985953046783E-2</v>
      </c>
      <c r="AT14" s="13">
        <v>3.4506579685144471E-2</v>
      </c>
      <c r="AU14" s="13">
        <v>3.999164900330384E-2</v>
      </c>
      <c r="AV14" s="13">
        <v>-1.868288543361717E-2</v>
      </c>
      <c r="AW14" s="13">
        <v>-1.8362931505957501E-2</v>
      </c>
      <c r="AX14" s="13">
        <v>8.223684210526324E-4</v>
      </c>
      <c r="AY14" s="13">
        <v>1.5068118771761551E-2</v>
      </c>
      <c r="AZ14" s="13">
        <v>-5.3348569172156059E-2</v>
      </c>
      <c r="BA14" s="13">
        <v>1.7621645544243138E-2</v>
      </c>
      <c r="BB14" s="13">
        <v>6.1734282001674842E-2</v>
      </c>
      <c r="BC14" s="13">
        <v>-9.8209989552774171E-3</v>
      </c>
      <c r="BD14" s="13">
        <v>4.3327781667405418E-2</v>
      </c>
      <c r="BE14" s="13">
        <v>4.3787062535487017E-2</v>
      </c>
      <c r="BF14" s="13">
        <v>4.0770521545689782E-2</v>
      </c>
      <c r="BG14" s="13">
        <v>4.1374264073932777E-2</v>
      </c>
      <c r="BH14" s="13">
        <v>5.3427555686006711E-3</v>
      </c>
      <c r="BI14" s="13">
        <v>5.0185212890853773E-2</v>
      </c>
      <c r="BJ14" s="13">
        <v>-2.0017223671233209E-2</v>
      </c>
      <c r="BK14" s="13">
        <v>-5.5937516570728277E-3</v>
      </c>
      <c r="BL14" s="13">
        <v>5.9737766842370338E-2</v>
      </c>
      <c r="BM14" s="13">
        <v>3.9257215206427082E-2</v>
      </c>
      <c r="BN14" s="13">
        <v>2.0936538072551379E-2</v>
      </c>
      <c r="BO14" s="13">
        <v>3.3609045677264478E-2</v>
      </c>
      <c r="BP14" s="13">
        <v>1.5673733492959141E-2</v>
      </c>
      <c r="BQ14" s="13">
        <v>1.584352386995078E-2</v>
      </c>
      <c r="BR14" s="13">
        <v>-2.7929429532617921E-2</v>
      </c>
      <c r="BS14" s="13">
        <v>-4.1493955144577897E-2</v>
      </c>
      <c r="BT14" s="13">
        <v>7.4012962336311328E-2</v>
      </c>
      <c r="BU14" s="13">
        <v>-8.8548353580308568E-3</v>
      </c>
      <c r="BV14" s="13">
        <v>2.5727182016427399E-2</v>
      </c>
      <c r="BW14" s="13">
        <v>1.250794825759332E-2</v>
      </c>
      <c r="BX14" s="13">
        <v>5.4970760121953073E-2</v>
      </c>
      <c r="BY14" s="13">
        <v>-6.5962933649650326E-3</v>
      </c>
      <c r="BZ14" s="13">
        <v>6.0034056828782267E-2</v>
      </c>
      <c r="CA14" s="13">
        <v>3.3454631578947368E-2</v>
      </c>
      <c r="CB14" s="13">
        <v>2.2127616542174811E-2</v>
      </c>
      <c r="CC14" s="13">
        <v>-1.2794080785178611E-2</v>
      </c>
      <c r="CD14" s="13">
        <v>9.8016709932197757E-2</v>
      </c>
      <c r="CE14" s="13">
        <v>-7.2156719211697945E-2</v>
      </c>
      <c r="CF14" s="13">
        <v>9.2330683282061565E-2</v>
      </c>
      <c r="CG14" s="13">
        <v>5.3067028295838918E-2</v>
      </c>
      <c r="CH14" s="13">
        <v>6.46613922782171E-2</v>
      </c>
      <c r="CI14" s="13">
        <v>-0.1058847773633588</v>
      </c>
      <c r="CJ14" s="13">
        <v>-2.866785494417454E-2</v>
      </c>
      <c r="CK14" s="13">
        <v>1.40163643906461E-2</v>
      </c>
      <c r="CL14" s="13">
        <v>6.2269954878836478E-2</v>
      </c>
      <c r="CM14" s="13">
        <v>3.2040010368317121E-2</v>
      </c>
      <c r="CN14" s="13">
        <v>-2.3026688670926061E-2</v>
      </c>
      <c r="CO14" s="13">
        <v>-7.3587720038892968E-2</v>
      </c>
      <c r="CP14" s="13">
        <v>9.9809331481752833E-2</v>
      </c>
      <c r="CQ14" s="13">
        <v>5.321162809167454E-2</v>
      </c>
      <c r="CR14" s="13">
        <v>5.590913762450133E-2</v>
      </c>
      <c r="CS14" s="13">
        <v>5.9027120263655718E-2</v>
      </c>
      <c r="CT14" s="13">
        <v>1.910057655068487E-2</v>
      </c>
      <c r="CU14" s="13">
        <v>-4.3917102697214612E-2</v>
      </c>
      <c r="CV14" s="13">
        <v>2.274571513825533E-2</v>
      </c>
      <c r="CW14" s="13">
        <v>-3.3983824634707719E-3</v>
      </c>
      <c r="CX14" s="13">
        <v>3.6299408888239168E-2</v>
      </c>
      <c r="CY14" s="13">
        <v>-2.875912029147424E-2</v>
      </c>
      <c r="CZ14" s="13">
        <v>6.4063563350383365E-2</v>
      </c>
      <c r="DA14" s="13">
        <v>-2.4304289170584491E-2</v>
      </c>
      <c r="DB14" s="13">
        <v>-2.356107318819085E-2</v>
      </c>
      <c r="DC14" s="13">
        <v>2.3632609204847509E-2</v>
      </c>
      <c r="DD14" s="13">
        <v>-1.6758549792416429E-2</v>
      </c>
      <c r="DE14" s="13">
        <v>5.3842996077645283E-3</v>
      </c>
      <c r="DF14" s="13">
        <v>-3.5856630557062542E-2</v>
      </c>
      <c r="DG14" s="13">
        <v>1.144655639331721E-2</v>
      </c>
      <c r="DH14" s="13">
        <v>4.7748372429115976E-3</v>
      </c>
      <c r="DI14" s="13">
        <v>-5.8597819708917052E-2</v>
      </c>
      <c r="DJ14" s="13">
        <v>1.023724267297355E-3</v>
      </c>
      <c r="DK14" s="13">
        <v>1.9071063117655919E-2</v>
      </c>
      <c r="DL14" s="13">
        <v>-1.516516155488855E-2</v>
      </c>
      <c r="DM14" s="13">
        <v>5.504269093650517E-3</v>
      </c>
      <c r="DN14" s="13">
        <v>4.2662495893264311E-2</v>
      </c>
      <c r="DO14" s="13">
        <v>4.1375645162797292E-2</v>
      </c>
      <c r="DP14" s="13">
        <v>4.3539716357652018E-2</v>
      </c>
      <c r="DQ14" s="13">
        <v>-8.9367860040811792E-2</v>
      </c>
      <c r="DR14" s="13">
        <v>5.2622519458999567E-2</v>
      </c>
      <c r="DS14" s="13">
        <v>-3.5044906270916831E-2</v>
      </c>
      <c r="DT14" s="13">
        <v>-4.4516953597455299E-2</v>
      </c>
      <c r="DU14" s="13">
        <v>-4.4914948618981987E-2</v>
      </c>
      <c r="DV14" s="13">
        <v>0.1082623545301073</v>
      </c>
      <c r="DW14" s="13">
        <v>9.8344367017777726E-2</v>
      </c>
      <c r="DX14" s="13">
        <v>-0.1019315055524211</v>
      </c>
      <c r="DY14" s="13">
        <v>3.7997079946848547E-2</v>
      </c>
      <c r="DZ14" s="13">
        <v>-2.1881573318462251E-2</v>
      </c>
      <c r="EA14" s="13">
        <v>7.8105265887936245E-2</v>
      </c>
      <c r="EB14" s="13">
        <v>3.317733311259085E-2</v>
      </c>
      <c r="EC14" s="13">
        <v>6.0793821481329897E-3</v>
      </c>
      <c r="ED14" s="13">
        <v>-0.102629709186187</v>
      </c>
      <c r="EE14" s="13">
        <v>1.886715684489253E-2</v>
      </c>
      <c r="EF14" s="13">
        <v>6.9956420498558061E-2</v>
      </c>
    </row>
    <row r="15" spans="1:136">
      <c r="A15" s="2">
        <v>100</v>
      </c>
      <c r="B15" s="2">
        <v>10</v>
      </c>
      <c r="C15" s="13">
        <v>-9.6503141994516081E-2</v>
      </c>
      <c r="D15" s="13">
        <v>0.37270970000000009</v>
      </c>
      <c r="E15" s="13">
        <v>-1.019842627208351E-2</v>
      </c>
      <c r="F15" s="13">
        <v>9.0304599999999999E-2</v>
      </c>
      <c r="G15" s="13">
        <v>-6.0636928671534279E-2</v>
      </c>
      <c r="H15" s="13">
        <v>0.1188444</v>
      </c>
      <c r="I15" s="13">
        <v>0.12672890000000001</v>
      </c>
      <c r="J15" s="13">
        <v>-6.4524200000000004E-2</v>
      </c>
      <c r="K15" s="13">
        <v>-0.28659462773637062</v>
      </c>
      <c r="L15" s="13">
        <v>3.2558505157184642E-2</v>
      </c>
      <c r="M15" s="13">
        <v>-0.1884914</v>
      </c>
      <c r="N15" s="13">
        <v>0.33030959999999998</v>
      </c>
      <c r="O15" s="13">
        <v>4.6103499999999999E-2</v>
      </c>
      <c r="P15" s="13">
        <v>5.2983399999999993E-2</v>
      </c>
      <c r="Q15" s="13">
        <v>0.1003768</v>
      </c>
      <c r="R15" s="13">
        <v>1.6755200000000001E-2</v>
      </c>
      <c r="S15" s="13">
        <v>-4.3033600000000012E-2</v>
      </c>
      <c r="T15" s="13">
        <v>-4.9339700000000007E-2</v>
      </c>
      <c r="U15" s="13">
        <v>4.6788700000000003E-2</v>
      </c>
      <c r="V15" s="13">
        <v>-8.568039999999999E-2</v>
      </c>
      <c r="W15" s="13">
        <v>0.1069346</v>
      </c>
      <c r="X15" s="13">
        <v>7.8436500000000034E-2</v>
      </c>
      <c r="Y15" s="13">
        <v>-2.4189700000000001E-2</v>
      </c>
      <c r="Z15" s="13">
        <v>-2.3656199999999999E-2</v>
      </c>
      <c r="AA15" s="13">
        <v>-5.4081147028033669E-2</v>
      </c>
      <c r="AB15" s="13">
        <v>-7.3995400000000003E-2</v>
      </c>
      <c r="AC15" s="13">
        <v>-4.0054800000000002E-2</v>
      </c>
      <c r="AD15" s="13">
        <v>-1.8936283030818419E-2</v>
      </c>
      <c r="AE15" s="13">
        <v>4.728559999999999E-2</v>
      </c>
      <c r="AF15" s="13">
        <v>-6.5819612497039853E-2</v>
      </c>
      <c r="AG15" s="13">
        <v>-9.7449999999999967E-3</v>
      </c>
      <c r="AH15" s="13">
        <v>3.3604373357676472E-2</v>
      </c>
      <c r="AI15" s="13">
        <v>7.4277400000000007E-2</v>
      </c>
      <c r="AJ15" s="13">
        <v>4.1833999999999968E-3</v>
      </c>
      <c r="AK15" s="13">
        <v>-3.6998099999999999E-2</v>
      </c>
      <c r="AL15" s="13">
        <v>4.4431662495814539E-2</v>
      </c>
      <c r="AM15" s="13">
        <v>5.5122622134627111E-2</v>
      </c>
      <c r="AN15" s="13">
        <v>0.10168870591238351</v>
      </c>
      <c r="AO15" s="13">
        <v>6.3369812463467096E-2</v>
      </c>
      <c r="AP15" s="13">
        <v>1.25822E-2</v>
      </c>
      <c r="AQ15" s="13">
        <v>-3.7367126796121669E-2</v>
      </c>
      <c r="AR15" s="13">
        <v>9.0293855475916673E-2</v>
      </c>
      <c r="AS15" s="13">
        <v>5.3821179037114017E-2</v>
      </c>
      <c r="AT15" s="13">
        <v>6.5254990652428568E-2</v>
      </c>
      <c r="AU15" s="13">
        <v>3.9943261089466317E-2</v>
      </c>
      <c r="AV15" s="13">
        <v>-4.7226818327438858E-2</v>
      </c>
      <c r="AW15" s="13">
        <v>1.5659939254580951E-2</v>
      </c>
      <c r="AX15" s="13">
        <v>4.161999999999993E-3</v>
      </c>
      <c r="AY15" s="13">
        <v>2.8017064110032911E-2</v>
      </c>
      <c r="AZ15" s="13">
        <v>-9.1323280068503487E-2</v>
      </c>
      <c r="BA15" s="13">
        <v>1.061351480765297E-2</v>
      </c>
      <c r="BB15" s="13">
        <v>0.1127248660788131</v>
      </c>
      <c r="BC15" s="13">
        <v>6.2155143667830287E-2</v>
      </c>
      <c r="BD15" s="13">
        <v>5.3043273904796059E-2</v>
      </c>
      <c r="BE15" s="13">
        <v>4.8442721017663122E-2</v>
      </c>
      <c r="BF15" s="13">
        <v>4.7662979456752137E-2</v>
      </c>
      <c r="BG15" s="13">
        <v>2.489538734565238E-3</v>
      </c>
      <c r="BH15" s="13">
        <v>3.4441845481689458E-2</v>
      </c>
      <c r="BI15" s="13">
        <v>6.8586659114969639E-2</v>
      </c>
      <c r="BJ15" s="13">
        <v>-1.1265027087445249E-2</v>
      </c>
      <c r="BK15" s="13">
        <v>8.2375226780603827E-4</v>
      </c>
      <c r="BL15" s="13">
        <v>5.940387134134844E-2</v>
      </c>
      <c r="BM15" s="13">
        <v>6.6824821366729223E-2</v>
      </c>
      <c r="BN15" s="13">
        <v>4.0142569733189887E-2</v>
      </c>
      <c r="BO15" s="13">
        <v>2.773447595493098E-2</v>
      </c>
      <c r="BP15" s="13">
        <v>1.4184220707804779E-2</v>
      </c>
      <c r="BQ15" s="13">
        <v>1.280293129032776E-2</v>
      </c>
      <c r="BR15" s="13">
        <v>-5.0157429122059692E-2</v>
      </c>
      <c r="BS15" s="13">
        <v>-1.682377745028631E-2</v>
      </c>
      <c r="BT15" s="13">
        <v>8.9060205731334427E-2</v>
      </c>
      <c r="BU15" s="13">
        <v>1.9476419795793471E-2</v>
      </c>
      <c r="BV15" s="13">
        <v>5.8914967752548723E-2</v>
      </c>
      <c r="BW15" s="13">
        <v>-3.5945890129403732E-2</v>
      </c>
      <c r="BX15" s="13">
        <v>2.8635895065731481E-2</v>
      </c>
      <c r="BY15" s="13">
        <v>-6.1694091479059833E-2</v>
      </c>
      <c r="BZ15" s="13">
        <v>0.1029064689773473</v>
      </c>
      <c r="CA15" s="13">
        <v>2.9962900000000001E-2</v>
      </c>
      <c r="CB15" s="13">
        <v>1.5056894011824499E-2</v>
      </c>
      <c r="CC15" s="13">
        <v>-0.15231826505416149</v>
      </c>
      <c r="CD15" s="13">
        <v>0.1201520839630844</v>
      </c>
      <c r="CE15" s="13">
        <v>-0.1165165690701207</v>
      </c>
      <c r="CF15" s="13">
        <v>9.435665039342013E-2</v>
      </c>
      <c r="CG15" s="13">
        <v>-4.2988792533641554E-3</v>
      </c>
      <c r="CH15" s="13">
        <v>6.2885958283701332E-2</v>
      </c>
      <c r="CI15" s="13">
        <v>-3.8798414894980787E-2</v>
      </c>
      <c r="CJ15" s="13">
        <v>-8.7044356072718085E-2</v>
      </c>
      <c r="CK15" s="13">
        <v>5.667264577209942E-2</v>
      </c>
      <c r="CL15" s="13">
        <v>3.1421974993248308E-2</v>
      </c>
      <c r="CM15" s="13">
        <v>7.4631116128453773E-2</v>
      </c>
      <c r="CN15" s="13">
        <v>-4.2634115799160301E-2</v>
      </c>
      <c r="CO15" s="13">
        <v>-0.12944902488204141</v>
      </c>
      <c r="CP15" s="13">
        <v>0.12753583543294969</v>
      </c>
      <c r="CQ15" s="13">
        <v>3.7378010765128991E-2</v>
      </c>
      <c r="CR15" s="13">
        <v>4.8237070288164277E-2</v>
      </c>
      <c r="CS15" s="13">
        <v>6.0185172463594637E-2</v>
      </c>
      <c r="CT15" s="13">
        <v>7.3945749754547726E-3</v>
      </c>
      <c r="CU15" s="13">
        <v>-6.3178659914772728E-2</v>
      </c>
      <c r="CV15" s="13">
        <v>-6.1418469048089008E-3</v>
      </c>
      <c r="CW15" s="13">
        <v>-1.248466018044017E-2</v>
      </c>
      <c r="CX15" s="13">
        <v>2.4039607053330959E-2</v>
      </c>
      <c r="CY15" s="13">
        <v>-4.2470673077762339E-2</v>
      </c>
      <c r="CZ15" s="13">
        <v>7.9886947944342257E-2</v>
      </c>
      <c r="DA15" s="13">
        <v>-2.6375835441876511E-2</v>
      </c>
      <c r="DB15" s="13">
        <v>-3.0226618214123681E-2</v>
      </c>
      <c r="DC15" s="13">
        <v>3.5075149974582137E-2</v>
      </c>
      <c r="DD15" s="13">
        <v>-4.9393690499884603E-2</v>
      </c>
      <c r="DE15" s="13">
        <v>2.494871474504301E-2</v>
      </c>
      <c r="DF15" s="13">
        <v>-4.2391306399394757E-2</v>
      </c>
      <c r="DG15" s="13">
        <v>1.61967316182412E-2</v>
      </c>
      <c r="DH15" s="13">
        <v>-1.8709011043892099E-2</v>
      </c>
      <c r="DI15" s="13">
        <v>-1.171844900945769E-2</v>
      </c>
      <c r="DJ15" s="13">
        <v>-5.1853853094406883E-2</v>
      </c>
      <c r="DK15" s="13">
        <v>0.101774834051468</v>
      </c>
      <c r="DL15" s="13">
        <v>6.2635494088437937E-2</v>
      </c>
      <c r="DM15" s="13">
        <v>-2.380854686766869E-2</v>
      </c>
      <c r="DN15" s="13">
        <v>4.3996497423619649E-2</v>
      </c>
      <c r="DO15" s="13">
        <v>4.6296727233800808E-2</v>
      </c>
      <c r="DP15" s="13">
        <v>2.3735602006892551E-2</v>
      </c>
      <c r="DQ15" s="13">
        <v>-9.5040907459428614E-2</v>
      </c>
      <c r="DR15" s="13">
        <v>7.0010566617938433E-2</v>
      </c>
      <c r="DS15" s="13">
        <v>-7.6241908411797149E-2</v>
      </c>
      <c r="DT15" s="13">
        <v>-7.2163631718163007E-2</v>
      </c>
      <c r="DU15" s="13">
        <v>-4.5770728951680668E-2</v>
      </c>
      <c r="DV15" s="13">
        <v>0.13976835694087139</v>
      </c>
      <c r="DW15" s="13">
        <v>2.5538627146832551E-2</v>
      </c>
      <c r="DX15" s="13">
        <v>-0.1186162506499864</v>
      </c>
      <c r="DY15" s="13">
        <v>0.10653916660100959</v>
      </c>
      <c r="DZ15" s="13">
        <v>-1.8920244069384411E-2</v>
      </c>
      <c r="EA15" s="13">
        <v>2.7338726209839619E-2</v>
      </c>
      <c r="EB15" s="13">
        <v>4.8518573131244913E-2</v>
      </c>
      <c r="EC15" s="13">
        <v>6.6081856047946447E-2</v>
      </c>
      <c r="ED15" s="13">
        <v>-0.1133570559353114</v>
      </c>
      <c r="EE15" s="13">
        <v>-1.6245414536088298E-2</v>
      </c>
      <c r="EF15" s="13">
        <v>6.5700991138842244E-2</v>
      </c>
    </row>
    <row r="16" spans="1:136">
      <c r="A16" s="2">
        <v>107</v>
      </c>
      <c r="B16" s="2">
        <v>9</v>
      </c>
      <c r="C16" s="13">
        <v>-2.7383644610379052E-2</v>
      </c>
      <c r="D16" s="13">
        <v>0.40819544444444439</v>
      </c>
      <c r="E16" s="13">
        <v>-2.8301766100853822E-3</v>
      </c>
      <c r="F16" s="13">
        <v>0.1242606666666667</v>
      </c>
      <c r="G16" s="13">
        <v>-7.3696265126923857E-2</v>
      </c>
      <c r="H16" s="13">
        <v>7.2848777777777762E-2</v>
      </c>
      <c r="I16" s="13">
        <v>0.111792</v>
      </c>
      <c r="J16" s="13">
        <v>-6.8693444444444446E-2</v>
      </c>
      <c r="K16" s="13">
        <v>-0.28467055022653209</v>
      </c>
      <c r="L16" s="13">
        <v>9.8865345878687977E-3</v>
      </c>
      <c r="M16" s="13">
        <v>-0.19487577777777779</v>
      </c>
      <c r="N16" s="13">
        <v>0.36698788888888889</v>
      </c>
      <c r="O16" s="13">
        <v>1.562111111111111E-2</v>
      </c>
      <c r="P16" s="13">
        <v>6.1979777777777773E-2</v>
      </c>
      <c r="Q16" s="13">
        <v>9.6619888888888894E-2</v>
      </c>
      <c r="R16" s="13">
        <v>1.918244444444445E-2</v>
      </c>
      <c r="S16" s="13">
        <v>-4.2415111111111112E-2</v>
      </c>
      <c r="T16" s="13">
        <v>-2.322744444444445E-2</v>
      </c>
      <c r="U16" s="13">
        <v>4.8649666666666667E-2</v>
      </c>
      <c r="V16" s="13">
        <v>-0.1043152222222222</v>
      </c>
      <c r="W16" s="13">
        <v>7.8373444444444454E-2</v>
      </c>
      <c r="X16" s="13">
        <v>7.3678333333333373E-2</v>
      </c>
      <c r="Y16" s="13">
        <v>-4.2885555555555559E-3</v>
      </c>
      <c r="Z16" s="13">
        <v>-2.0075777777777779E-2</v>
      </c>
      <c r="AA16" s="13">
        <v>-4.3487635835992113E-2</v>
      </c>
      <c r="AB16" s="13">
        <v>-7.1015999999999996E-2</v>
      </c>
      <c r="AC16" s="13">
        <v>-4.1040111111111117E-2</v>
      </c>
      <c r="AD16" s="13">
        <v>-1.122025849076259E-3</v>
      </c>
      <c r="AE16" s="13">
        <v>5.153399999999999E-2</v>
      </c>
      <c r="AF16" s="13">
        <v>-6.3685842581589158E-2</v>
      </c>
      <c r="AG16" s="13">
        <v>-8.3015555555555516E-3</v>
      </c>
      <c r="AH16" s="13">
        <v>3.1765400449440553E-2</v>
      </c>
      <c r="AI16" s="13">
        <v>9.052311111111111E-2</v>
      </c>
      <c r="AJ16" s="13">
        <v>-1.763E-2</v>
      </c>
      <c r="AK16" s="13">
        <v>-7.9863333333333383E-3</v>
      </c>
      <c r="AL16" s="13">
        <v>4.8688933104523248E-2</v>
      </c>
      <c r="AM16" s="13">
        <v>6.6076730601797973E-2</v>
      </c>
      <c r="AN16" s="13">
        <v>0.1064562000896756</v>
      </c>
      <c r="AO16" s="13">
        <v>6.1424671825912318E-2</v>
      </c>
      <c r="AP16" s="13">
        <v>5.2404444444444451E-3</v>
      </c>
      <c r="AQ16" s="13">
        <v>-3.8466200146068608E-2</v>
      </c>
      <c r="AR16" s="13">
        <v>0.1032911790604924</v>
      </c>
      <c r="AS16" s="13">
        <v>6.5068225473969343E-2</v>
      </c>
      <c r="AT16" s="13">
        <v>4.954715531837002E-2</v>
      </c>
      <c r="AU16" s="13">
        <v>4.1826838254895117E-2</v>
      </c>
      <c r="AV16" s="13">
        <v>-9.0725067800187069E-3</v>
      </c>
      <c r="AW16" s="13">
        <v>3.9252930074650652E-2</v>
      </c>
      <c r="AX16" s="13">
        <v>-6.8555555555555609E-3</v>
      </c>
      <c r="AY16" s="13">
        <v>3.3812589844345937E-2</v>
      </c>
      <c r="AZ16" s="13">
        <v>-0.1049096351787122</v>
      </c>
      <c r="BA16" s="13">
        <v>1.4923105057586089E-2</v>
      </c>
      <c r="BB16" s="13">
        <v>0.10803892415273809</v>
      </c>
      <c r="BC16" s="13">
        <v>6.712146610769186E-2</v>
      </c>
      <c r="BD16" s="13">
        <v>3.5936711545904013E-2</v>
      </c>
      <c r="BE16" s="13">
        <v>5.1410994394474947E-2</v>
      </c>
      <c r="BF16" s="13">
        <v>6.4268054319718215E-2</v>
      </c>
      <c r="BG16" s="13">
        <v>1.347328204795663E-2</v>
      </c>
      <c r="BH16" s="13">
        <v>-1.377561448396186E-2</v>
      </c>
      <c r="BI16" s="13">
        <v>4.1443807763261883E-2</v>
      </c>
      <c r="BJ16" s="13">
        <v>-2.0503816283207601E-2</v>
      </c>
      <c r="BK16" s="13">
        <v>2.9719902951970238E-3</v>
      </c>
      <c r="BL16" s="13">
        <v>7.0623565707523178E-2</v>
      </c>
      <c r="BM16" s="13">
        <v>8.1523875041965066E-2</v>
      </c>
      <c r="BN16" s="13">
        <v>4.7905832604027233E-2</v>
      </c>
      <c r="BO16" s="13">
        <v>2.1890359953657689E-2</v>
      </c>
      <c r="BP16" s="13">
        <v>2.0843183547580579E-2</v>
      </c>
      <c r="BQ16" s="13">
        <v>1.6478016254928601E-2</v>
      </c>
      <c r="BR16" s="13">
        <v>-2.6296848021444389E-2</v>
      </c>
      <c r="BS16" s="13">
        <v>-1.319157314746418E-2</v>
      </c>
      <c r="BT16" s="13">
        <v>8.5483191267799616E-2</v>
      </c>
      <c r="BU16" s="13">
        <v>5.7765110184800447E-2</v>
      </c>
      <c r="BV16" s="13">
        <v>6.0711239446840828E-2</v>
      </c>
      <c r="BW16" s="13">
        <v>-6.5740927426534632E-2</v>
      </c>
      <c r="BX16" s="13">
        <v>3.1559237521130948E-2</v>
      </c>
      <c r="BY16" s="13">
        <v>-5.0563732847242943E-2</v>
      </c>
      <c r="BZ16" s="13">
        <v>0.11152584850164921</v>
      </c>
      <c r="CA16" s="13">
        <v>2.7431000000000001E-2</v>
      </c>
      <c r="CB16" s="13">
        <v>-1.4280449892172949E-3</v>
      </c>
      <c r="CC16" s="13">
        <v>-0.15907251448393439</v>
      </c>
      <c r="CD16" s="13">
        <v>0.15507127162636181</v>
      </c>
      <c r="CE16" s="13">
        <v>-0.13259506079351141</v>
      </c>
      <c r="CF16" s="13">
        <v>0.10520126400975099</v>
      </c>
      <c r="CG16" s="13">
        <v>-5.3785190313301026E-3</v>
      </c>
      <c r="CH16" s="13">
        <v>4.1697414703027062E-2</v>
      </c>
      <c r="CI16" s="13">
        <v>-3.8709881828517527E-2</v>
      </c>
      <c r="CJ16" s="13">
        <v>-4.5523550787666608E-2</v>
      </c>
      <c r="CK16" s="13">
        <v>7.6472983717690388E-2</v>
      </c>
      <c r="CL16" s="13">
        <v>1.5878682334709331E-2</v>
      </c>
      <c r="CM16" s="13">
        <v>8.8988628149511667E-2</v>
      </c>
      <c r="CN16" s="13">
        <v>-3.3057515140949983E-2</v>
      </c>
      <c r="CO16" s="13">
        <v>-0.18245195453982929</v>
      </c>
      <c r="CP16" s="13">
        <v>0.13663168948209131</v>
      </c>
      <c r="CQ16" s="13">
        <v>4.1435605659410409E-2</v>
      </c>
      <c r="CR16" s="13">
        <v>4.829976668331655E-2</v>
      </c>
      <c r="CS16" s="13">
        <v>6.6559159874073834E-2</v>
      </c>
      <c r="CT16" s="13">
        <v>5.0674065008409694E-3</v>
      </c>
      <c r="CU16" s="13">
        <v>-6.343465435897469E-2</v>
      </c>
      <c r="CV16" s="13">
        <v>-1.6751084080720881E-2</v>
      </c>
      <c r="CW16" s="13">
        <v>-9.1941595326216954E-3</v>
      </c>
      <c r="CX16" s="13">
        <v>1.224028475424996E-2</v>
      </c>
      <c r="CY16" s="13">
        <v>-4.9117049116625407E-2</v>
      </c>
      <c r="CZ16" s="13">
        <v>0.1026332591781325</v>
      </c>
      <c r="DA16" s="13">
        <v>-2.9804793967235531E-2</v>
      </c>
      <c r="DB16" s="13">
        <v>-4.2712169780226052E-2</v>
      </c>
      <c r="DC16" s="13">
        <v>4.2942362320500277E-2</v>
      </c>
      <c r="DD16" s="13">
        <v>-7.0070935057357717E-2</v>
      </c>
      <c r="DE16" s="13">
        <v>3.4444372341228768E-2</v>
      </c>
      <c r="DF16" s="13">
        <v>-2.31464332255591E-2</v>
      </c>
      <c r="DG16" s="13">
        <v>1.445294763143863E-2</v>
      </c>
      <c r="DH16" s="13">
        <v>-1.9129343417971109E-2</v>
      </c>
      <c r="DI16" s="13">
        <v>-1.323342571252227E-2</v>
      </c>
      <c r="DJ16" s="13">
        <v>-2.914140608062964E-2</v>
      </c>
      <c r="DK16" s="13">
        <v>0.1335943566255807</v>
      </c>
      <c r="DL16" s="13">
        <v>6.5113036128644886E-2</v>
      </c>
      <c r="DM16" s="13">
        <v>-3.0330949758340948E-2</v>
      </c>
      <c r="DN16" s="13">
        <v>4.2437853359407113E-2</v>
      </c>
      <c r="DO16" s="13">
        <v>5.3221907556143692E-2</v>
      </c>
      <c r="DP16" s="13">
        <v>1.9841948579226051E-2</v>
      </c>
      <c r="DQ16" s="13">
        <v>-8.3033658077016542E-2</v>
      </c>
      <c r="DR16" s="13">
        <v>5.5191251649515209E-2</v>
      </c>
      <c r="DS16" s="13">
        <v>-9.3752064989754288E-2</v>
      </c>
      <c r="DT16" s="13">
        <v>-0.10053412782446559</v>
      </c>
      <c r="DU16" s="13">
        <v>-6.447373376953866E-2</v>
      </c>
      <c r="DV16" s="13">
        <v>0.13695373201779351</v>
      </c>
      <c r="DW16" s="13">
        <v>4.0917729699690833E-2</v>
      </c>
      <c r="DX16" s="13">
        <v>-0.1252847063239774</v>
      </c>
      <c r="DY16" s="13">
        <v>0.11635433491034319</v>
      </c>
      <c r="DZ16" s="13">
        <v>-3.1277079824676451E-2</v>
      </c>
      <c r="EA16" s="13">
        <v>4.6661371555726909E-2</v>
      </c>
      <c r="EB16" s="13">
        <v>7.8610638743133537E-2</v>
      </c>
      <c r="EC16" s="13">
        <v>6.3532066634569728E-2</v>
      </c>
      <c r="ED16" s="13">
        <v>-0.1154167474989211</v>
      </c>
      <c r="EE16" s="13">
        <v>-2.3090711524611399E-2</v>
      </c>
      <c r="EF16" s="13">
        <v>4.2474401493907223E-2</v>
      </c>
    </row>
    <row r="17" spans="1:136">
      <c r="A17" s="2">
        <v>120</v>
      </c>
      <c r="B17" s="2">
        <v>8</v>
      </c>
      <c r="C17" s="13">
        <v>-4.1028984252961823E-2</v>
      </c>
      <c r="D17" s="13">
        <v>0.43958837499999998</v>
      </c>
      <c r="E17" s="13">
        <v>7.3790014953013412E-3</v>
      </c>
      <c r="F17" s="13">
        <v>0.14677200000000001</v>
      </c>
      <c r="G17" s="13">
        <v>-7.122276687818177E-2</v>
      </c>
      <c r="H17" s="13">
        <v>0.10499475</v>
      </c>
      <c r="I17" s="13">
        <v>6.7489250000000001E-2</v>
      </c>
      <c r="J17" s="13">
        <v>-0.11529837499999999</v>
      </c>
      <c r="K17" s="13">
        <v>-0.29682655110056239</v>
      </c>
      <c r="L17" s="13">
        <v>9.7108895081580021E-3</v>
      </c>
      <c r="M17" s="13">
        <v>-0.22693987500000001</v>
      </c>
      <c r="N17" s="13">
        <v>0.40510825</v>
      </c>
      <c r="O17" s="13">
        <v>2.4632125000000001E-2</v>
      </c>
      <c r="P17" s="13">
        <v>7.6915624999999987E-2</v>
      </c>
      <c r="Q17" s="13">
        <v>0.106432375</v>
      </c>
      <c r="R17" s="13">
        <v>1.975000000000005E-3</v>
      </c>
      <c r="S17" s="13">
        <v>-5.5131750000000007E-2</v>
      </c>
      <c r="T17" s="13">
        <v>-2.3508375000000001E-2</v>
      </c>
      <c r="U17" s="13">
        <v>5.2288375000000012E-2</v>
      </c>
      <c r="V17" s="13">
        <v>-0.116355125</v>
      </c>
      <c r="W17" s="13">
        <v>7.9142125000000008E-2</v>
      </c>
      <c r="X17" s="13">
        <v>0.10018637499999999</v>
      </c>
      <c r="Y17" s="13">
        <v>1.4991250000000039E-3</v>
      </c>
      <c r="Z17" s="13">
        <v>-2.1608499999999999E-2</v>
      </c>
      <c r="AA17" s="13">
        <v>-3.5209789582199093E-2</v>
      </c>
      <c r="AB17" s="13">
        <v>-5.8334375000000008E-2</v>
      </c>
      <c r="AC17" s="13">
        <v>-4.0799124999999999E-2</v>
      </c>
      <c r="AD17" s="13">
        <v>-2.1912844173640599E-2</v>
      </c>
      <c r="AE17" s="13">
        <v>5.9443249999999989E-2</v>
      </c>
      <c r="AF17" s="13">
        <v>-6.1429310121940139E-2</v>
      </c>
      <c r="AG17" s="13">
        <v>-1.3512499999999981E-3</v>
      </c>
      <c r="AH17" s="13">
        <v>3.5472619172888853E-2</v>
      </c>
      <c r="AI17" s="13">
        <v>0.114865125</v>
      </c>
      <c r="AJ17" s="13">
        <v>-2.2208249999999999E-2</v>
      </c>
      <c r="AK17" s="13">
        <v>-1.3324625E-2</v>
      </c>
      <c r="AL17" s="13">
        <v>5.0724405748556509E-2</v>
      </c>
      <c r="AM17" s="13">
        <v>7.5369367587656971E-2</v>
      </c>
      <c r="AN17" s="13">
        <v>0.1132871203459177</v>
      </c>
      <c r="AO17" s="13">
        <v>1.2632334595724191E-2</v>
      </c>
      <c r="AP17" s="13">
        <v>3.7592499999999991E-3</v>
      </c>
      <c r="AQ17" s="13">
        <v>-6.052713740149903E-2</v>
      </c>
      <c r="AR17" s="13">
        <v>0.11393070989481729</v>
      </c>
      <c r="AS17" s="13">
        <v>5.6323562034475708E-2</v>
      </c>
      <c r="AT17" s="13">
        <v>5.2267806449722218E-2</v>
      </c>
      <c r="AU17" s="13">
        <v>5.4555507286687788E-2</v>
      </c>
      <c r="AV17" s="13">
        <v>-2.120590278226837E-2</v>
      </c>
      <c r="AW17" s="13">
        <v>8.4218880418367916E-3</v>
      </c>
      <c r="AX17" s="13">
        <v>1.0592374999999999E-2</v>
      </c>
      <c r="AY17" s="13">
        <v>2.742369669060089E-2</v>
      </c>
      <c r="AZ17" s="13">
        <v>-0.1251576022601911</v>
      </c>
      <c r="BA17" s="13">
        <v>9.8251791071129642E-3</v>
      </c>
      <c r="BB17" s="13">
        <v>0.1237640631138444</v>
      </c>
      <c r="BC17" s="13">
        <v>8.386319517781364E-2</v>
      </c>
      <c r="BD17" s="13">
        <v>2.235648224620481E-2</v>
      </c>
      <c r="BE17" s="13">
        <v>7.7350242238060404E-2</v>
      </c>
      <c r="BF17" s="13">
        <v>5.5197496608953713E-2</v>
      </c>
      <c r="BG17" s="13">
        <v>-3.5394236088037288E-2</v>
      </c>
      <c r="BH17" s="13">
        <v>1.351946085175304E-2</v>
      </c>
      <c r="BI17" s="13">
        <v>8.7111945439947241E-2</v>
      </c>
      <c r="BJ17" s="13">
        <v>-9.8580642732364818E-3</v>
      </c>
      <c r="BK17" s="13">
        <v>-1.3822952070105509E-2</v>
      </c>
      <c r="BL17" s="13">
        <v>7.7482966799946165E-2</v>
      </c>
      <c r="BM17" s="13">
        <v>7.5997770445859966E-2</v>
      </c>
      <c r="BN17" s="13">
        <v>4.6915525593877988E-2</v>
      </c>
      <c r="BO17" s="13">
        <v>3.5179615416723611E-2</v>
      </c>
      <c r="BP17" s="13">
        <v>3.5995979654480911E-2</v>
      </c>
      <c r="BQ17" s="13">
        <v>1.1376510446451601E-2</v>
      </c>
      <c r="BR17" s="13">
        <v>-9.6463751247498966E-3</v>
      </c>
      <c r="BS17" s="13">
        <v>-4.1034691106065987E-3</v>
      </c>
      <c r="BT17" s="13">
        <v>0.1094163788704233</v>
      </c>
      <c r="BU17" s="13">
        <v>7.1127818750752414E-2</v>
      </c>
      <c r="BV17" s="13">
        <v>7.0210303019628315E-2</v>
      </c>
      <c r="BW17" s="13">
        <v>-8.0431712599265903E-2</v>
      </c>
      <c r="BX17" s="13">
        <v>2.882296461967274E-2</v>
      </c>
      <c r="BY17" s="13">
        <v>-8.4245467628694337E-2</v>
      </c>
      <c r="BZ17" s="13">
        <v>0.12057815588108529</v>
      </c>
      <c r="CA17" s="13">
        <v>2.7196125000000002E-2</v>
      </c>
      <c r="CB17" s="13">
        <v>-1.047770749199251E-2</v>
      </c>
      <c r="CC17" s="13">
        <v>-0.17495797398968091</v>
      </c>
      <c r="CD17" s="13">
        <v>0.17295974121914859</v>
      </c>
      <c r="CE17" s="13">
        <v>-0.17511624550605151</v>
      </c>
      <c r="CF17" s="13">
        <v>9.8746197426198501E-2</v>
      </c>
      <c r="CG17" s="13">
        <v>-1.552710507507719E-2</v>
      </c>
      <c r="CH17" s="13">
        <v>5.8636446607050002E-2</v>
      </c>
      <c r="CI17" s="13">
        <v>-1.4531184989588509E-2</v>
      </c>
      <c r="CJ17" s="13">
        <v>-5.0742321484442049E-2</v>
      </c>
      <c r="CK17" s="13">
        <v>9.1738572657912937E-2</v>
      </c>
      <c r="CL17" s="13">
        <v>-9.426344769031314E-3</v>
      </c>
      <c r="CM17" s="13">
        <v>0.13456934443157431</v>
      </c>
      <c r="CN17" s="13">
        <v>-2.6718061150986971E-2</v>
      </c>
      <c r="CO17" s="13">
        <v>-0.20253862726298949</v>
      </c>
      <c r="CP17" s="13">
        <v>0.1481592691973436</v>
      </c>
      <c r="CQ17" s="13">
        <v>4.1087933183403327E-2</v>
      </c>
      <c r="CR17" s="13">
        <v>5.0676490702223173E-2</v>
      </c>
      <c r="CS17" s="13">
        <v>9.6841631299569769E-2</v>
      </c>
      <c r="CT17" s="13">
        <v>4.9260056389193077E-2</v>
      </c>
      <c r="CU17" s="13">
        <v>-7.440830758325391E-2</v>
      </c>
      <c r="CV17" s="13">
        <v>3.8796079399274282E-3</v>
      </c>
      <c r="CW17" s="13">
        <v>-1.976185390935294E-2</v>
      </c>
      <c r="CX17" s="13">
        <v>1.0772394523947831E-2</v>
      </c>
      <c r="CY17" s="13">
        <v>-4.9383298716090041E-2</v>
      </c>
      <c r="CZ17" s="13">
        <v>0.1242488378476205</v>
      </c>
      <c r="DA17" s="13">
        <v>-4.3895859145134192E-2</v>
      </c>
      <c r="DB17" s="13">
        <v>-3.4883010792467917E-2</v>
      </c>
      <c r="DC17" s="13">
        <v>4.3363468977499313E-2</v>
      </c>
      <c r="DD17" s="13">
        <v>-8.5133933084153957E-2</v>
      </c>
      <c r="DE17" s="13">
        <v>4.3723415783303222E-2</v>
      </c>
      <c r="DF17" s="13">
        <v>-1.123137032665928E-2</v>
      </c>
      <c r="DG17" s="13">
        <v>-1.8392819289084069E-3</v>
      </c>
      <c r="DH17" s="13">
        <v>-3.8726650938012717E-2</v>
      </c>
      <c r="DI17" s="13">
        <v>-5.2932443237824478E-3</v>
      </c>
      <c r="DJ17" s="13">
        <v>-4.5336157540819967E-2</v>
      </c>
      <c r="DK17" s="13">
        <v>0.15603642811654619</v>
      </c>
      <c r="DL17" s="13">
        <v>7.3515600937171063E-2</v>
      </c>
      <c r="DM17" s="13">
        <v>-5.2252910582316028E-2</v>
      </c>
      <c r="DN17" s="13">
        <v>3.5489032714339008E-2</v>
      </c>
      <c r="DO17" s="13">
        <v>5.3451370339903423E-2</v>
      </c>
      <c r="DP17" s="13">
        <v>-1.651850825662354E-2</v>
      </c>
      <c r="DQ17" s="13">
        <v>-0.1077024687966308</v>
      </c>
      <c r="DR17" s="13">
        <v>5.5884814876328279E-2</v>
      </c>
      <c r="DS17" s="13">
        <v>-0.12431615980481089</v>
      </c>
      <c r="DT17" s="13">
        <v>-9.3138949685151573E-2</v>
      </c>
      <c r="DU17" s="13">
        <v>-7.1730706050505327E-2</v>
      </c>
      <c r="DV17" s="13">
        <v>0.11776539811095429</v>
      </c>
      <c r="DW17" s="13">
        <v>4.8681483414150163E-2</v>
      </c>
      <c r="DX17" s="13">
        <v>-0.12953898259647401</v>
      </c>
      <c r="DY17" s="13">
        <v>0.11213845480607409</v>
      </c>
      <c r="DZ17" s="13">
        <v>-3.1828172599786188E-2</v>
      </c>
      <c r="EA17" s="13">
        <v>1.181792386571255E-2</v>
      </c>
      <c r="EB17" s="13">
        <v>8.7100349194739302E-2</v>
      </c>
      <c r="EC17" s="13">
        <v>1.6425217216060651E-2</v>
      </c>
      <c r="ED17" s="13">
        <v>-0.12832444392891271</v>
      </c>
      <c r="EE17" s="13">
        <v>-2.5413360310033831E-2</v>
      </c>
      <c r="EF17" s="13">
        <v>4.7709767009851849E-2</v>
      </c>
    </row>
    <row r="18" spans="1:136">
      <c r="A18" s="2">
        <v>137</v>
      </c>
      <c r="B18" s="2">
        <v>7</v>
      </c>
      <c r="C18" s="13">
        <v>-5.3942228163147227E-2</v>
      </c>
      <c r="D18" s="13">
        <v>0.40188400000000007</v>
      </c>
      <c r="E18" s="13">
        <v>-5.900065709820778E-2</v>
      </c>
      <c r="F18" s="13">
        <v>0.21209085714285711</v>
      </c>
      <c r="G18" s="13">
        <v>-8.0794247020859855E-2</v>
      </c>
      <c r="H18" s="13">
        <v>0.12853999999999999</v>
      </c>
      <c r="I18" s="13">
        <v>5.4952571428571427E-2</v>
      </c>
      <c r="J18" s="13">
        <v>-0.12516085714285721</v>
      </c>
      <c r="K18" s="13">
        <v>-0.35868209850789973</v>
      </c>
      <c r="L18" s="13">
        <v>1.298248684698161E-2</v>
      </c>
      <c r="M18" s="13">
        <v>-0.25351285714285721</v>
      </c>
      <c r="N18" s="13">
        <v>0.46182042857142858</v>
      </c>
      <c r="O18" s="13">
        <v>2.432414285714286E-2</v>
      </c>
      <c r="P18" s="13">
        <v>5.4569714285714277E-2</v>
      </c>
      <c r="Q18" s="13">
        <v>0.1217387142857143</v>
      </c>
      <c r="R18" s="13">
        <v>1.9326571428571419E-2</v>
      </c>
      <c r="S18" s="13">
        <v>-6.9013285714285721E-2</v>
      </c>
      <c r="T18" s="13">
        <v>-5.0295714285714301E-3</v>
      </c>
      <c r="U18" s="13">
        <v>2.8133571428571431E-2</v>
      </c>
      <c r="V18" s="13">
        <v>-0.13125300000000001</v>
      </c>
      <c r="W18" s="13">
        <v>7.7297000000000005E-2</v>
      </c>
      <c r="X18" s="13">
        <v>0.12712328571428569</v>
      </c>
      <c r="Y18" s="13">
        <v>2.4211857142857139E-2</v>
      </c>
      <c r="Z18" s="13">
        <v>-1.690557142857143E-2</v>
      </c>
      <c r="AA18" s="13">
        <v>-4.1705245182724067E-2</v>
      </c>
      <c r="AB18" s="13">
        <v>-6.1713999999999991E-2</v>
      </c>
      <c r="AC18" s="13">
        <v>-7.4719857142857143E-2</v>
      </c>
      <c r="AD18" s="13">
        <v>-2.659559037908019E-2</v>
      </c>
      <c r="AE18" s="13">
        <v>7.7200999999999978E-2</v>
      </c>
      <c r="AF18" s="13">
        <v>-3.187341816062559E-2</v>
      </c>
      <c r="AG18" s="13">
        <v>-8.6178571428571424E-3</v>
      </c>
      <c r="AH18" s="13">
        <v>4.0197460968514703E-2</v>
      </c>
      <c r="AI18" s="13">
        <v>0.11808642857142861</v>
      </c>
      <c r="AJ18" s="13">
        <v>-7.3281428571428664E-3</v>
      </c>
      <c r="AK18" s="13">
        <v>2.7291285714285719E-2</v>
      </c>
      <c r="AL18" s="13">
        <v>4.7527763632257733E-2</v>
      </c>
      <c r="AM18" s="13">
        <v>6.6643405424771207E-2</v>
      </c>
      <c r="AN18" s="13">
        <v>7.9294639955201793E-2</v>
      </c>
      <c r="AO18" s="13">
        <v>5.4275349676927882E-3</v>
      </c>
      <c r="AP18" s="13">
        <v>2.0157142857142869E-3</v>
      </c>
      <c r="AQ18" s="13">
        <v>-7.6230845326449942E-2</v>
      </c>
      <c r="AR18" s="13">
        <v>0.1245455063629442</v>
      </c>
      <c r="AS18" s="13">
        <v>8.5826551553969135E-2</v>
      </c>
      <c r="AT18" s="13">
        <v>4.3325649820578682E-2</v>
      </c>
      <c r="AU18" s="13">
        <v>6.4575644079591543E-2</v>
      </c>
      <c r="AV18" s="13">
        <v>-2.8768755881717199E-2</v>
      </c>
      <c r="AW18" s="13">
        <v>2.4538034241107461E-2</v>
      </c>
      <c r="AX18" s="13">
        <v>3.3604285714285712E-2</v>
      </c>
      <c r="AY18" s="13">
        <v>3.4783278641148073E-2</v>
      </c>
      <c r="AZ18" s="13">
        <v>-0.14840908238889911</v>
      </c>
      <c r="BA18" s="13">
        <v>6.3231092468556214E-4</v>
      </c>
      <c r="BB18" s="13">
        <v>0.13765604215733709</v>
      </c>
      <c r="BC18" s="13">
        <v>8.3201572593320602E-2</v>
      </c>
      <c r="BD18" s="13">
        <v>-2.4016271687300441E-2</v>
      </c>
      <c r="BE18" s="13">
        <v>6.8361213238162841E-2</v>
      </c>
      <c r="BF18" s="13">
        <v>4.5884536299578838E-2</v>
      </c>
      <c r="BG18" s="13">
        <v>-1.680624122620418E-2</v>
      </c>
      <c r="BH18" s="13">
        <v>2.0503853063805449E-2</v>
      </c>
      <c r="BI18" s="13">
        <v>0.1090000069186657</v>
      </c>
      <c r="BJ18" s="13">
        <v>5.9560640504595433E-3</v>
      </c>
      <c r="BK18" s="13">
        <v>-5.8003244170202591E-2</v>
      </c>
      <c r="BL18" s="13">
        <v>8.1157673820204085E-2</v>
      </c>
      <c r="BM18" s="13">
        <v>0.1027739390634396</v>
      </c>
      <c r="BN18" s="13">
        <v>5.2774389623830152E-2</v>
      </c>
      <c r="BO18" s="13">
        <v>2.0227496106374639E-2</v>
      </c>
      <c r="BP18" s="13">
        <v>4.6857540334682007E-2</v>
      </c>
      <c r="BQ18" s="13">
        <v>1.916784109848992E-3</v>
      </c>
      <c r="BR18" s="13">
        <v>-5.7481935839547244E-3</v>
      </c>
      <c r="BS18" s="13">
        <v>-3.9836250971192512E-3</v>
      </c>
      <c r="BT18" s="13">
        <v>0.1152367480358866</v>
      </c>
      <c r="BU18" s="13">
        <v>8.0677444040040805E-2</v>
      </c>
      <c r="BV18" s="13">
        <v>8.0923395277042356E-2</v>
      </c>
      <c r="BW18" s="13">
        <v>-8.531108693319546E-2</v>
      </c>
      <c r="BX18" s="13">
        <v>1.9018474716035669E-2</v>
      </c>
      <c r="BY18" s="13">
        <v>-0.1230749758240248</v>
      </c>
      <c r="BZ18" s="13">
        <v>0.15331998780259809</v>
      </c>
      <c r="CA18" s="13">
        <v>3.3285857142857138E-2</v>
      </c>
      <c r="CB18" s="13">
        <v>-2.4577356612448309E-2</v>
      </c>
      <c r="CC18" s="13">
        <v>-2.817344401940013E-2</v>
      </c>
      <c r="CD18" s="13">
        <v>0.19371681864683071</v>
      </c>
      <c r="CE18" s="13">
        <v>-0.1779263563088774</v>
      </c>
      <c r="CF18" s="13">
        <v>7.1817591700374064E-2</v>
      </c>
      <c r="CG18" s="13">
        <v>-2.8013589394155079E-3</v>
      </c>
      <c r="CH18" s="13">
        <v>0.16265704668723319</v>
      </c>
      <c r="CI18" s="13">
        <v>-3.8869139877689488E-2</v>
      </c>
      <c r="CJ18" s="13">
        <v>-6.2313677824909687E-2</v>
      </c>
      <c r="CK18" s="13">
        <v>9.0667784292283726E-2</v>
      </c>
      <c r="CL18" s="13">
        <v>-3.0989545058193121E-2</v>
      </c>
      <c r="CM18" s="13">
        <v>0.14364854316439371</v>
      </c>
      <c r="CN18" s="13">
        <v>-3.5086253978176607E-2</v>
      </c>
      <c r="CO18" s="13">
        <v>-0.23157387854942929</v>
      </c>
      <c r="CP18" s="13">
        <v>0.16283910894801071</v>
      </c>
      <c r="CQ18" s="13">
        <v>4.7976536408267538E-2</v>
      </c>
      <c r="CR18" s="13">
        <v>5.5156128716592027E-2</v>
      </c>
      <c r="CS18" s="13">
        <v>7.802724673197127E-2</v>
      </c>
      <c r="CT18" s="13">
        <v>9.0515429002249403E-2</v>
      </c>
      <c r="CU18" s="13">
        <v>-7.1648691205109999E-2</v>
      </c>
      <c r="CV18" s="13">
        <v>9.1040282230288663E-2</v>
      </c>
      <c r="CW18" s="13">
        <v>-8.4560855645258066E-3</v>
      </c>
      <c r="CX18" s="13">
        <v>6.1560185833778078E-2</v>
      </c>
      <c r="CY18" s="13">
        <v>-5.135741377478225E-2</v>
      </c>
      <c r="CZ18" s="13">
        <v>0.13284286330177139</v>
      </c>
      <c r="DA18" s="13">
        <v>-4.7380939518693557E-2</v>
      </c>
      <c r="DB18" s="13">
        <v>-4.5735208678759381E-2</v>
      </c>
      <c r="DC18" s="13">
        <v>3.6408781495506221E-2</v>
      </c>
      <c r="DD18" s="13">
        <v>-8.2462353495414184E-2</v>
      </c>
      <c r="DE18" s="13">
        <v>4.9173444891641022E-2</v>
      </c>
      <c r="DF18" s="13">
        <v>-3.5042778782370262E-2</v>
      </c>
      <c r="DG18" s="13">
        <v>-7.619473157627699E-3</v>
      </c>
      <c r="DH18" s="13">
        <v>-2.8038013248649029E-2</v>
      </c>
      <c r="DI18" s="13">
        <v>-1.6114629238026808E-2</v>
      </c>
      <c r="DJ18" s="13">
        <v>-4.5204039785289522E-2</v>
      </c>
      <c r="DK18" s="13">
        <v>0.15851362709242739</v>
      </c>
      <c r="DL18" s="13">
        <v>8.1397742916241134E-2</v>
      </c>
      <c r="DM18" s="13">
        <v>-6.650814073203816E-2</v>
      </c>
      <c r="DN18" s="13">
        <v>-1.6722064078021251E-2</v>
      </c>
      <c r="DO18" s="13">
        <v>4.2104907550630517E-2</v>
      </c>
      <c r="DP18" s="13">
        <v>-2.0604686466865741E-2</v>
      </c>
      <c r="DQ18" s="13">
        <v>-0.1007272783058315</v>
      </c>
      <c r="DR18" s="13">
        <v>7.6840654771961045E-2</v>
      </c>
      <c r="DS18" s="13">
        <v>-0.1477219984517327</v>
      </c>
      <c r="DT18" s="13">
        <v>-0.1160173901109771</v>
      </c>
      <c r="DU18" s="13">
        <v>-9.6895186076904644E-2</v>
      </c>
      <c r="DV18" s="13">
        <v>0.1056406088000619</v>
      </c>
      <c r="DW18" s="13">
        <v>8.1908692284373169E-2</v>
      </c>
      <c r="DX18" s="13">
        <v>-0.1536029774624818</v>
      </c>
      <c r="DY18" s="13">
        <v>9.7428036975949608E-2</v>
      </c>
      <c r="DZ18" s="13">
        <v>-7.5516359296365659E-2</v>
      </c>
      <c r="EA18" s="13">
        <v>-6.3615627439817801E-3</v>
      </c>
      <c r="EB18" s="13">
        <v>9.9846377978320619E-2</v>
      </c>
      <c r="EC18" s="13">
        <v>2.764115425371385E-3</v>
      </c>
      <c r="ED18" s="13">
        <v>-0.11047802186576559</v>
      </c>
      <c r="EE18" s="13">
        <v>-1.385375397450707E-2</v>
      </c>
      <c r="EF18" s="13">
        <v>4.8955017110416547E-2</v>
      </c>
    </row>
    <row r="19" spans="1:136">
      <c r="A19" s="2">
        <v>160</v>
      </c>
      <c r="B19" s="2">
        <v>6</v>
      </c>
      <c r="C19" s="13">
        <v>-7.7959416087486216E-2</v>
      </c>
      <c r="D19" s="13">
        <v>0.4075213333333334</v>
      </c>
      <c r="E19" s="13">
        <v>-5.4898093767412171E-2</v>
      </c>
      <c r="F19" s="13">
        <v>0.2361708333333333</v>
      </c>
      <c r="G19" s="13">
        <v>-9.7512090561600123E-2</v>
      </c>
      <c r="H19" s="13">
        <v>0.17761016666666671</v>
      </c>
      <c r="I19" s="13">
        <v>4.746333333333333E-2</v>
      </c>
      <c r="J19" s="13">
        <v>-0.1562291666666667</v>
      </c>
      <c r="K19" s="13">
        <v>-0.41833785096963422</v>
      </c>
      <c r="L19" s="13">
        <v>4.3048957635166023E-2</v>
      </c>
      <c r="M19" s="13">
        <v>-0.26154166666666667</v>
      </c>
      <c r="N19" s="13">
        <v>0.53237449999999997</v>
      </c>
      <c r="O19" s="13">
        <v>-1.9796999999999999E-2</v>
      </c>
      <c r="P19" s="13">
        <v>2.2785333333333321E-2</v>
      </c>
      <c r="Q19" s="13">
        <v>0.1704643333333333</v>
      </c>
      <c r="R19" s="13">
        <v>4.1943000000000008E-2</v>
      </c>
      <c r="S19" s="13">
        <v>-7.8696166666666678E-2</v>
      </c>
      <c r="T19" s="13">
        <v>-0.1095268333333333</v>
      </c>
      <c r="U19" s="13">
        <v>4.4184166666666663E-2</v>
      </c>
      <c r="V19" s="13">
        <v>-0.1186835</v>
      </c>
      <c r="W19" s="13">
        <v>7.2415833333333346E-2</v>
      </c>
      <c r="X19" s="13">
        <v>0.12292366666666669</v>
      </c>
      <c r="Y19" s="13">
        <v>2.4062166666666669E-2</v>
      </c>
      <c r="Z19" s="13">
        <v>-2.2223E-2</v>
      </c>
      <c r="AA19" s="13">
        <v>-4.1570184538155738E-2</v>
      </c>
      <c r="AB19" s="13">
        <v>-6.0762499999999997E-2</v>
      </c>
      <c r="AC19" s="13">
        <v>-8.3512833333333328E-2</v>
      </c>
      <c r="AD19" s="13">
        <v>-3.5088928587950333E-2</v>
      </c>
      <c r="AE19" s="13">
        <v>0.11523116666666661</v>
      </c>
      <c r="AF19" s="13">
        <v>-3.8785666808899749E-2</v>
      </c>
      <c r="AG19" s="13">
        <v>1.92985E-2</v>
      </c>
      <c r="AH19" s="13">
        <v>5.6557715221703553E-2</v>
      </c>
      <c r="AI19" s="13">
        <v>9.154933333333333E-2</v>
      </c>
      <c r="AJ19" s="13">
        <v>1.2166333333333329E-2</v>
      </c>
      <c r="AK19" s="13">
        <v>4.9060666666666669E-2</v>
      </c>
      <c r="AL19" s="13">
        <v>7.0270945670805551E-2</v>
      </c>
      <c r="AM19" s="13">
        <v>4.3106011811404943E-2</v>
      </c>
      <c r="AN19" s="13">
        <v>8.3568294365682083E-2</v>
      </c>
      <c r="AO19" s="13">
        <v>2.589290304541441E-2</v>
      </c>
      <c r="AP19" s="13">
        <v>9.7129999999999959E-3</v>
      </c>
      <c r="AQ19" s="13">
        <v>-8.8252757060650652E-2</v>
      </c>
      <c r="AR19" s="13">
        <v>0.1535175623128574</v>
      </c>
      <c r="AS19" s="13">
        <v>9.7796955268314459E-2</v>
      </c>
      <c r="AT19" s="13">
        <v>4.9294981765701303E-2</v>
      </c>
      <c r="AU19" s="13">
        <v>7.6428715713654158E-2</v>
      </c>
      <c r="AV19" s="13">
        <v>-5.003302069697789E-2</v>
      </c>
      <c r="AW19" s="13">
        <v>2.2356168154136491E-2</v>
      </c>
      <c r="AX19" s="13">
        <v>6.4064999999999997E-2</v>
      </c>
      <c r="AY19" s="13">
        <v>2.9528970393379841E-2</v>
      </c>
      <c r="AZ19" s="13">
        <v>-0.18687961816817431</v>
      </c>
      <c r="BA19" s="13">
        <v>-3.4363883954073027E-2</v>
      </c>
      <c r="BB19" s="13">
        <v>0.15974619907243159</v>
      </c>
      <c r="BC19" s="13">
        <v>6.4055486346185769E-2</v>
      </c>
      <c r="BD19" s="13">
        <v>-3.2343926300681461E-3</v>
      </c>
      <c r="BE19" s="13">
        <v>5.1131873963666558E-2</v>
      </c>
      <c r="BF19" s="13">
        <v>1.3570974149138619E-2</v>
      </c>
      <c r="BG19" s="13">
        <v>-1.6343658332842171E-2</v>
      </c>
      <c r="BH19" s="13">
        <v>2.0182017014309939E-3</v>
      </c>
      <c r="BI19" s="13">
        <v>0.12779862881921869</v>
      </c>
      <c r="BJ19" s="13">
        <v>2.1707301538579211E-2</v>
      </c>
      <c r="BK19" s="13">
        <v>-5.1749526091992383E-2</v>
      </c>
      <c r="BL19" s="13">
        <v>7.9964658146503109E-2</v>
      </c>
      <c r="BM19" s="13">
        <v>0.1142506002586957</v>
      </c>
      <c r="BN19" s="13">
        <v>6.7252647467271776E-2</v>
      </c>
      <c r="BO19" s="13">
        <v>2.5728961265115379E-2</v>
      </c>
      <c r="BP19" s="13">
        <v>6.2818807534132146E-2</v>
      </c>
      <c r="BQ19" s="13">
        <v>9.9340444543230683E-3</v>
      </c>
      <c r="BR19" s="13">
        <v>6.6752460235200081E-3</v>
      </c>
      <c r="BS19" s="13">
        <v>-2.4256338744482069E-2</v>
      </c>
      <c r="BT19" s="13">
        <v>0.14163267985357339</v>
      </c>
      <c r="BU19" s="13">
        <v>7.5936251234238056E-2</v>
      </c>
      <c r="BV19" s="13">
        <v>9.3655241153346391E-2</v>
      </c>
      <c r="BW19" s="13">
        <v>-0.10896696138364501</v>
      </c>
      <c r="BX19" s="13">
        <v>3.4087785271858247E-2</v>
      </c>
      <c r="BY19" s="13">
        <v>-0.1076497365556482</v>
      </c>
      <c r="BZ19" s="13">
        <v>6.8702124822053873E-2</v>
      </c>
      <c r="CA19" s="13">
        <v>3.5610166666666658E-2</v>
      </c>
      <c r="CB19" s="13">
        <v>-4.804116850824483E-2</v>
      </c>
      <c r="CC19" s="13">
        <v>-2.4723252765827462E-2</v>
      </c>
      <c r="CD19" s="13">
        <v>0.21561919809371791</v>
      </c>
      <c r="CE19" s="13">
        <v>-0.1982658291769592</v>
      </c>
      <c r="CF19" s="13">
        <v>7.9904397206049291E-2</v>
      </c>
      <c r="CG19" s="13">
        <v>-5.0633530014653497E-2</v>
      </c>
      <c r="CH19" s="13">
        <v>0.1528898670499263</v>
      </c>
      <c r="CI19" s="13">
        <v>-3.7066946160195187E-2</v>
      </c>
      <c r="CJ19" s="13">
        <v>-6.194049996603615E-2</v>
      </c>
      <c r="CK19" s="13">
        <v>0.1039677178170982</v>
      </c>
      <c r="CL19" s="13">
        <v>-4.3240279974789908E-2</v>
      </c>
      <c r="CM19" s="13">
        <v>0.17534764158171501</v>
      </c>
      <c r="CN19" s="13">
        <v>-7.6932654667303466E-2</v>
      </c>
      <c r="CO19" s="13">
        <v>-0.27245440462850651</v>
      </c>
      <c r="CP19" s="13">
        <v>0.15903259898233271</v>
      </c>
      <c r="CQ19" s="13">
        <v>-2.7299081545619341E-3</v>
      </c>
      <c r="CR19" s="13">
        <v>4.9694189552402651E-2</v>
      </c>
      <c r="CS19" s="13">
        <v>6.0700850898538133E-2</v>
      </c>
      <c r="CT19" s="13">
        <v>0.1226204266300308</v>
      </c>
      <c r="CU19" s="13">
        <v>-8.3436397113892974E-2</v>
      </c>
      <c r="CV19" s="13">
        <v>0.10197986151640361</v>
      </c>
      <c r="CW19" s="13">
        <v>-2.190180778189859E-2</v>
      </c>
      <c r="CX19" s="13">
        <v>5.7634726368184938E-2</v>
      </c>
      <c r="CY19" s="13">
        <v>-7.092186956436955E-2</v>
      </c>
      <c r="CZ19" s="13">
        <v>0.11285182864146399</v>
      </c>
      <c r="DA19" s="13">
        <v>-5.8223876703236761E-2</v>
      </c>
      <c r="DB19" s="13">
        <v>-3.572089902521567E-2</v>
      </c>
      <c r="DC19" s="13">
        <v>-3.5179399902094073E-2</v>
      </c>
      <c r="DD19" s="13">
        <v>-0.10625733595480071</v>
      </c>
      <c r="DE19" s="13">
        <v>5.4024955382609513E-2</v>
      </c>
      <c r="DF19" s="13">
        <v>-6.969304689302265E-2</v>
      </c>
      <c r="DG19" s="13">
        <v>-1.27464749106491E-2</v>
      </c>
      <c r="DH19" s="13">
        <v>-1.569831294047225E-4</v>
      </c>
      <c r="DI19" s="13">
        <v>3.666424442421171E-3</v>
      </c>
      <c r="DJ19" s="13">
        <v>-4.8514350722976607E-2</v>
      </c>
      <c r="DK19" s="13">
        <v>0.1241445877842076</v>
      </c>
      <c r="DL19" s="13">
        <v>7.0167407799869491E-2</v>
      </c>
      <c r="DM19" s="13">
        <v>-8.1952255033994378E-2</v>
      </c>
      <c r="DN19" s="13">
        <v>2.4751230976385011E-3</v>
      </c>
      <c r="DO19" s="13">
        <v>5.5126563399943852E-2</v>
      </c>
      <c r="DP19" s="13">
        <v>2.783801448299373E-2</v>
      </c>
      <c r="DQ19" s="13">
        <v>-0.1204893793606352</v>
      </c>
      <c r="DR19" s="13">
        <v>7.5962353325048193E-2</v>
      </c>
      <c r="DS19" s="13">
        <v>-0.1779955469539703</v>
      </c>
      <c r="DT19" s="13">
        <v>-0.13312850061934939</v>
      </c>
      <c r="DU19" s="13">
        <v>-0.14283069805444029</v>
      </c>
      <c r="DV19" s="13">
        <v>0.1115247064406045</v>
      </c>
      <c r="DW19" s="13">
        <v>6.0609139340684293E-2</v>
      </c>
      <c r="DX19" s="13">
        <v>-0.1383651342381777</v>
      </c>
      <c r="DY19" s="13">
        <v>7.0109577687923127E-2</v>
      </c>
      <c r="DZ19" s="13">
        <v>-0.1119208288639931</v>
      </c>
      <c r="EA19" s="13">
        <v>-2.807935347566733E-2</v>
      </c>
      <c r="EB19" s="13">
        <v>2.1772770012778581E-2</v>
      </c>
      <c r="EC19" s="13">
        <v>-1.2190043223702179E-2</v>
      </c>
      <c r="ED19" s="13">
        <v>-0.15093531699015689</v>
      </c>
      <c r="EE19" s="13">
        <v>1.2634042940422471E-2</v>
      </c>
      <c r="EF19" s="13">
        <v>1.697795487476916E-2</v>
      </c>
    </row>
    <row r="20" spans="1:136">
      <c r="A20" s="2">
        <v>192</v>
      </c>
      <c r="B20" s="2">
        <v>5</v>
      </c>
      <c r="C20" s="13">
        <v>-0.13932460396499161</v>
      </c>
      <c r="D20" s="13">
        <v>0.38202580000000003</v>
      </c>
      <c r="E20" s="13">
        <v>1.5499988144333969E-2</v>
      </c>
      <c r="F20" s="13">
        <v>0.1824192</v>
      </c>
      <c r="G20" s="13">
        <v>-0.1003659119188639</v>
      </c>
      <c r="H20" s="13">
        <v>0.14393220000000001</v>
      </c>
      <c r="I20" s="13">
        <v>2.7936200000000001E-2</v>
      </c>
      <c r="J20" s="13">
        <v>-0.1332062</v>
      </c>
      <c r="K20" s="13">
        <v>-9.0108654122673978E-2</v>
      </c>
      <c r="L20" s="13">
        <v>9.5708635504535719E-2</v>
      </c>
      <c r="M20" s="13">
        <v>-0.26869399999999999</v>
      </c>
      <c r="N20" s="13">
        <v>0.5000116</v>
      </c>
      <c r="O20" s="13">
        <v>-0.1101138</v>
      </c>
      <c r="P20" s="13">
        <v>4.0029000000000002E-2</v>
      </c>
      <c r="Q20" s="13">
        <v>0.22482659999999999</v>
      </c>
      <c r="R20" s="13">
        <v>6.646959999999999E-2</v>
      </c>
      <c r="S20" s="13">
        <v>-5.7341400000000008E-2</v>
      </c>
      <c r="T20" s="13">
        <v>-0.1008458</v>
      </c>
      <c r="U20" s="13">
        <v>3.2235E-2</v>
      </c>
      <c r="V20" s="13">
        <v>-0.1362882</v>
      </c>
      <c r="W20" s="13">
        <v>9.1084999999999999E-2</v>
      </c>
      <c r="X20" s="13">
        <v>0.15004300000000001</v>
      </c>
      <c r="Y20" s="13">
        <v>-4.8579999999999977E-3</v>
      </c>
      <c r="Z20" s="13">
        <v>2.9158400000000001E-2</v>
      </c>
      <c r="AA20" s="13">
        <v>-2.159455338729711E-2</v>
      </c>
      <c r="AB20" s="13">
        <v>-6.0422999999999998E-2</v>
      </c>
      <c r="AC20" s="13">
        <v>-9.6308199999999997E-2</v>
      </c>
      <c r="AD20" s="13">
        <v>-3.4453902851829692E-2</v>
      </c>
      <c r="AE20" s="13">
        <v>1.7310200000000001E-2</v>
      </c>
      <c r="AF20" s="13">
        <v>-3.9044678387579961E-2</v>
      </c>
      <c r="AG20" s="13">
        <v>-6.2396000000000014E-3</v>
      </c>
      <c r="AH20" s="13">
        <v>9.0178200714782636E-2</v>
      </c>
      <c r="AI20" s="13">
        <v>0.1163372</v>
      </c>
      <c r="AJ20" s="13">
        <v>1.7240599999999991E-2</v>
      </c>
      <c r="AK20" s="13">
        <v>6.6968600000000003E-2</v>
      </c>
      <c r="AL20" s="13">
        <v>7.2893452036976947E-2</v>
      </c>
      <c r="AM20" s="13">
        <v>3.3095980748802607E-2</v>
      </c>
      <c r="AN20" s="13">
        <v>7.5470193518998266E-2</v>
      </c>
      <c r="AO20" s="13">
        <v>4.528508196468839E-2</v>
      </c>
      <c r="AP20" s="13">
        <v>1.26056E-2</v>
      </c>
      <c r="AQ20" s="13">
        <v>2.7452485332951051E-2</v>
      </c>
      <c r="AR20" s="13">
        <v>0.1700490046789242</v>
      </c>
      <c r="AS20" s="13">
        <v>0.112095809682817</v>
      </c>
      <c r="AT20" s="13">
        <v>5.858773760205771E-3</v>
      </c>
      <c r="AU20" s="13">
        <v>7.5692386895125863E-2</v>
      </c>
      <c r="AV20" s="13">
        <v>-5.4625713782478207E-2</v>
      </c>
      <c r="AW20" s="13">
        <v>6.8652681791509596E-3</v>
      </c>
      <c r="AX20" s="13">
        <v>8.5888799999999987E-2</v>
      </c>
      <c r="AY20" s="13">
        <v>3.8674698442909439E-2</v>
      </c>
      <c r="AZ20" s="13">
        <v>-0.21380243117708869</v>
      </c>
      <c r="BA20" s="13">
        <v>-3.6798864860540501E-2</v>
      </c>
      <c r="BB20" s="13">
        <v>0.1676554233765693</v>
      </c>
      <c r="BC20" s="13">
        <v>7.0605567677740205E-2</v>
      </c>
      <c r="BD20" s="13">
        <v>-5.3429813221597323E-2</v>
      </c>
      <c r="BE20" s="13">
        <v>-5.9467971392603326E-3</v>
      </c>
      <c r="BF20" s="13">
        <v>5.6885823313286886E-3</v>
      </c>
      <c r="BG20" s="13">
        <v>-6.9261427086933884E-3</v>
      </c>
      <c r="BH20" s="13">
        <v>-7.1606447114111002E-2</v>
      </c>
      <c r="BI20" s="13">
        <v>0.13174526708517489</v>
      </c>
      <c r="BJ20" s="13">
        <v>2.1629511833186621E-2</v>
      </c>
      <c r="BK20" s="13">
        <v>-5.9233167842827283E-2</v>
      </c>
      <c r="BL20" s="13">
        <v>8.6292231176454737E-2</v>
      </c>
      <c r="BM20" s="13">
        <v>0.1369176613284383</v>
      </c>
      <c r="BN20" s="13">
        <v>0.1185572414453714</v>
      </c>
      <c r="BO20" s="13">
        <v>-3.8461717515979203E-2</v>
      </c>
      <c r="BP20" s="13">
        <v>6.0407520762954983E-2</v>
      </c>
      <c r="BQ20" s="13">
        <v>1.5451706960843021E-2</v>
      </c>
      <c r="BR20" s="13">
        <v>1.207363173047259E-2</v>
      </c>
      <c r="BS20" s="13">
        <v>5.4075061911911179E-3</v>
      </c>
      <c r="BT20" s="13">
        <v>0.14780303317864721</v>
      </c>
      <c r="BU20" s="13">
        <v>9.8754949367706665E-2</v>
      </c>
      <c r="BV20" s="13">
        <v>0.11591833156307201</v>
      </c>
      <c r="BW20" s="13">
        <v>-0.13550325181247611</v>
      </c>
      <c r="BX20" s="13">
        <v>3.069363668324426E-2</v>
      </c>
      <c r="BY20" s="13">
        <v>-0.10523396636930341</v>
      </c>
      <c r="BZ20" s="13">
        <v>9.02714042602836E-2</v>
      </c>
      <c r="CA20" s="13">
        <v>5.0216200000000003E-2</v>
      </c>
      <c r="CB20" s="13">
        <v>-3.8251950010927849E-2</v>
      </c>
      <c r="CC20" s="13">
        <v>-2.6043033783065061E-2</v>
      </c>
      <c r="CD20" s="13">
        <v>0.1810274974905971</v>
      </c>
      <c r="CE20" s="13">
        <v>-0.2439637954697331</v>
      </c>
      <c r="CF20" s="13">
        <v>8.0957937198676569E-2</v>
      </c>
      <c r="CG20" s="13">
        <v>-9.9052888530088784E-2</v>
      </c>
      <c r="CH20" s="13">
        <v>7.1864025597138351E-2</v>
      </c>
      <c r="CI20" s="13">
        <v>-3.0394673769081951E-2</v>
      </c>
      <c r="CJ20" s="13">
        <v>-0.123440319887351</v>
      </c>
      <c r="CK20" s="13">
        <v>9.0978396750106633E-2</v>
      </c>
      <c r="CL20" s="13">
        <v>-9.2184934189128986E-2</v>
      </c>
      <c r="CM20" s="13">
        <v>0.18905116517062071</v>
      </c>
      <c r="CN20" s="13">
        <v>2.215941137048465E-2</v>
      </c>
      <c r="CO20" s="13">
        <v>-0.41597133516901241</v>
      </c>
      <c r="CP20" s="13">
        <v>0.1920312051090273</v>
      </c>
      <c r="CQ20" s="13">
        <v>6.1113579290622234E-3</v>
      </c>
      <c r="CR20" s="13">
        <v>7.3116244505850386E-2</v>
      </c>
      <c r="CS20" s="13">
        <v>8.8364277012261461E-2</v>
      </c>
      <c r="CT20" s="13">
        <v>9.0474037414266281E-2</v>
      </c>
      <c r="CU20" s="13">
        <v>-9.4867658266512403E-2</v>
      </c>
      <c r="CV20" s="13">
        <v>9.2511075695426118E-2</v>
      </c>
      <c r="CW20" s="13">
        <v>9.9530629212826391E-3</v>
      </c>
      <c r="CX20" s="13">
        <v>9.0298550867764463E-2</v>
      </c>
      <c r="CY20" s="13">
        <v>-1.247973266829688E-2</v>
      </c>
      <c r="CZ20" s="13">
        <v>0.15516164514919831</v>
      </c>
      <c r="DA20" s="13">
        <v>-4.7471893155177573E-2</v>
      </c>
      <c r="DB20" s="13">
        <v>-5.6902709757134122E-2</v>
      </c>
      <c r="DC20" s="13">
        <v>-4.9613069235555772E-2</v>
      </c>
      <c r="DD20" s="13">
        <v>-0.14810881433882259</v>
      </c>
      <c r="DE20" s="13">
        <v>-2.674986392092854E-2</v>
      </c>
      <c r="DF20" s="13">
        <v>8.591215324206241E-4</v>
      </c>
      <c r="DG20" s="13">
        <v>-4.2022106203706937E-3</v>
      </c>
      <c r="DH20" s="13">
        <v>-1.097541174252706E-2</v>
      </c>
      <c r="DI20" s="13">
        <v>-2.2876731785052461E-2</v>
      </c>
      <c r="DJ20" s="13">
        <v>-3.9459946268887811E-2</v>
      </c>
      <c r="DK20" s="13">
        <v>8.4953981446054899E-2</v>
      </c>
      <c r="DL20" s="13">
        <v>7.5826636178542531E-2</v>
      </c>
      <c r="DM20" s="13">
        <v>9.2836502794370751E-3</v>
      </c>
      <c r="DN20" s="13">
        <v>5.8019206654199171E-2</v>
      </c>
      <c r="DO20" s="13">
        <v>6.5815801837970381E-2</v>
      </c>
      <c r="DP20" s="13">
        <v>9.8305313908873052E-3</v>
      </c>
      <c r="DQ20" s="13">
        <v>-0.18720731773454069</v>
      </c>
      <c r="DR20" s="13">
        <v>7.8512660028290493E-2</v>
      </c>
      <c r="DS20" s="13">
        <v>-0.20608109757835469</v>
      </c>
      <c r="DT20" s="13">
        <v>-0.13343598462213829</v>
      </c>
      <c r="DU20" s="13">
        <v>-0.1720691072058694</v>
      </c>
      <c r="DV20" s="13">
        <v>0.12934547183885869</v>
      </c>
      <c r="DW20" s="13">
        <v>6.9060203958039607E-2</v>
      </c>
      <c r="DX20" s="13">
        <v>-0.15386632960631469</v>
      </c>
      <c r="DY20" s="13">
        <v>5.3618609351648763E-2</v>
      </c>
      <c r="DZ20" s="13">
        <v>-8.4474578309692155E-2</v>
      </c>
      <c r="EA20" s="13">
        <v>1.4917025427623789E-2</v>
      </c>
      <c r="EB20" s="13">
        <v>3.9067633350965261E-2</v>
      </c>
      <c r="EC20" s="13">
        <v>3.4049581413941779E-2</v>
      </c>
      <c r="ED20" s="13">
        <v>-0.17691886106701021</v>
      </c>
      <c r="EE20" s="13">
        <v>2.3672309273819309E-3</v>
      </c>
      <c r="EF20" s="13">
        <v>2.0281416615907238E-2</v>
      </c>
    </row>
    <row r="21" spans="1:136">
      <c r="A21" s="2">
        <v>241</v>
      </c>
      <c r="B21" s="2">
        <v>4</v>
      </c>
      <c r="C21" s="13">
        <v>-0.19764916434148611</v>
      </c>
      <c r="D21" s="13">
        <v>0.126389</v>
      </c>
      <c r="E21" s="13">
        <v>-2.7935227079184388E-4</v>
      </c>
      <c r="F21" s="13">
        <v>0.20341300000000001</v>
      </c>
      <c r="G21" s="13">
        <v>-7.2961380278514509E-3</v>
      </c>
      <c r="H21" s="13">
        <v>0.162164</v>
      </c>
      <c r="I21" s="13">
        <v>1.4112E-2</v>
      </c>
      <c r="J21" s="13">
        <v>-0.13674149999999999</v>
      </c>
      <c r="K21" s="13">
        <v>-8.8973017354022049E-2</v>
      </c>
      <c r="L21" s="13">
        <v>0.1096796074542299</v>
      </c>
      <c r="M21" s="13">
        <v>-0.19988500000000001</v>
      </c>
      <c r="N21" s="13">
        <v>0.58489049999999998</v>
      </c>
      <c r="O21" s="13">
        <v>-0.13927724999999999</v>
      </c>
      <c r="P21" s="13">
        <v>4.5427749999999989E-2</v>
      </c>
      <c r="Q21" s="13">
        <v>0.27408575000000002</v>
      </c>
      <c r="R21" s="13">
        <v>8.4905250000000002E-2</v>
      </c>
      <c r="S21" s="13">
        <v>-3.6561749999999997E-2</v>
      </c>
      <c r="T21" s="13">
        <v>-0.13111999999999999</v>
      </c>
      <c r="U21" s="13">
        <v>-9.8267499999999952E-3</v>
      </c>
      <c r="V21" s="13">
        <v>-0.13175025000000001</v>
      </c>
      <c r="W21" s="13">
        <v>0.12449875000000001</v>
      </c>
      <c r="X21" s="13">
        <v>0.20780100000000001</v>
      </c>
      <c r="Y21" s="13">
        <v>-1.01475E-2</v>
      </c>
      <c r="Z21" s="13">
        <v>3.9459000000000001E-2</v>
      </c>
      <c r="AA21" s="13">
        <v>1.9491043540093941E-2</v>
      </c>
      <c r="AB21" s="13">
        <v>-6.5286999999999998E-2</v>
      </c>
      <c r="AC21" s="13">
        <v>-0.15954125</v>
      </c>
      <c r="AD21" s="13">
        <v>-4.6697424552745621E-2</v>
      </c>
      <c r="AE21" s="13">
        <v>1.031074999999999E-2</v>
      </c>
      <c r="AF21" s="13">
        <v>-5.3125609886562987E-2</v>
      </c>
      <c r="AG21" s="13">
        <v>-1.0567999999999999E-2</v>
      </c>
      <c r="AH21" s="13">
        <v>0.10758136256479831</v>
      </c>
      <c r="AI21" s="13">
        <v>0.10212425</v>
      </c>
      <c r="AJ21" s="13">
        <v>5.1835000000000006E-3</v>
      </c>
      <c r="AK21" s="13">
        <v>0.1049905</v>
      </c>
      <c r="AL21" s="13">
        <v>6.5379822733110632E-2</v>
      </c>
      <c r="AM21" s="13">
        <v>6.8535807447630548E-2</v>
      </c>
      <c r="AN21" s="13">
        <v>0.11195605606309431</v>
      </c>
      <c r="AO21" s="13">
        <v>4.7726395643726653E-2</v>
      </c>
      <c r="AP21" s="13">
        <v>1.8943749999999999E-2</v>
      </c>
      <c r="AQ21" s="13">
        <v>7.6865507010547632E-2</v>
      </c>
      <c r="AR21" s="13">
        <v>0.20518227823048121</v>
      </c>
      <c r="AS21" s="13">
        <v>6.4455868646629361E-2</v>
      </c>
      <c r="AT21" s="13">
        <v>-2.4929112771550628E-3</v>
      </c>
      <c r="AU21" s="13">
        <v>4.7809631508957028E-2</v>
      </c>
      <c r="AV21" s="13">
        <v>-5.5520780062133721E-2</v>
      </c>
      <c r="AW21" s="13">
        <v>9.7910299540974015E-3</v>
      </c>
      <c r="AX21" s="13">
        <v>6.6008499999999998E-2</v>
      </c>
      <c r="AY21" s="13">
        <v>4.7021290978038012E-2</v>
      </c>
      <c r="AZ21" s="13">
        <v>-0.25491126989713642</v>
      </c>
      <c r="BA21" s="13">
        <v>-7.1032181648085849E-2</v>
      </c>
      <c r="BB21" s="13">
        <v>0.2253461350383382</v>
      </c>
      <c r="BC21" s="13">
        <v>3.8321147725193863E-2</v>
      </c>
      <c r="BD21" s="13">
        <v>-2.1750863370627919E-2</v>
      </c>
      <c r="BE21" s="13">
        <v>6.3505333974014731E-3</v>
      </c>
      <c r="BF21" s="13">
        <v>3.5771001804346838E-3</v>
      </c>
      <c r="BG21" s="13">
        <v>3.6635189216812601E-2</v>
      </c>
      <c r="BH21" s="13">
        <v>-7.6321363138755302E-2</v>
      </c>
      <c r="BI21" s="13">
        <v>0.1659695961783918</v>
      </c>
      <c r="BJ21" s="13">
        <v>2.3579026181717661E-2</v>
      </c>
      <c r="BK21" s="13">
        <v>-6.8449880379534783E-2</v>
      </c>
      <c r="BL21" s="13">
        <v>0.1427210926463498</v>
      </c>
      <c r="BM21" s="13">
        <v>0.15512000392109981</v>
      </c>
      <c r="BN21" s="13">
        <v>6.3647947992248044E-2</v>
      </c>
      <c r="BO21" s="13">
        <v>-6.3857236413680254E-2</v>
      </c>
      <c r="BP21" s="13">
        <v>0.1045091294194143</v>
      </c>
      <c r="BQ21" s="13">
        <v>5.4542230834504879E-2</v>
      </c>
      <c r="BR21" s="13">
        <v>1.232386218386442E-2</v>
      </c>
      <c r="BS21" s="13">
        <v>5.8601727551761719E-3</v>
      </c>
      <c r="BT21" s="13">
        <v>0.13224469397444291</v>
      </c>
      <c r="BU21" s="13">
        <v>0.1354964621985692</v>
      </c>
      <c r="BV21" s="13">
        <v>0.14214300018545339</v>
      </c>
      <c r="BW21" s="13">
        <v>-0.146679196935731</v>
      </c>
      <c r="BX21" s="13">
        <v>-2.9908192844139221E-3</v>
      </c>
      <c r="BY21" s="13">
        <v>-5.0379851218116528E-2</v>
      </c>
      <c r="BZ21" s="13">
        <v>4.7662928720715619E-2</v>
      </c>
      <c r="CA21" s="13">
        <v>9.5060000000000006E-2</v>
      </c>
      <c r="CB21" s="13">
        <v>-6.3421391198258154E-2</v>
      </c>
      <c r="CC21" s="13">
        <v>-4.6693549468963022E-2</v>
      </c>
      <c r="CD21" s="13">
        <v>0.28805606436247322</v>
      </c>
      <c r="CE21" s="13">
        <v>-0.39507594246504552</v>
      </c>
      <c r="CF21" s="13">
        <v>0.13126567680107229</v>
      </c>
      <c r="CG21" s="13">
        <v>-0.14375118915768581</v>
      </c>
      <c r="CH21" s="13">
        <v>8.0100321076211733E-2</v>
      </c>
      <c r="CI21" s="13">
        <v>-8.0499616390982326E-2</v>
      </c>
      <c r="CJ21" s="13">
        <v>-8.5627757016502298E-2</v>
      </c>
      <c r="CK21" s="13">
        <v>0.12705054673013411</v>
      </c>
      <c r="CL21" s="13">
        <v>-0.13389042462296469</v>
      </c>
      <c r="CM21" s="13">
        <v>0.2255029884033713</v>
      </c>
      <c r="CN21" s="13">
        <v>3.05388902037756E-2</v>
      </c>
      <c r="CO21" s="13">
        <v>-0.51486524859759264</v>
      </c>
      <c r="CP21" s="13">
        <v>0.22270006087791269</v>
      </c>
      <c r="CQ21" s="13">
        <v>3.2880917250907721E-3</v>
      </c>
      <c r="CR21" s="13">
        <v>9.0824277979679707E-2</v>
      </c>
      <c r="CS21" s="13">
        <v>6.9646396146771747E-2</v>
      </c>
      <c r="CT21" s="13">
        <v>8.2292872854338978E-2</v>
      </c>
      <c r="CU21" s="13">
        <v>-6.2673560169491313E-2</v>
      </c>
      <c r="CV21" s="13">
        <v>9.8225632021386913E-2</v>
      </c>
      <c r="CW21" s="13">
        <v>6.5005417280988659E-2</v>
      </c>
      <c r="CX21" s="13">
        <v>0.1021221756574071</v>
      </c>
      <c r="CY21" s="13">
        <v>-8.4819164039144704E-3</v>
      </c>
      <c r="CZ21" s="13">
        <v>0.2374513708258302</v>
      </c>
      <c r="DA21" s="13">
        <v>1.192256456731756E-3</v>
      </c>
      <c r="DB21" s="13">
        <v>-5.1624433676154581E-2</v>
      </c>
      <c r="DC21" s="13">
        <v>-4.5047559223290658E-2</v>
      </c>
      <c r="DD21" s="13">
        <v>0.121322688868649</v>
      </c>
      <c r="DE21" s="13">
        <v>1.2238108588318921E-2</v>
      </c>
      <c r="DF21" s="13">
        <v>2.156088069787479E-2</v>
      </c>
      <c r="DG21" s="13">
        <v>7.8463781285332893E-3</v>
      </c>
      <c r="DH21" s="13">
        <v>1.407682021245452E-2</v>
      </c>
      <c r="DI21" s="13">
        <v>3.4407478280179482E-2</v>
      </c>
      <c r="DJ21" s="13">
        <v>-3.7911313190560098E-2</v>
      </c>
      <c r="DK21" s="13">
        <v>0.13950270681890459</v>
      </c>
      <c r="DL21" s="13">
        <v>9.8364938839376553E-2</v>
      </c>
      <c r="DM21" s="13">
        <v>-2.9834119642240212E-2</v>
      </c>
      <c r="DN21" s="13">
        <v>7.1197612493993062E-2</v>
      </c>
      <c r="DO21" s="13">
        <v>8.2445792330679737E-2</v>
      </c>
      <c r="DP21" s="13">
        <v>2.426615509356601E-2</v>
      </c>
      <c r="DQ21" s="13">
        <v>-0.1547411860293357</v>
      </c>
      <c r="DR21" s="13">
        <v>5.0170859037080733E-2</v>
      </c>
      <c r="DS21" s="13">
        <v>-0.20083947383729561</v>
      </c>
      <c r="DT21" s="13">
        <v>-0.17057080268546079</v>
      </c>
      <c r="DU21" s="13">
        <v>-2.8090293996378659E-2</v>
      </c>
      <c r="DV21" s="13">
        <v>0.140275976869878</v>
      </c>
      <c r="DW21" s="13">
        <v>0.12824786866412111</v>
      </c>
      <c r="DX21" s="13">
        <v>-0.18596621403118341</v>
      </c>
      <c r="DY21" s="13">
        <v>2.459599553801604E-2</v>
      </c>
      <c r="DZ21" s="13">
        <v>-5.2844066560288887E-2</v>
      </c>
      <c r="EA21" s="13">
        <v>-2.4865522448428139E-2</v>
      </c>
      <c r="EB21" s="13">
        <v>8.4081461705858979E-3</v>
      </c>
      <c r="EC21" s="13">
        <v>1.403705509804205E-2</v>
      </c>
      <c r="ED21" s="13">
        <v>-5.4498856348180663E-2</v>
      </c>
      <c r="EE21" s="13">
        <v>1.4428852108417999E-2</v>
      </c>
      <c r="EF21" s="13">
        <v>-1.8771264042119089E-2</v>
      </c>
    </row>
    <row r="22" spans="1:136">
      <c r="A22" s="2">
        <v>321</v>
      </c>
      <c r="B22" s="2">
        <v>3</v>
      </c>
      <c r="C22" s="13">
        <v>6.4235717628454689E-2</v>
      </c>
      <c r="D22" s="13">
        <v>0.1424293333333333</v>
      </c>
      <c r="E22" s="13">
        <v>-4.1027532000619052E-2</v>
      </c>
      <c r="F22" s="13">
        <v>-0.13986799999999999</v>
      </c>
      <c r="G22" s="13">
        <v>-3.2954824249798613E-2</v>
      </c>
      <c r="H22" s="13">
        <v>0.124178</v>
      </c>
      <c r="I22" s="13">
        <v>1.7439333333333331E-2</v>
      </c>
      <c r="J22" s="13">
        <v>-0.104252</v>
      </c>
      <c r="K22" s="13">
        <v>-0.1532867706545093</v>
      </c>
      <c r="L22" s="13">
        <v>0.17118335942590121</v>
      </c>
      <c r="M22" s="13">
        <v>-0.18466333333333329</v>
      </c>
      <c r="N22" s="13">
        <v>0.75614233333333325</v>
      </c>
      <c r="O22" s="13">
        <v>-6.6442333333333325E-2</v>
      </c>
      <c r="P22" s="13">
        <v>9.0630333333333327E-2</v>
      </c>
      <c r="Q22" s="13">
        <v>0.12727466666666659</v>
      </c>
      <c r="R22" s="13">
        <v>6.6697666666666655E-2</v>
      </c>
      <c r="S22" s="13">
        <v>-3.9232333333333327E-2</v>
      </c>
      <c r="T22" s="13">
        <v>-0.104848</v>
      </c>
      <c r="U22" s="13">
        <v>5.2484333333333327E-2</v>
      </c>
      <c r="V22" s="13">
        <v>-0.17562366666666671</v>
      </c>
      <c r="W22" s="13">
        <v>0.15804799999999999</v>
      </c>
      <c r="X22" s="13">
        <v>0.25720199999999999</v>
      </c>
      <c r="Y22" s="13">
        <v>-6.9857333333333327E-2</v>
      </c>
      <c r="Z22" s="13">
        <v>2.3868E-2</v>
      </c>
      <c r="AA22" s="13">
        <v>7.0480168868567589E-3</v>
      </c>
      <c r="AB22" s="13">
        <v>-3.8273333333333333E-2</v>
      </c>
      <c r="AC22" s="13">
        <v>-0.1772113333333333</v>
      </c>
      <c r="AD22" s="13">
        <v>-1.2467302670572489E-2</v>
      </c>
      <c r="AE22" s="13">
        <v>-8.5149000000000002E-2</v>
      </c>
      <c r="AF22" s="13">
        <v>-4.718231615802413E-2</v>
      </c>
      <c r="AG22" s="13">
        <v>-4.5970333333333342E-2</v>
      </c>
      <c r="AH22" s="13">
        <v>0.10586595942047269</v>
      </c>
      <c r="AI22" s="13">
        <v>0.1110046666666667</v>
      </c>
      <c r="AJ22" s="13">
        <v>1.308133333333333E-2</v>
      </c>
      <c r="AK22" s="13">
        <v>-6.8266666666666656E-2</v>
      </c>
      <c r="AL22" s="13">
        <v>4.0340966806900407E-2</v>
      </c>
      <c r="AM22" s="13">
        <v>8.4088903467703563E-2</v>
      </c>
      <c r="AN22" s="13">
        <v>0.1111328096635593</v>
      </c>
      <c r="AO22" s="13">
        <v>7.4717373393705613E-2</v>
      </c>
      <c r="AP22" s="13">
        <v>2.0493333333333329E-2</v>
      </c>
      <c r="AQ22" s="13">
        <v>7.9426117478593142E-2</v>
      </c>
      <c r="AR22" s="13">
        <v>0.25053267815838243</v>
      </c>
      <c r="AS22" s="13">
        <v>8.2810438898549957E-2</v>
      </c>
      <c r="AT22" s="13">
        <v>-2.513636184002634E-2</v>
      </c>
      <c r="AU22" s="13">
        <v>3.3500451910869901E-2</v>
      </c>
      <c r="AV22" s="13">
        <v>-5.9813176675879959E-2</v>
      </c>
      <c r="AW22" s="13">
        <v>-3.014938920700894E-2</v>
      </c>
      <c r="AX22" s="13">
        <v>-0.1077576666666667</v>
      </c>
      <c r="AY22" s="13">
        <v>7.1733385334230598E-2</v>
      </c>
      <c r="AZ22" s="13">
        <v>-0.1549037783211521</v>
      </c>
      <c r="BA22" s="13">
        <v>-4.5598425167461952E-2</v>
      </c>
      <c r="BB22" s="13">
        <v>0.30192994454042299</v>
      </c>
      <c r="BC22" s="13">
        <v>-0.13083693812295519</v>
      </c>
      <c r="BD22" s="13">
        <v>-2.2174181465828179E-2</v>
      </c>
      <c r="BE22" s="13">
        <v>2.221618339448047E-2</v>
      </c>
      <c r="BF22" s="13">
        <v>1.363881733831962E-2</v>
      </c>
      <c r="BG22" s="13">
        <v>4.6279512168386029E-2</v>
      </c>
      <c r="BH22" s="13">
        <v>-0.12796054233813189</v>
      </c>
      <c r="BI22" s="13">
        <v>0.111088719409907</v>
      </c>
      <c r="BJ22" s="13">
        <v>5.4996415150720922E-2</v>
      </c>
      <c r="BK22" s="13">
        <v>-4.1839635933665138E-2</v>
      </c>
      <c r="BL22" s="13">
        <v>0.16178033907103531</v>
      </c>
      <c r="BM22" s="13">
        <v>0.19179703945604709</v>
      </c>
      <c r="BN22" s="13">
        <v>-1.5327552023042271E-2</v>
      </c>
      <c r="BO22" s="13">
        <v>-5.0484429112750417E-2</v>
      </c>
      <c r="BP22" s="13">
        <v>7.4835550155106345E-2</v>
      </c>
      <c r="BQ22" s="13">
        <v>2.7830097398312589E-2</v>
      </c>
      <c r="BR22" s="13">
        <v>2.081360946645289E-2</v>
      </c>
      <c r="BS22" s="13">
        <v>-1.637278237679916E-2</v>
      </c>
      <c r="BT22" s="13">
        <v>0.13053070333654609</v>
      </c>
      <c r="BU22" s="13">
        <v>0.21294876613801031</v>
      </c>
      <c r="BV22" s="13">
        <v>0.1585439723976089</v>
      </c>
      <c r="BW22" s="13">
        <v>-0.1746684979276073</v>
      </c>
      <c r="BX22" s="13">
        <v>3.6637445691972373E-2</v>
      </c>
      <c r="BY22" s="13">
        <v>-4.7467864027346263E-3</v>
      </c>
      <c r="BZ22" s="13">
        <v>4.725773586289217E-2</v>
      </c>
      <c r="CA22" s="13">
        <v>0.14408033333333331</v>
      </c>
      <c r="CB22" s="13">
        <v>-0.14899327824592659</v>
      </c>
      <c r="CC22" s="13">
        <v>-1.498570343815637E-2</v>
      </c>
      <c r="CD22" s="13">
        <v>0.33387803671272293</v>
      </c>
      <c r="CE22" s="13">
        <v>-0.39338733910427809</v>
      </c>
      <c r="CF22" s="13">
        <v>0.18879978576027739</v>
      </c>
      <c r="CG22" s="13">
        <v>-0.20326309220258709</v>
      </c>
      <c r="CH22" s="13">
        <v>0.1159187712794482</v>
      </c>
      <c r="CI22" s="13">
        <v>-0.1177797462783592</v>
      </c>
      <c r="CJ22" s="13">
        <v>-0.1033795050895627</v>
      </c>
      <c r="CK22" s="13">
        <v>3.6163342604682402E-2</v>
      </c>
      <c r="CL22" s="13">
        <v>-0.2406517986250408</v>
      </c>
      <c r="CM22" s="13">
        <v>0.32043200365782532</v>
      </c>
      <c r="CN22" s="13">
        <v>-8.5467718209073992E-3</v>
      </c>
      <c r="CO22" s="13">
        <v>-0.64995646824915565</v>
      </c>
      <c r="CP22" s="13">
        <v>0.25940855696940252</v>
      </c>
      <c r="CQ22" s="13">
        <v>-1.233377932566462E-2</v>
      </c>
      <c r="CR22" s="13">
        <v>0.16185042130139199</v>
      </c>
      <c r="CS22" s="13">
        <v>-1.5202183521422779E-2</v>
      </c>
      <c r="CT22" s="13">
        <v>5.8232521355985362E-2</v>
      </c>
      <c r="CU22" s="13">
        <v>-0.1202317119640979</v>
      </c>
      <c r="CV22" s="13">
        <v>0.1122336952070542</v>
      </c>
      <c r="CW22" s="13">
        <v>3.6451253326165209E-2</v>
      </c>
      <c r="CX22" s="13">
        <v>3.749593267848913E-3</v>
      </c>
      <c r="CY22" s="13">
        <v>-7.9888257735091419E-3</v>
      </c>
      <c r="CZ22" s="13">
        <v>0.26292048459923911</v>
      </c>
      <c r="DA22" s="13">
        <v>-3.9917538819241108E-3</v>
      </c>
      <c r="DB22" s="13">
        <v>-5.8383506828492103E-2</v>
      </c>
      <c r="DC22" s="13">
        <v>-2.0724784444157599E-2</v>
      </c>
      <c r="DD22" s="13">
        <v>0.1478941025728035</v>
      </c>
      <c r="DE22" s="13">
        <v>-5.4917579819501461E-3</v>
      </c>
      <c r="DF22" s="13">
        <v>1.7031775273553061E-2</v>
      </c>
      <c r="DG22" s="13">
        <v>3.1985043080887662E-2</v>
      </c>
      <c r="DH22" s="13">
        <v>1.3945346183503959E-2</v>
      </c>
      <c r="DI22" s="13">
        <v>6.356099926224941E-2</v>
      </c>
      <c r="DJ22" s="13">
        <v>-5.0246005833095859E-2</v>
      </c>
      <c r="DK22" s="13">
        <v>0.1791347138228401</v>
      </c>
      <c r="DL22" s="13">
        <v>0.1249416477373831</v>
      </c>
      <c r="DM22" s="13">
        <v>-6.3466051038033502E-2</v>
      </c>
      <c r="DN22" s="13">
        <v>4.6763328204007498E-2</v>
      </c>
      <c r="DO22" s="13">
        <v>0.12343750131163821</v>
      </c>
      <c r="DP22" s="13">
        <v>1.022725785290381E-2</v>
      </c>
      <c r="DQ22" s="13">
        <v>-0.13103100381943991</v>
      </c>
      <c r="DR22" s="13">
        <v>-6.0925526153180337E-3</v>
      </c>
      <c r="DS22" s="13">
        <v>-0.19705092156235929</v>
      </c>
      <c r="DT22" s="13">
        <v>-5.8357008996765318E-2</v>
      </c>
      <c r="DU22" s="13">
        <v>-5.7495390836838987E-2</v>
      </c>
      <c r="DV22" s="13">
        <v>0.12570511767817799</v>
      </c>
      <c r="DW22" s="13">
        <v>7.838972370699715E-2</v>
      </c>
      <c r="DX22" s="13">
        <v>-0.22244260844829469</v>
      </c>
      <c r="DY22" s="13">
        <v>-8.1471166255399959E-3</v>
      </c>
      <c r="DZ22" s="13">
        <v>-0.10374798094555759</v>
      </c>
      <c r="EA22" s="13">
        <v>-7.0548648839358755E-2</v>
      </c>
      <c r="EB22" s="13">
        <v>-8.0596727535317977E-2</v>
      </c>
      <c r="EC22" s="13">
        <v>2.1495101575638179E-2</v>
      </c>
      <c r="ED22" s="13">
        <v>-7.7413567057607463E-2</v>
      </c>
      <c r="EE22" s="13">
        <v>3.344630381221339E-2</v>
      </c>
      <c r="EF22" s="13">
        <v>-3.4790246372172352E-2</v>
      </c>
    </row>
    <row r="23" spans="1:136">
      <c r="A23" s="2">
        <v>482</v>
      </c>
      <c r="B23" s="2">
        <v>2</v>
      </c>
      <c r="C23" s="13">
        <v>-3.4987009286289193E-2</v>
      </c>
      <c r="D23" s="13">
        <v>0.25409399999999999</v>
      </c>
      <c r="E23" s="13">
        <v>-8.094117257067221E-2</v>
      </c>
      <c r="F23" s="13">
        <v>-3.7419999999999949E-3</v>
      </c>
      <c r="G23" s="13">
        <v>-5.2224173846498377E-2</v>
      </c>
      <c r="H23" s="13">
        <v>-1.81885E-2</v>
      </c>
      <c r="I23" s="13">
        <v>-3.6385500000000001E-2</v>
      </c>
      <c r="J23" s="13">
        <v>-0.11487550000000001</v>
      </c>
      <c r="K23" s="13">
        <v>-0.20448947647223359</v>
      </c>
      <c r="L23" s="13">
        <v>5.4043529775598627E-2</v>
      </c>
      <c r="M23" s="13">
        <v>-0.14728949999999999</v>
      </c>
      <c r="N23" s="13">
        <v>0.97590100000000002</v>
      </c>
      <c r="O23" s="13">
        <v>-0.1229</v>
      </c>
      <c r="P23" s="13">
        <v>5.4681500000000001E-2</v>
      </c>
      <c r="Q23" s="13">
        <v>0.29117749999999998</v>
      </c>
      <c r="R23" s="13">
        <v>6.2820000000000001E-2</v>
      </c>
      <c r="S23" s="13">
        <v>-7.257050000000001E-2</v>
      </c>
      <c r="T23" s="13">
        <v>-8.4677000000000002E-2</v>
      </c>
      <c r="U23" s="13">
        <v>5.9236499999999997E-2</v>
      </c>
      <c r="V23" s="13">
        <v>-0.2324755</v>
      </c>
      <c r="W23" s="13">
        <v>0.25954700000000003</v>
      </c>
      <c r="X23" s="13">
        <v>0.19455600000000001</v>
      </c>
      <c r="Y23" s="13">
        <v>-6.7954499999999987E-2</v>
      </c>
      <c r="Z23" s="13">
        <v>4.1052000000000012E-2</v>
      </c>
      <c r="AA23" s="13">
        <v>6.6062919694702682E-3</v>
      </c>
      <c r="AB23" s="13">
        <v>-4.7747999999999999E-2</v>
      </c>
      <c r="AC23" s="13">
        <v>-0.23400850000000001</v>
      </c>
      <c r="AD23" s="13">
        <v>-1.5010900357047399E-2</v>
      </c>
      <c r="AE23" s="13">
        <v>-0.221717</v>
      </c>
      <c r="AF23" s="13">
        <v>-6.6906260089751285E-2</v>
      </c>
      <c r="AG23" s="13">
        <v>-2.0555000000000091E-3</v>
      </c>
      <c r="AH23" s="13">
        <v>8.417158452318324E-2</v>
      </c>
      <c r="AI23" s="13">
        <v>0.209152</v>
      </c>
      <c r="AJ23" s="13">
        <v>2.3587E-2</v>
      </c>
      <c r="AK23" s="13">
        <v>1.856E-2</v>
      </c>
      <c r="AL23" s="13">
        <v>0.1314317131925356</v>
      </c>
      <c r="AM23" s="13">
        <v>7.769489004865255E-3</v>
      </c>
      <c r="AN23" s="13">
        <v>0.24231469935730071</v>
      </c>
      <c r="AO23" s="13">
        <v>-5.3369521914240978E-3</v>
      </c>
      <c r="AP23" s="13">
        <v>-0.16526650000000001</v>
      </c>
      <c r="AQ23" s="13">
        <v>8.9424992259610633E-2</v>
      </c>
      <c r="AR23" s="13">
        <v>0.33674404384506768</v>
      </c>
      <c r="AS23" s="13">
        <v>-1.470688799737762E-2</v>
      </c>
      <c r="AT23" s="13">
        <v>-4.1427721813649641E-2</v>
      </c>
      <c r="AU23" s="13">
        <v>3.3145526128504327E-2</v>
      </c>
      <c r="AV23" s="13">
        <v>-2.7638994197374041E-2</v>
      </c>
      <c r="AW23" s="13">
        <v>-5.202690983840276E-2</v>
      </c>
      <c r="AX23" s="13">
        <v>6.5139000000000002E-2</v>
      </c>
      <c r="AY23" s="13">
        <v>0.17023398084058211</v>
      </c>
      <c r="AZ23" s="13">
        <v>-6.3753617401060211E-2</v>
      </c>
      <c r="BA23" s="13">
        <v>9.6467800801007808E-3</v>
      </c>
      <c r="BB23" s="13">
        <v>-5.1049484102885123E-2</v>
      </c>
      <c r="BC23" s="13">
        <v>-0.30082824917306578</v>
      </c>
      <c r="BD23" s="13">
        <v>9.4830881346450333E-2</v>
      </c>
      <c r="BE23" s="13">
        <v>-7.1430762397296579E-2</v>
      </c>
      <c r="BF23" s="13">
        <v>-2.284699060468626E-2</v>
      </c>
      <c r="BG23" s="13">
        <v>7.4761471196752541E-2</v>
      </c>
      <c r="BH23" s="13">
        <v>-0.2034839813552872</v>
      </c>
      <c r="BI23" s="13">
        <v>0.1911120793231991</v>
      </c>
      <c r="BJ23" s="13">
        <v>0.1040033152679269</v>
      </c>
      <c r="BK23" s="13">
        <v>2.0341083364774871E-3</v>
      </c>
      <c r="BL23" s="13">
        <v>0.14953429625023959</v>
      </c>
      <c r="BM23" s="13">
        <v>0.18918068678715391</v>
      </c>
      <c r="BN23" s="13">
        <v>-6.9471707588132049E-3</v>
      </c>
      <c r="BO23" s="13">
        <v>3.6524941745999073E-2</v>
      </c>
      <c r="BP23" s="13">
        <v>9.8266399211456468E-2</v>
      </c>
      <c r="BQ23" s="13">
        <v>7.2047901435266168E-2</v>
      </c>
      <c r="BR23" s="13">
        <v>1.7844321463962809E-2</v>
      </c>
      <c r="BS23" s="13">
        <v>-7.3275388657911791E-2</v>
      </c>
      <c r="BT23" s="13">
        <v>0.14364980602599711</v>
      </c>
      <c r="BU23" s="13">
        <v>0.20568773584594591</v>
      </c>
      <c r="BV23" s="13">
        <v>0.11346756836018849</v>
      </c>
      <c r="BW23" s="13">
        <v>-0.20215233327569121</v>
      </c>
      <c r="BX23" s="13">
        <v>-8.2131197272531514E-3</v>
      </c>
      <c r="BY23" s="13">
        <v>-1.020569269434762E-2</v>
      </c>
      <c r="BZ23" s="13">
        <v>7.6697624318448621E-3</v>
      </c>
      <c r="CA23" s="13">
        <v>0.20637549999999999</v>
      </c>
      <c r="CB23" s="13">
        <v>-0.21761420299243989</v>
      </c>
      <c r="CC23" s="13">
        <v>0.2249586274956801</v>
      </c>
      <c r="CD23" s="13">
        <v>0.19167645501478511</v>
      </c>
      <c r="CE23" s="13">
        <v>-0.1166246067964614</v>
      </c>
      <c r="CF23" s="13">
        <v>0.15713490979116501</v>
      </c>
      <c r="CG23" s="13">
        <v>-0.3932437879236767</v>
      </c>
      <c r="CH23" s="13">
        <v>0.18019644892142839</v>
      </c>
      <c r="CI23" s="13">
        <v>-0.30989941712809688</v>
      </c>
      <c r="CJ23" s="13">
        <v>-1.9875367550410569E-2</v>
      </c>
      <c r="CK23" s="13">
        <v>9.6116994727961536E-2</v>
      </c>
      <c r="CL23" s="13">
        <v>-0.40866101266741839</v>
      </c>
      <c r="CM23" s="13">
        <v>0.3867329465229094</v>
      </c>
      <c r="CN23" s="13">
        <v>-5.3005178369803271E-2</v>
      </c>
      <c r="CO23" s="13">
        <v>-0.90892328736561978</v>
      </c>
      <c r="CP23" s="13">
        <v>0.31136074316275669</v>
      </c>
      <c r="CQ23" s="13">
        <v>-9.1837444998058917E-3</v>
      </c>
      <c r="CR23" s="13">
        <v>1.159780382107861E-2</v>
      </c>
      <c r="CS23" s="13">
        <v>-3.697421899127859E-2</v>
      </c>
      <c r="CT23" s="13">
        <v>4.5662541711253862E-2</v>
      </c>
      <c r="CU23" s="13">
        <v>-2.1056595713287041E-2</v>
      </c>
      <c r="CV23" s="13">
        <v>-2.2245137488805671E-2</v>
      </c>
      <c r="CW23" s="13">
        <v>0.1009013318024186</v>
      </c>
      <c r="CX23" s="13">
        <v>-8.8716994096526336E-2</v>
      </c>
      <c r="CY23" s="13">
        <v>2.20465307533785E-2</v>
      </c>
      <c r="CZ23" s="13">
        <v>0.18199879385735121</v>
      </c>
      <c r="DA23" s="13">
        <v>-3.0982136225910391E-2</v>
      </c>
      <c r="DB23" s="13">
        <v>-1.5955156866996431E-2</v>
      </c>
      <c r="DC23" s="13">
        <v>0.1191904860704142</v>
      </c>
      <c r="DD23" s="13">
        <v>0.21341104440699671</v>
      </c>
      <c r="DE23" s="13">
        <v>-9.3952259516448811E-3</v>
      </c>
      <c r="DF23" s="13">
        <v>6.194212704490535E-2</v>
      </c>
      <c r="DG23" s="13">
        <v>3.8270011874717E-2</v>
      </c>
      <c r="DH23" s="13">
        <v>5.5413447308742453E-2</v>
      </c>
      <c r="DI23" s="13">
        <v>5.3479596916020812E-2</v>
      </c>
      <c r="DJ23" s="13">
        <v>-8.7058008172347823E-2</v>
      </c>
      <c r="DK23" s="13">
        <v>0.27783321655884308</v>
      </c>
      <c r="DL23" s="13">
        <v>0.21610105954027359</v>
      </c>
      <c r="DM23" s="13">
        <v>-1.949730491936592E-2</v>
      </c>
      <c r="DN23" s="13">
        <v>6.4971960439702253E-3</v>
      </c>
      <c r="DO23" s="13">
        <v>0.16409130373383399</v>
      </c>
      <c r="DP23" s="13">
        <v>4.7088232655722921E-2</v>
      </c>
      <c r="DQ23" s="13">
        <v>-0.17021099650353791</v>
      </c>
      <c r="DR23" s="13">
        <v>-8.9886002731306744E-2</v>
      </c>
      <c r="DS23" s="13">
        <v>-0.28809657691904628</v>
      </c>
      <c r="DT23" s="13">
        <v>-0.12395522319619889</v>
      </c>
      <c r="DU23" s="13">
        <v>3.4287185254997438E-2</v>
      </c>
      <c r="DV23" s="13">
        <v>0.27627160832943959</v>
      </c>
      <c r="DW23" s="13">
        <v>0.14122823258283859</v>
      </c>
      <c r="DX23" s="13">
        <v>-0.31349320637896622</v>
      </c>
      <c r="DY23" s="13">
        <v>0.16987682865225409</v>
      </c>
      <c r="DZ23" s="13">
        <v>-0.10287301862651251</v>
      </c>
      <c r="EA23" s="13">
        <v>-2.3448907613119421E-2</v>
      </c>
      <c r="EB23" s="13">
        <v>-6.2753439710675096E-2</v>
      </c>
      <c r="EC23" s="13">
        <v>-3.6584316325813361E-2</v>
      </c>
      <c r="ED23" s="13">
        <v>-9.1425904619781034E-2</v>
      </c>
      <c r="EE23" s="13">
        <v>5.9050683888240307E-2</v>
      </c>
      <c r="EF23" s="13">
        <v>-4.7782278591659677E-2</v>
      </c>
    </row>
    <row r="24" spans="1:136">
      <c r="A24" s="2">
        <v>964</v>
      </c>
      <c r="B24" s="2">
        <v>1</v>
      </c>
      <c r="C24" s="13">
        <v>0.162993136931085</v>
      </c>
      <c r="D24" s="13">
        <v>0.10061</v>
      </c>
      <c r="E24" s="13">
        <v>7.1400330169296908E-2</v>
      </c>
      <c r="F24" s="13">
        <v>7.5326000000000004E-2</v>
      </c>
      <c r="G24" s="13">
        <v>0.2257600230575724</v>
      </c>
      <c r="H24" s="13">
        <v>3.5856000000000013E-2</v>
      </c>
      <c r="I24" s="13">
        <v>1.6930000000000001E-2</v>
      </c>
      <c r="J24" s="13">
        <v>-0.11546099999999999</v>
      </c>
      <c r="K24" s="13">
        <v>-2.1515278354960109E-2</v>
      </c>
      <c r="L24" s="13">
        <v>9.5623250508682117E-2</v>
      </c>
      <c r="M24" s="13">
        <v>-0.21778600000000001</v>
      </c>
      <c r="N24" s="13">
        <v>1.7690319999999999</v>
      </c>
      <c r="O24" s="13">
        <v>-0.24428</v>
      </c>
      <c r="P24" s="13">
        <v>1.736000000000001E-3</v>
      </c>
      <c r="Q24" s="13">
        <v>-2.8400000000000018E-3</v>
      </c>
      <c r="R24" s="13">
        <v>-2.7827000000000001E-2</v>
      </c>
      <c r="S24" s="13">
        <v>-1.1050000000000001E-2</v>
      </c>
      <c r="T24" s="13">
        <v>-0.28782000000000002</v>
      </c>
      <c r="U24" s="13">
        <v>0.28585300000000002</v>
      </c>
      <c r="V24" s="13">
        <v>-9.8680000000000004E-2</v>
      </c>
      <c r="W24" s="13">
        <v>-0.16456200000000001</v>
      </c>
      <c r="X24" s="13">
        <v>-8.9899999999999702E-4</v>
      </c>
      <c r="Y24" s="13">
        <v>-0.120319</v>
      </c>
      <c r="Z24" s="13">
        <v>-2.4395E-2</v>
      </c>
      <c r="AA24" s="13">
        <v>1.354776823757727E-2</v>
      </c>
      <c r="AB24" s="13">
        <v>-0.184249</v>
      </c>
      <c r="AC24" s="13">
        <v>-0.24617</v>
      </c>
      <c r="AD24" s="13">
        <v>-7.8218388926296623E-3</v>
      </c>
      <c r="AE24" s="13">
        <v>-0.17527100000000001</v>
      </c>
      <c r="AF24" s="13">
        <v>-2.2522010034790499E-2</v>
      </c>
      <c r="AG24" s="13">
        <v>0.105901</v>
      </c>
      <c r="AH24" s="13">
        <v>5.6697360067789589E-2</v>
      </c>
      <c r="AI24" s="13">
        <v>0.31041400000000002</v>
      </c>
      <c r="AJ24" s="13">
        <v>8.5434999999999997E-2</v>
      </c>
      <c r="AK24" s="13">
        <v>1.4400000000000001E-3</v>
      </c>
      <c r="AL24" s="13">
        <v>-5.4676935490635382E-2</v>
      </c>
      <c r="AM24" s="13">
        <v>-1.89192814205267E-2</v>
      </c>
      <c r="AN24" s="13">
        <v>0.22118946514543131</v>
      </c>
      <c r="AO24" s="13">
        <v>6.6090111828990022E-2</v>
      </c>
      <c r="AP24" s="13">
        <v>-0.16448499999999999</v>
      </c>
      <c r="AQ24" s="13">
        <v>4.7076972834245667E-2</v>
      </c>
      <c r="AR24" s="13">
        <v>9.6392566076069844E-3</v>
      </c>
      <c r="AS24" s="13">
        <v>-2.7956077266590069E-2</v>
      </c>
      <c r="AT24" s="13">
        <v>3.045920748470865E-2</v>
      </c>
      <c r="AU24" s="13">
        <v>4.4095319865224331E-2</v>
      </c>
      <c r="AV24" s="13">
        <v>-8.7151952186895892E-2</v>
      </c>
      <c r="AW24" s="13">
        <v>4.9875415110391882E-3</v>
      </c>
      <c r="AX24" s="13">
        <v>-2.5558000000000001E-2</v>
      </c>
      <c r="AY24" s="13">
        <v>0.16812729388488939</v>
      </c>
      <c r="AZ24" s="13">
        <v>3.7867073599665187E-2</v>
      </c>
      <c r="BA24" s="13">
        <v>-5.3794732084633153E-2</v>
      </c>
      <c r="BB24" s="13">
        <v>-8.6159033395334803E-2</v>
      </c>
      <c r="BC24" s="13">
        <v>-0.8032160130443774</v>
      </c>
      <c r="BD24" s="13">
        <v>0.18559521924643521</v>
      </c>
      <c r="BE24" s="13">
        <v>-4.606435403168687E-2</v>
      </c>
      <c r="BF24" s="13">
        <v>8.765133605409231E-2</v>
      </c>
      <c r="BG24" s="13">
        <v>2.6835965866310919E-2</v>
      </c>
      <c r="BH24" s="13">
        <v>-0.38625533691353497</v>
      </c>
      <c r="BI24" s="13">
        <v>0.2236291060700471</v>
      </c>
      <c r="BJ24" s="13">
        <v>3.3483157548845829E-3</v>
      </c>
      <c r="BK24" s="13">
        <v>4.0235468942862278E-3</v>
      </c>
      <c r="BL24" s="13">
        <v>0.31716429392471662</v>
      </c>
      <c r="BM24" s="13">
        <v>1.1473019117737151E-2</v>
      </c>
      <c r="BN24" s="13">
        <v>6.849341845574783E-3</v>
      </c>
      <c r="BO24" s="13">
        <v>-0.16110969109564191</v>
      </c>
      <c r="BP24" s="13">
        <v>0.1233511811293219</v>
      </c>
      <c r="BQ24" s="13">
        <v>-6.4169633330115036E-2</v>
      </c>
      <c r="BR24" s="13">
        <v>4.2356223303417713E-2</v>
      </c>
      <c r="BS24" s="13">
        <v>-1.284717484456964E-3</v>
      </c>
      <c r="BT24" s="13">
        <v>0.1162706960541873</v>
      </c>
      <c r="BU24" s="13">
        <v>0.22832663155994071</v>
      </c>
      <c r="BV24" s="13">
        <v>0.1077284538879829</v>
      </c>
      <c r="BW24" s="13">
        <v>-6.1835883635593128E-2</v>
      </c>
      <c r="BX24" s="13">
        <v>-0.1329600557104578</v>
      </c>
      <c r="BY24" s="13">
        <v>0.10974566916741731</v>
      </c>
      <c r="BZ24" s="13">
        <v>0.25889289884999689</v>
      </c>
      <c r="CA24" s="13">
        <v>0.10002800000000001</v>
      </c>
      <c r="CB24" s="13">
        <v>0.20876197428786911</v>
      </c>
      <c r="CC24" s="13">
        <v>0.43985451226693362</v>
      </c>
      <c r="CD24" s="13">
        <v>0.14430631074219491</v>
      </c>
      <c r="CE24" s="13">
        <v>-0.21012143523608839</v>
      </c>
      <c r="CF24" s="13">
        <v>0.2217213622453883</v>
      </c>
      <c r="CG24" s="13">
        <v>-0.32381797901906062</v>
      </c>
      <c r="CH24" s="13">
        <v>0.35427729684250298</v>
      </c>
      <c r="CI24" s="13">
        <v>0.3284518207092646</v>
      </c>
      <c r="CJ24" s="13">
        <v>1.310948541941956E-2</v>
      </c>
      <c r="CK24" s="13">
        <v>9.3530079315696568E-2</v>
      </c>
      <c r="CL24" s="13">
        <v>0.1417553333725407</v>
      </c>
      <c r="CM24" s="13">
        <v>0.54958710995910021</v>
      </c>
      <c r="CN24" s="13">
        <v>-0.1077387664572132</v>
      </c>
      <c r="CO24" s="13">
        <v>-0.77665321833623113</v>
      </c>
      <c r="CP24" s="13">
        <v>0.1603442048148421</v>
      </c>
      <c r="CQ24" s="13">
        <v>0.1146871738632968</v>
      </c>
      <c r="CR24" s="13">
        <v>6.1084838239556717E-2</v>
      </c>
      <c r="CS24" s="13">
        <v>-8.5895232746805786E-2</v>
      </c>
      <c r="CT24" s="13">
        <v>9.6419008147395818E-2</v>
      </c>
      <c r="CU24" s="13">
        <v>-7.2751347656710041E-2</v>
      </c>
      <c r="CV24" s="13">
        <v>1.5064047539375311E-2</v>
      </c>
      <c r="CW24" s="13">
        <v>0.17511716607200739</v>
      </c>
      <c r="CX24" s="13">
        <v>5.5207193708687041E-2</v>
      </c>
      <c r="CY24" s="13">
        <v>-8.0066904636818925E-2</v>
      </c>
      <c r="CZ24" s="13">
        <v>0.11220662844456721</v>
      </c>
      <c r="DA24" s="13">
        <v>2.451120416275485E-2</v>
      </c>
      <c r="DB24" s="13">
        <v>-0.19546067251265431</v>
      </c>
      <c r="DC24" s="13">
        <v>0.19117575817053481</v>
      </c>
      <c r="DD24" s="13">
        <v>0.15338138073910601</v>
      </c>
      <c r="DE24" s="13">
        <v>-0.17606275750953501</v>
      </c>
      <c r="DF24" s="13">
        <v>-0.1046649760205613</v>
      </c>
      <c r="DG24" s="13">
        <v>5.9105834124344087E-2</v>
      </c>
      <c r="DH24" s="13">
        <v>8.4652506536621926E-4</v>
      </c>
      <c r="DI24" s="13">
        <v>0.1418754589382695</v>
      </c>
      <c r="DJ24" s="13">
        <v>-0.13248861050923971</v>
      </c>
      <c r="DK24" s="13">
        <v>0.33950921063044381</v>
      </c>
      <c r="DL24" s="13">
        <v>0.21310442628588119</v>
      </c>
      <c r="DM24" s="13">
        <v>-0.14143952722687489</v>
      </c>
      <c r="DN24" s="13">
        <v>0.23333457077469619</v>
      </c>
      <c r="DO24" s="13">
        <v>0.18544080263268789</v>
      </c>
      <c r="DP24" s="13">
        <v>0.1143734254860139</v>
      </c>
      <c r="DQ24" s="13">
        <v>-0.13297735123596999</v>
      </c>
      <c r="DR24" s="13">
        <v>-2.0515630212029241E-2</v>
      </c>
      <c r="DS24" s="13">
        <v>-0.21626154103284559</v>
      </c>
      <c r="DT24" s="13">
        <v>-3.8362866170129663E-2</v>
      </c>
      <c r="DU24" s="13">
        <v>-4.7638587273757492E-2</v>
      </c>
      <c r="DV24" s="13">
        <v>0.1582246986438143</v>
      </c>
      <c r="DW24" s="13">
        <v>0.10885708989133031</v>
      </c>
      <c r="DX24" s="13">
        <v>-0.31159312779250392</v>
      </c>
      <c r="DY24" s="13">
        <v>0.34380428679820851</v>
      </c>
      <c r="DZ24" s="13">
        <v>-5.0469182403116652E-2</v>
      </c>
      <c r="EA24" s="13">
        <v>7.7350922227335792E-2</v>
      </c>
      <c r="EB24" s="13">
        <v>-2.9582176365294029E-2</v>
      </c>
      <c r="EC24" s="13">
        <v>-1.4309918770678909E-2</v>
      </c>
      <c r="ED24" s="13">
        <v>-5.6172845298362112E-2</v>
      </c>
      <c r="EE24" s="13">
        <v>0.1134294391912188</v>
      </c>
      <c r="EF24" s="13">
        <v>6.7276677043968364E-2</v>
      </c>
    </row>
    <row r="26" spans="1:136">
      <c r="A26" s="2" t="s">
        <v>144</v>
      </c>
      <c r="B26" s="2" t="s">
        <v>145</v>
      </c>
      <c r="C26" s="4">
        <v>-1.7446770539390338E-2</v>
      </c>
      <c r="D26" s="4">
        <v>2.070106053181563E-2</v>
      </c>
      <c r="E26" s="4">
        <v>2.3982129254766709E-2</v>
      </c>
      <c r="F26" s="4">
        <v>-6.557578972823077E-3</v>
      </c>
      <c r="G26" s="4">
        <v>3.1845129800519692E-2</v>
      </c>
      <c r="H26" s="4">
        <v>3.4348532736990518E-2</v>
      </c>
      <c r="I26" s="4">
        <v>-8.2549327813252367E-3</v>
      </c>
      <c r="J26" s="4">
        <v>1.2843524394052759E-2</v>
      </c>
      <c r="K26" s="4">
        <v>-5.1018524626790823E-2</v>
      </c>
      <c r="L26" s="4">
        <v>8.7394274103658827E-4</v>
      </c>
      <c r="M26" s="4">
        <v>2.3389575505495919E-2</v>
      </c>
      <c r="N26" s="4">
        <v>1.2988972200332851E-2</v>
      </c>
      <c r="O26" s="4">
        <v>5.8545887256348812E-3</v>
      </c>
      <c r="P26" s="4">
        <v>2.7413206571790558E-2</v>
      </c>
      <c r="Q26" s="4">
        <v>-3.7129361176928542E-3</v>
      </c>
      <c r="R26" s="4">
        <v>2.4076614047823328E-2</v>
      </c>
      <c r="S26" s="4">
        <v>-1.219002529903996E-2</v>
      </c>
      <c r="T26" s="4">
        <v>-3.9749578159589592E-2</v>
      </c>
      <c r="U26" s="4">
        <v>-7.3155449831649552E-2</v>
      </c>
      <c r="V26" s="4">
        <v>-5.8260229910114661E-2</v>
      </c>
      <c r="W26" s="4">
        <v>7.7279756550837221E-4</v>
      </c>
      <c r="X26" s="4">
        <v>4.459152113521897E-2</v>
      </c>
      <c r="Y26" s="4">
        <v>-2.7699680050213091E-2</v>
      </c>
      <c r="Z26" s="4">
        <v>2.0950059497436462E-3</v>
      </c>
      <c r="AA26" s="4">
        <v>-2.340055099256411E-2</v>
      </c>
      <c r="AB26" s="4">
        <v>3.2129371097322189E-2</v>
      </c>
      <c r="AC26" s="4">
        <v>3.890327309406643E-2</v>
      </c>
      <c r="AD26" s="4">
        <v>-4.286538217110427E-2</v>
      </c>
      <c r="AE26" s="4">
        <v>1.8647194550152159E-2</v>
      </c>
      <c r="AF26" s="4">
        <v>1.5229768322528949E-2</v>
      </c>
      <c r="AG26" s="4">
        <v>3.6016603778892417E-2</v>
      </c>
      <c r="AH26" s="4">
        <v>9.3546113853161701E-3</v>
      </c>
      <c r="AI26" s="4">
        <v>1.0748251336838139E-2</v>
      </c>
      <c r="AJ26" s="4">
        <v>1.335775405308097E-2</v>
      </c>
      <c r="AK26" s="4">
        <v>-5.3327473290953921E-3</v>
      </c>
      <c r="AL26" s="4">
        <v>1.383135807261675E-3</v>
      </c>
      <c r="AM26" s="4">
        <v>2.079592842007446E-2</v>
      </c>
      <c r="AN26" s="4">
        <v>3.1517702220390638E-2</v>
      </c>
      <c r="AO26" s="4">
        <v>6.2417165333294418E-3</v>
      </c>
      <c r="AP26" s="4">
        <v>6.1452616535713897E-3</v>
      </c>
      <c r="AQ26" s="4">
        <v>1.694635767669651E-2</v>
      </c>
      <c r="AR26" s="4">
        <v>3.4682830454308228E-2</v>
      </c>
      <c r="AS26" s="4">
        <v>3.0985886171969678E-3</v>
      </c>
      <c r="AT26" s="4">
        <v>1.508134714348611E-2</v>
      </c>
      <c r="AU26" s="4">
        <v>-1.9251209229863991E-2</v>
      </c>
      <c r="AV26" s="4">
        <v>3.8711513387631437E-2</v>
      </c>
      <c r="AW26" s="4">
        <v>-2.1856951135736599E-2</v>
      </c>
      <c r="AX26" s="4">
        <v>7.7743007097896798E-3</v>
      </c>
      <c r="AY26" s="4">
        <v>4.2397246695325942E-2</v>
      </c>
      <c r="AZ26" s="4">
        <v>-2.630897486115975E-2</v>
      </c>
      <c r="BA26" s="4">
        <v>9.5717493087162323E-3</v>
      </c>
      <c r="BB26" s="4">
        <v>-2.424974126627483E-2</v>
      </c>
      <c r="BC26" s="4">
        <v>2.0163374143915822E-2</v>
      </c>
      <c r="BD26" s="4">
        <v>-3.5049987821160239E-3</v>
      </c>
      <c r="BE26" s="4">
        <v>2.0151935098542271E-2</v>
      </c>
      <c r="BF26" s="4">
        <v>5.8133623077027128E-4</v>
      </c>
      <c r="BG26" s="4">
        <v>-5.2197009532526043E-3</v>
      </c>
      <c r="BH26" s="4">
        <v>-0.11587176140213</v>
      </c>
      <c r="BI26" s="4">
        <v>8.7252256924373536E-3</v>
      </c>
      <c r="BJ26" s="4">
        <v>-1.6377260977822151E-2</v>
      </c>
      <c r="BK26" s="4">
        <v>2.0840371600260421E-2</v>
      </c>
      <c r="BL26" s="4">
        <v>4.4975872102114713E-2</v>
      </c>
      <c r="BM26" s="4">
        <v>2.3954306081863871E-2</v>
      </c>
      <c r="BN26" s="4">
        <v>3.0239101391442601E-2</v>
      </c>
      <c r="BO26" s="4">
        <v>-4.372588759108751E-2</v>
      </c>
      <c r="BP26" s="4">
        <v>2.1889469568198618E-2</v>
      </c>
      <c r="BQ26" s="4">
        <v>8.6274302635084028E-3</v>
      </c>
      <c r="BR26" s="4">
        <v>-1.9192953994658781E-2</v>
      </c>
      <c r="BS26" s="4">
        <v>1.973512988813305E-2</v>
      </c>
      <c r="BT26" s="4">
        <v>4.7694337483699438E-2</v>
      </c>
      <c r="BU26" s="4">
        <v>1.145481680658339E-2</v>
      </c>
      <c r="BV26" s="4">
        <v>4.3228620735213191E-2</v>
      </c>
      <c r="BW26" s="4">
        <v>-4.2747430436922793E-2</v>
      </c>
      <c r="BX26" s="4">
        <v>-1.781129242779457E-2</v>
      </c>
      <c r="BY26" s="4">
        <v>-0.1511530968690756</v>
      </c>
      <c r="BZ26" s="4">
        <v>0.12422400361957529</v>
      </c>
      <c r="CA26" s="4">
        <v>-4.5572538445296431E-3</v>
      </c>
      <c r="CB26" s="4">
        <v>6.0211240204911178E-2</v>
      </c>
      <c r="CC26" s="4">
        <v>8.5992033482502284E-2</v>
      </c>
      <c r="CD26" s="4">
        <v>-5.8084795823660634E-3</v>
      </c>
      <c r="CE26" s="4">
        <v>-6.0413469889680736E-3</v>
      </c>
      <c r="CF26" s="4">
        <v>2.4523243722520739E-3</v>
      </c>
      <c r="CG26" s="4">
        <v>8.963625193702289E-2</v>
      </c>
      <c r="CH26" s="4">
        <v>7.099273252675789E-2</v>
      </c>
      <c r="CI26" s="4">
        <v>2.7170642901783448E-2</v>
      </c>
      <c r="CJ26" s="4">
        <v>5.2468428425330033E-2</v>
      </c>
      <c r="CK26" s="4">
        <v>2.9480660943049509E-2</v>
      </c>
      <c r="CL26" s="4">
        <v>6.6825081060201283E-2</v>
      </c>
      <c r="CM26" s="4">
        <v>-2.8772229019816971E-2</v>
      </c>
      <c r="CN26" s="4">
        <v>3.9462515901637851E-2</v>
      </c>
      <c r="CO26" s="4">
        <v>-2.9031086977359909E-2</v>
      </c>
      <c r="CP26" s="4">
        <v>1.3983882519467901E-2</v>
      </c>
      <c r="CQ26" s="4">
        <v>-3.2276964959333833E-2</v>
      </c>
      <c r="CR26" s="4">
        <v>3.1035766128940231E-3</v>
      </c>
      <c r="CS26" s="4">
        <v>2.5591855767083171E-2</v>
      </c>
      <c r="CT26" s="4">
        <v>4.4391886287193302E-2</v>
      </c>
      <c r="CU26" s="4">
        <v>-3.0338958549577438E-2</v>
      </c>
      <c r="CV26" s="4">
        <v>-1.2579764545717069E-3</v>
      </c>
      <c r="CW26" s="4">
        <v>2.336356455857952E-3</v>
      </c>
      <c r="CX26" s="4">
        <v>-6.4264144925906069E-2</v>
      </c>
      <c r="CY26" s="4">
        <v>1.2909779458992439E-2</v>
      </c>
      <c r="CZ26" s="4">
        <v>-0.12547709467085871</v>
      </c>
      <c r="DA26" s="4">
        <v>1.1690682939792569E-2</v>
      </c>
      <c r="DB26" s="4">
        <v>6.3378437007417512E-3</v>
      </c>
      <c r="DC26" s="4">
        <v>-0.1173053564693855</v>
      </c>
      <c r="DD26" s="4">
        <v>-3.6010872049446613E-2</v>
      </c>
      <c r="DE26" s="4">
        <v>0.1389113040722679</v>
      </c>
      <c r="DF26" s="4">
        <v>-5.1143506226105737E-2</v>
      </c>
      <c r="DG26" s="4">
        <v>7.6731447181969059E-2</v>
      </c>
      <c r="DH26" s="4">
        <v>1.550878219700816E-2</v>
      </c>
      <c r="DI26" s="4">
        <v>2.3223773674755831E-2</v>
      </c>
      <c r="DJ26" s="4">
        <v>-1.8372876361227891E-2</v>
      </c>
      <c r="DK26" s="4">
        <v>6.2199014085099431E-2</v>
      </c>
      <c r="DL26" s="4">
        <v>2.0098304486957191E-2</v>
      </c>
      <c r="DM26" s="4">
        <v>1.349893974806809E-2</v>
      </c>
      <c r="DN26" s="4">
        <v>-3.025221272842088E-2</v>
      </c>
      <c r="DO26" s="4">
        <v>-1.7022835708053841E-2</v>
      </c>
      <c r="DP26" s="4">
        <v>-2.1788523272461981E-2</v>
      </c>
      <c r="DQ26" s="4">
        <v>8.5745624585137223E-2</v>
      </c>
      <c r="DR26" s="4">
        <v>2.8106743604973752E-2</v>
      </c>
      <c r="DS26" s="4">
        <v>-2.3031598073594501E-3</v>
      </c>
      <c r="DT26" s="4">
        <v>5.8471198131487503E-2</v>
      </c>
      <c r="DU26" s="4">
        <v>6.7658949048647651E-2</v>
      </c>
      <c r="DV26" s="4">
        <v>5.0207706404322644E-3</v>
      </c>
      <c r="DW26" s="4">
        <v>3.7416183675207063E-2</v>
      </c>
      <c r="DX26" s="4">
        <v>8.4111003746042121E-2</v>
      </c>
      <c r="DY26" s="4">
        <v>-3.6832398544012837E-2</v>
      </c>
      <c r="DZ26" s="4">
        <v>3.0917028169369942E-3</v>
      </c>
      <c r="EA26" s="4">
        <v>-1.957628214294549E-3</v>
      </c>
      <c r="EB26" s="4">
        <v>2.6459103603519739E-2</v>
      </c>
      <c r="EC26" s="4">
        <v>-2.4752538760690269E-2</v>
      </c>
      <c r="ED26" s="4">
        <v>3.4115490982559941E-2</v>
      </c>
      <c r="EE26" s="4">
        <v>2.1061973989032982E-2</v>
      </c>
      <c r="EF26" s="4">
        <v>-2.0277392706005919E-2</v>
      </c>
    </row>
    <row r="28" spans="1:136">
      <c r="B28" s="19" t="s">
        <v>203</v>
      </c>
      <c r="C28" s="18">
        <v>2540</v>
      </c>
      <c r="D28" s="18">
        <v>5455</v>
      </c>
      <c r="E28" s="18">
        <v>2540</v>
      </c>
      <c r="F28" s="18">
        <v>8097</v>
      </c>
      <c r="G28" s="18">
        <v>2540</v>
      </c>
      <c r="H28" s="18">
        <v>5455</v>
      </c>
      <c r="I28" s="18">
        <v>6291</v>
      </c>
      <c r="J28" s="18">
        <v>5455</v>
      </c>
      <c r="K28" s="18">
        <v>6242</v>
      </c>
      <c r="L28" s="18">
        <v>6242</v>
      </c>
      <c r="M28" s="18">
        <v>5455</v>
      </c>
      <c r="N28" s="18">
        <v>5455</v>
      </c>
      <c r="O28" s="18">
        <v>5455</v>
      </c>
      <c r="P28" s="18">
        <v>6291</v>
      </c>
      <c r="Q28" s="18">
        <v>6291</v>
      </c>
      <c r="R28" s="18">
        <v>6291</v>
      </c>
      <c r="S28" s="18">
        <v>6291</v>
      </c>
      <c r="T28" s="18">
        <v>6291</v>
      </c>
      <c r="U28" s="18">
        <v>6291</v>
      </c>
      <c r="V28" s="18">
        <v>6291</v>
      </c>
      <c r="W28" s="18">
        <v>6291</v>
      </c>
      <c r="X28" s="18">
        <v>6291</v>
      </c>
      <c r="Y28" s="18">
        <v>6291</v>
      </c>
      <c r="Z28" s="18">
        <v>6291</v>
      </c>
      <c r="AA28" s="18">
        <v>6225</v>
      </c>
      <c r="AB28" s="18">
        <v>6291</v>
      </c>
      <c r="AC28" s="18">
        <v>6291</v>
      </c>
      <c r="AD28" s="18">
        <v>6225</v>
      </c>
      <c r="AE28" s="18">
        <v>6291</v>
      </c>
      <c r="AF28" s="18">
        <v>6225</v>
      </c>
      <c r="AG28" s="18">
        <v>6291</v>
      </c>
      <c r="AH28" s="18">
        <v>6225</v>
      </c>
      <c r="AI28" s="18">
        <v>6291</v>
      </c>
      <c r="AJ28" s="18">
        <v>6291</v>
      </c>
      <c r="AK28" s="18">
        <v>6291</v>
      </c>
      <c r="AL28" s="18">
        <v>6225</v>
      </c>
      <c r="AM28" s="18">
        <v>6225</v>
      </c>
      <c r="AN28" s="18">
        <v>6225</v>
      </c>
      <c r="AO28" s="18">
        <v>6225</v>
      </c>
      <c r="AP28" s="18">
        <v>6291</v>
      </c>
      <c r="AQ28" s="18">
        <v>6225</v>
      </c>
      <c r="AR28" s="18">
        <v>6225</v>
      </c>
      <c r="AS28" s="18">
        <v>6225</v>
      </c>
      <c r="AT28" s="18">
        <v>6225</v>
      </c>
      <c r="AU28" s="18">
        <v>6225</v>
      </c>
      <c r="AV28" s="18">
        <v>6225</v>
      </c>
      <c r="AW28" s="18">
        <v>3043</v>
      </c>
      <c r="AX28" s="18">
        <v>6291</v>
      </c>
      <c r="AY28" s="18">
        <v>6225</v>
      </c>
      <c r="AZ28" s="18">
        <v>6225</v>
      </c>
      <c r="BA28" s="18">
        <v>6225</v>
      </c>
      <c r="BB28" s="18">
        <v>6225</v>
      </c>
      <c r="BC28" s="18">
        <v>6225</v>
      </c>
      <c r="BD28" s="18">
        <v>6225</v>
      </c>
      <c r="BE28" s="18">
        <v>6225</v>
      </c>
      <c r="BF28" s="18">
        <v>6225</v>
      </c>
      <c r="BG28" s="18">
        <v>6225</v>
      </c>
      <c r="BH28" s="18">
        <v>6225</v>
      </c>
      <c r="BI28" s="18">
        <v>6225</v>
      </c>
      <c r="BJ28" s="18">
        <v>6225</v>
      </c>
      <c r="BK28" s="18">
        <v>6225</v>
      </c>
      <c r="BL28" s="18">
        <v>6225</v>
      </c>
      <c r="BM28" s="18">
        <v>6225</v>
      </c>
      <c r="BN28" s="18">
        <v>6225</v>
      </c>
      <c r="BO28" s="18">
        <v>6225</v>
      </c>
      <c r="BP28" s="18">
        <v>6225</v>
      </c>
      <c r="BQ28" s="18">
        <v>6225</v>
      </c>
      <c r="BR28" s="18">
        <v>6225</v>
      </c>
      <c r="BS28" s="18">
        <v>6225</v>
      </c>
      <c r="BT28" s="18">
        <v>6225</v>
      </c>
      <c r="BU28" s="18">
        <v>8080</v>
      </c>
      <c r="BV28" s="18">
        <v>6225</v>
      </c>
      <c r="BW28" s="18">
        <v>5205</v>
      </c>
      <c r="BX28" s="18">
        <v>8080</v>
      </c>
      <c r="BY28" s="18">
        <v>8080</v>
      </c>
      <c r="BZ28" s="18">
        <v>8080</v>
      </c>
      <c r="CA28" s="18">
        <v>5205</v>
      </c>
      <c r="CB28" s="18">
        <v>8080</v>
      </c>
      <c r="CC28" s="18">
        <v>5205</v>
      </c>
      <c r="CD28" s="18">
        <v>5205</v>
      </c>
      <c r="CE28" s="18">
        <v>5205</v>
      </c>
      <c r="CF28" s="18">
        <v>5205</v>
      </c>
      <c r="CG28" s="18">
        <v>5205</v>
      </c>
      <c r="CH28" s="18">
        <v>5205</v>
      </c>
      <c r="CI28" s="18">
        <v>5205</v>
      </c>
      <c r="CJ28" s="18">
        <v>8080</v>
      </c>
      <c r="CK28" s="18">
        <v>8080</v>
      </c>
      <c r="CL28" s="18">
        <v>8080</v>
      </c>
      <c r="CM28" s="18">
        <v>5205</v>
      </c>
      <c r="CN28" s="18">
        <v>6287</v>
      </c>
      <c r="CO28" s="18">
        <v>6287</v>
      </c>
      <c r="CP28" s="18">
        <v>6287</v>
      </c>
      <c r="CQ28" s="18">
        <v>6287</v>
      </c>
      <c r="CR28" s="18">
        <v>6287</v>
      </c>
      <c r="CS28" s="18">
        <v>6287</v>
      </c>
      <c r="CT28" s="18">
        <v>6287</v>
      </c>
      <c r="CU28" s="18">
        <v>8101</v>
      </c>
      <c r="CV28" s="18">
        <v>8101</v>
      </c>
      <c r="CW28" s="18">
        <v>8101</v>
      </c>
      <c r="CX28" s="18">
        <v>8101</v>
      </c>
      <c r="CY28" s="18">
        <v>8101</v>
      </c>
      <c r="CZ28" s="18">
        <v>8101</v>
      </c>
      <c r="DA28" s="18">
        <v>6225</v>
      </c>
      <c r="DB28" s="18">
        <v>6225</v>
      </c>
      <c r="DC28" s="18">
        <v>6225</v>
      </c>
      <c r="DD28" s="18">
        <v>6225</v>
      </c>
      <c r="DE28" s="18">
        <v>6225</v>
      </c>
      <c r="DF28" s="18">
        <v>3064</v>
      </c>
      <c r="DG28" s="18">
        <v>6225</v>
      </c>
      <c r="DH28" s="18">
        <v>6225</v>
      </c>
      <c r="DI28" s="18">
        <v>6225</v>
      </c>
      <c r="DJ28" s="18">
        <v>6225</v>
      </c>
      <c r="DK28" s="18">
        <v>6225</v>
      </c>
      <c r="DL28" s="18">
        <v>6225</v>
      </c>
      <c r="DM28" s="18">
        <v>8084</v>
      </c>
      <c r="DN28" s="18">
        <v>8084</v>
      </c>
      <c r="DO28" s="18">
        <v>1519</v>
      </c>
      <c r="DP28" s="18">
        <v>1519</v>
      </c>
      <c r="DQ28" s="18">
        <v>8084</v>
      </c>
      <c r="DR28" s="18">
        <v>4419</v>
      </c>
      <c r="DS28" s="18">
        <v>4419</v>
      </c>
      <c r="DT28" s="18">
        <v>4419</v>
      </c>
      <c r="DU28" s="18">
        <v>4419</v>
      </c>
      <c r="DV28" s="18">
        <v>4419</v>
      </c>
      <c r="DW28" s="18">
        <v>4419</v>
      </c>
      <c r="DX28" s="18">
        <v>4419</v>
      </c>
      <c r="DY28" s="18">
        <v>1519</v>
      </c>
      <c r="DZ28" s="18">
        <v>1519</v>
      </c>
      <c r="EA28" s="18">
        <v>1519</v>
      </c>
      <c r="EB28" s="18">
        <v>1519</v>
      </c>
      <c r="EC28" s="18">
        <v>6287</v>
      </c>
      <c r="ED28" s="18">
        <v>6287</v>
      </c>
      <c r="EE28" s="18">
        <v>5314</v>
      </c>
      <c r="EF28" s="18">
        <v>5314</v>
      </c>
    </row>
    <row r="29" spans="1:136">
      <c r="B29" s="19" t="s">
        <v>204</v>
      </c>
      <c r="C29" s="18" t="s">
        <v>146</v>
      </c>
      <c r="D29" s="18" t="s">
        <v>147</v>
      </c>
      <c r="E29" s="18" t="s">
        <v>146</v>
      </c>
      <c r="F29" s="18" t="s">
        <v>148</v>
      </c>
      <c r="G29" s="18" t="s">
        <v>146</v>
      </c>
      <c r="H29" s="18" t="s">
        <v>147</v>
      </c>
      <c r="I29" s="18" t="s">
        <v>149</v>
      </c>
      <c r="J29" s="18" t="s">
        <v>147</v>
      </c>
      <c r="K29" s="18" t="s">
        <v>150</v>
      </c>
      <c r="L29" s="18" t="s">
        <v>150</v>
      </c>
      <c r="M29" s="18" t="s">
        <v>147</v>
      </c>
      <c r="N29" s="18" t="s">
        <v>147</v>
      </c>
      <c r="O29" s="18" t="s">
        <v>147</v>
      </c>
      <c r="P29" s="18" t="s">
        <v>149</v>
      </c>
      <c r="Q29" s="18" t="s">
        <v>149</v>
      </c>
      <c r="R29" s="18" t="s">
        <v>149</v>
      </c>
      <c r="S29" s="18" t="s">
        <v>149</v>
      </c>
      <c r="T29" s="18" t="s">
        <v>149</v>
      </c>
      <c r="U29" s="18" t="s">
        <v>149</v>
      </c>
      <c r="V29" s="18" t="s">
        <v>149</v>
      </c>
      <c r="W29" s="18" t="s">
        <v>149</v>
      </c>
      <c r="X29" s="18" t="s">
        <v>149</v>
      </c>
      <c r="Y29" s="18" t="s">
        <v>149</v>
      </c>
      <c r="Z29" s="18" t="s">
        <v>149</v>
      </c>
      <c r="AA29" s="18" t="s">
        <v>151</v>
      </c>
      <c r="AB29" s="18" t="s">
        <v>149</v>
      </c>
      <c r="AC29" s="18" t="s">
        <v>149</v>
      </c>
      <c r="AD29" s="18" t="s">
        <v>151</v>
      </c>
      <c r="AE29" s="18" t="s">
        <v>149</v>
      </c>
      <c r="AF29" s="18" t="s">
        <v>151</v>
      </c>
      <c r="AG29" s="18" t="s">
        <v>149</v>
      </c>
      <c r="AH29" s="18" t="s">
        <v>151</v>
      </c>
      <c r="AI29" s="18" t="s">
        <v>149</v>
      </c>
      <c r="AJ29" s="18" t="s">
        <v>149</v>
      </c>
      <c r="AK29" s="18" t="s">
        <v>149</v>
      </c>
      <c r="AL29" s="18" t="s">
        <v>151</v>
      </c>
      <c r="AM29" s="18" t="s">
        <v>151</v>
      </c>
      <c r="AN29" s="18" t="s">
        <v>151</v>
      </c>
      <c r="AO29" s="18" t="s">
        <v>151</v>
      </c>
      <c r="AP29" s="18" t="s">
        <v>149</v>
      </c>
      <c r="AQ29" s="18" t="s">
        <v>151</v>
      </c>
      <c r="AR29" s="18" t="s">
        <v>151</v>
      </c>
      <c r="AS29" s="18" t="s">
        <v>151</v>
      </c>
      <c r="AT29" s="18" t="s">
        <v>151</v>
      </c>
      <c r="AU29" s="18" t="s">
        <v>151</v>
      </c>
      <c r="AV29" s="18" t="s">
        <v>151</v>
      </c>
      <c r="AW29" s="18" t="s">
        <v>152</v>
      </c>
      <c r="AX29" s="18" t="s">
        <v>149</v>
      </c>
      <c r="AY29" s="18" t="s">
        <v>151</v>
      </c>
      <c r="AZ29" s="18" t="s">
        <v>151</v>
      </c>
      <c r="BA29" s="18" t="s">
        <v>151</v>
      </c>
      <c r="BB29" s="18" t="s">
        <v>151</v>
      </c>
      <c r="BC29" s="18" t="s">
        <v>151</v>
      </c>
      <c r="BD29" s="18" t="s">
        <v>151</v>
      </c>
      <c r="BE29" s="18" t="s">
        <v>151</v>
      </c>
      <c r="BF29" s="18" t="s">
        <v>151</v>
      </c>
      <c r="BG29" s="18" t="s">
        <v>151</v>
      </c>
      <c r="BH29" s="18" t="s">
        <v>151</v>
      </c>
      <c r="BI29" s="18" t="s">
        <v>151</v>
      </c>
      <c r="BJ29" s="18" t="s">
        <v>151</v>
      </c>
      <c r="BK29" s="18" t="s">
        <v>151</v>
      </c>
      <c r="BL29" s="18" t="s">
        <v>151</v>
      </c>
      <c r="BM29" s="18" t="s">
        <v>151</v>
      </c>
      <c r="BN29" s="18" t="s">
        <v>151</v>
      </c>
      <c r="BO29" s="18" t="s">
        <v>151</v>
      </c>
      <c r="BP29" s="18" t="s">
        <v>151</v>
      </c>
      <c r="BQ29" s="18" t="s">
        <v>151</v>
      </c>
      <c r="BR29" s="18" t="s">
        <v>151</v>
      </c>
      <c r="BS29" s="18" t="s">
        <v>151</v>
      </c>
      <c r="BT29" s="18" t="s">
        <v>151</v>
      </c>
      <c r="BU29" s="18" t="s">
        <v>153</v>
      </c>
      <c r="BV29" s="18" t="s">
        <v>151</v>
      </c>
      <c r="BW29" s="18" t="s">
        <v>154</v>
      </c>
      <c r="BX29" s="18" t="s">
        <v>153</v>
      </c>
      <c r="BY29" s="18" t="s">
        <v>153</v>
      </c>
      <c r="BZ29" s="18" t="s">
        <v>153</v>
      </c>
      <c r="CA29" s="18" t="s">
        <v>154</v>
      </c>
      <c r="CB29" s="18" t="s">
        <v>153</v>
      </c>
      <c r="CC29" s="18" t="s">
        <v>154</v>
      </c>
      <c r="CD29" s="18" t="s">
        <v>154</v>
      </c>
      <c r="CE29" s="18" t="s">
        <v>154</v>
      </c>
      <c r="CF29" s="18" t="s">
        <v>154</v>
      </c>
      <c r="CG29" s="18" t="s">
        <v>154</v>
      </c>
      <c r="CH29" s="18" t="s">
        <v>154</v>
      </c>
      <c r="CI29" s="18" t="s">
        <v>154</v>
      </c>
      <c r="CJ29" s="18" t="s">
        <v>153</v>
      </c>
      <c r="CK29" s="18" t="s">
        <v>153</v>
      </c>
      <c r="CL29" s="18" t="s">
        <v>153</v>
      </c>
      <c r="CM29" s="18" t="s">
        <v>154</v>
      </c>
      <c r="CN29" s="18" t="s">
        <v>155</v>
      </c>
      <c r="CO29" s="18" t="s">
        <v>155</v>
      </c>
      <c r="CP29" s="18" t="s">
        <v>155</v>
      </c>
      <c r="CQ29" s="18" t="s">
        <v>155</v>
      </c>
      <c r="CR29" s="18" t="s">
        <v>155</v>
      </c>
      <c r="CS29" s="18" t="s">
        <v>155</v>
      </c>
      <c r="CT29" s="18" t="s">
        <v>155</v>
      </c>
      <c r="CU29" s="18" t="s">
        <v>156</v>
      </c>
      <c r="CV29" s="18" t="s">
        <v>156</v>
      </c>
      <c r="CW29" s="18" t="s">
        <v>156</v>
      </c>
      <c r="CX29" s="18" t="s">
        <v>156</v>
      </c>
      <c r="CY29" s="18" t="s">
        <v>156</v>
      </c>
      <c r="CZ29" s="18" t="s">
        <v>156</v>
      </c>
      <c r="DA29" s="18" t="s">
        <v>151</v>
      </c>
      <c r="DB29" s="18" t="s">
        <v>151</v>
      </c>
      <c r="DC29" s="18" t="s">
        <v>151</v>
      </c>
      <c r="DD29" s="18" t="s">
        <v>151</v>
      </c>
      <c r="DE29" s="18" t="s">
        <v>151</v>
      </c>
      <c r="DF29" s="18" t="s">
        <v>157</v>
      </c>
      <c r="DG29" s="18" t="s">
        <v>151</v>
      </c>
      <c r="DH29" s="18" t="s">
        <v>151</v>
      </c>
      <c r="DI29" s="18" t="s">
        <v>151</v>
      </c>
      <c r="DJ29" s="18" t="s">
        <v>151</v>
      </c>
      <c r="DK29" s="18" t="s">
        <v>151</v>
      </c>
      <c r="DL29" s="18" t="s">
        <v>151</v>
      </c>
      <c r="DM29" s="18" t="s">
        <v>158</v>
      </c>
      <c r="DN29" s="18" t="s">
        <v>158</v>
      </c>
      <c r="DO29" s="18" t="s">
        <v>159</v>
      </c>
      <c r="DP29" s="18" t="s">
        <v>159</v>
      </c>
      <c r="DQ29" s="18" t="s">
        <v>158</v>
      </c>
      <c r="DR29" s="18" t="s">
        <v>160</v>
      </c>
      <c r="DS29" s="18" t="s">
        <v>160</v>
      </c>
      <c r="DT29" s="18" t="s">
        <v>160</v>
      </c>
      <c r="DU29" s="18" t="s">
        <v>160</v>
      </c>
      <c r="DV29" s="18" t="s">
        <v>160</v>
      </c>
      <c r="DW29" s="18" t="s">
        <v>160</v>
      </c>
      <c r="DX29" s="18" t="s">
        <v>160</v>
      </c>
      <c r="DY29" s="18" t="s">
        <v>159</v>
      </c>
      <c r="DZ29" s="18" t="s">
        <v>159</v>
      </c>
      <c r="EA29" s="18" t="s">
        <v>159</v>
      </c>
      <c r="EB29" s="18" t="s">
        <v>159</v>
      </c>
      <c r="EC29" s="18" t="s">
        <v>155</v>
      </c>
      <c r="ED29" s="18" t="s">
        <v>155</v>
      </c>
      <c r="EE29" s="18" t="s">
        <v>161</v>
      </c>
      <c r="EF29" s="18" t="s">
        <v>161</v>
      </c>
    </row>
    <row r="30" spans="1:136">
      <c r="B30" s="19" t="s">
        <v>205</v>
      </c>
      <c r="C30" s="18">
        <v>2492</v>
      </c>
      <c r="D30" s="18">
        <v>2330</v>
      </c>
      <c r="E30" s="18">
        <v>2323</v>
      </c>
      <c r="F30" s="18">
        <v>2330</v>
      </c>
      <c r="G30" s="18">
        <v>2323</v>
      </c>
      <c r="H30" s="18">
        <v>2330</v>
      </c>
      <c r="I30" s="18">
        <v>2330</v>
      </c>
      <c r="J30" s="18">
        <v>2330</v>
      </c>
      <c r="K30" s="18">
        <v>2323</v>
      </c>
      <c r="L30" s="18">
        <v>2323</v>
      </c>
      <c r="M30" s="18">
        <v>2330</v>
      </c>
      <c r="N30" s="18">
        <v>2330</v>
      </c>
      <c r="O30" s="18">
        <v>2330</v>
      </c>
      <c r="P30" s="18">
        <v>2330</v>
      </c>
      <c r="Q30" s="18">
        <v>2330</v>
      </c>
      <c r="R30" s="18">
        <v>2330</v>
      </c>
      <c r="S30" s="18">
        <v>2330</v>
      </c>
      <c r="T30" s="18">
        <v>2330</v>
      </c>
      <c r="U30" s="18">
        <v>2330</v>
      </c>
      <c r="V30" s="18">
        <v>2330</v>
      </c>
      <c r="W30" s="18">
        <v>2330</v>
      </c>
      <c r="X30" s="18">
        <v>2330</v>
      </c>
      <c r="Y30" s="18">
        <v>2330</v>
      </c>
      <c r="Z30" s="18">
        <v>2330</v>
      </c>
      <c r="AA30" s="18">
        <v>2323</v>
      </c>
      <c r="AB30" s="18">
        <v>2330</v>
      </c>
      <c r="AC30" s="18">
        <v>2330</v>
      </c>
      <c r="AD30" s="18">
        <v>2323</v>
      </c>
      <c r="AE30" s="18">
        <v>2330</v>
      </c>
      <c r="AF30" s="18">
        <v>2323</v>
      </c>
      <c r="AG30" s="18">
        <v>2330</v>
      </c>
      <c r="AH30" s="18">
        <v>2323</v>
      </c>
      <c r="AI30" s="18">
        <v>2330</v>
      </c>
      <c r="AJ30" s="18">
        <v>2330</v>
      </c>
      <c r="AK30" s="18">
        <v>2330</v>
      </c>
      <c r="AL30" s="18">
        <v>2323</v>
      </c>
      <c r="AM30" s="18">
        <v>2323</v>
      </c>
      <c r="AN30" s="18">
        <v>2323</v>
      </c>
      <c r="AO30" s="18">
        <v>2323</v>
      </c>
      <c r="AP30" s="18">
        <v>2330</v>
      </c>
      <c r="AQ30" s="18">
        <v>2323</v>
      </c>
      <c r="AR30" s="18">
        <v>2323</v>
      </c>
      <c r="AS30" s="18">
        <v>2323</v>
      </c>
      <c r="AT30" s="18">
        <v>2323</v>
      </c>
      <c r="AU30" s="18">
        <v>2323</v>
      </c>
      <c r="AV30" s="18">
        <v>2323</v>
      </c>
      <c r="AW30" s="18">
        <v>3252</v>
      </c>
      <c r="AX30" s="18">
        <v>2330</v>
      </c>
      <c r="AY30" s="18">
        <v>3252</v>
      </c>
      <c r="AZ30" s="18">
        <v>3252</v>
      </c>
      <c r="BA30" s="18">
        <v>3252</v>
      </c>
      <c r="BB30" s="18">
        <v>3252</v>
      </c>
      <c r="BC30" s="18">
        <v>1906</v>
      </c>
      <c r="BD30" s="18">
        <v>1906</v>
      </c>
      <c r="BE30" s="18">
        <v>1906</v>
      </c>
      <c r="BF30" s="18">
        <v>3252</v>
      </c>
      <c r="BG30" s="18">
        <v>1906</v>
      </c>
      <c r="BH30" s="18">
        <v>1906</v>
      </c>
      <c r="BI30" s="18">
        <v>1906</v>
      </c>
      <c r="BJ30" s="18">
        <v>1906</v>
      </c>
      <c r="BK30" s="18">
        <v>8085</v>
      </c>
      <c r="BL30" s="18">
        <v>8085</v>
      </c>
      <c r="BM30" s="18">
        <v>2201</v>
      </c>
      <c r="BN30" s="18">
        <v>8085</v>
      </c>
      <c r="BO30" s="18">
        <v>8085</v>
      </c>
      <c r="BP30" s="18">
        <v>8085</v>
      </c>
      <c r="BQ30" s="18">
        <v>3252</v>
      </c>
      <c r="BR30" s="18">
        <v>2409</v>
      </c>
      <c r="BS30" s="18">
        <v>3252</v>
      </c>
      <c r="BT30" s="18">
        <v>3311</v>
      </c>
      <c r="BU30" s="18">
        <v>3311</v>
      </c>
      <c r="BV30" s="18">
        <v>2321</v>
      </c>
      <c r="BW30" s="18">
        <v>3252</v>
      </c>
      <c r="BX30" s="18">
        <v>3252</v>
      </c>
      <c r="BY30" s="18">
        <v>3252</v>
      </c>
      <c r="BZ30" s="18">
        <v>5608</v>
      </c>
      <c r="CA30" s="18">
        <v>2330</v>
      </c>
      <c r="CB30" s="18">
        <v>5608</v>
      </c>
      <c r="CC30" s="18">
        <v>1314</v>
      </c>
      <c r="CD30" s="18">
        <v>5608</v>
      </c>
      <c r="CE30" s="18">
        <v>1314</v>
      </c>
      <c r="CF30" s="18">
        <v>1314</v>
      </c>
      <c r="CG30" s="18">
        <v>1314</v>
      </c>
      <c r="CH30" s="18">
        <v>1314</v>
      </c>
      <c r="CI30" s="18">
        <v>3252</v>
      </c>
      <c r="CJ30" s="18">
        <v>3252</v>
      </c>
      <c r="CK30" s="18">
        <v>3252</v>
      </c>
      <c r="CL30" s="18">
        <v>3252</v>
      </c>
      <c r="CM30" s="18">
        <v>3252</v>
      </c>
      <c r="CN30" s="18">
        <v>3252</v>
      </c>
      <c r="CO30" s="18">
        <v>3252</v>
      </c>
      <c r="CP30" s="18">
        <v>3252</v>
      </c>
      <c r="CQ30" s="18">
        <v>3252</v>
      </c>
      <c r="CR30" s="18">
        <v>3252</v>
      </c>
      <c r="CS30" s="18">
        <v>1906</v>
      </c>
      <c r="CT30" s="18">
        <v>1906</v>
      </c>
      <c r="CU30" s="18">
        <v>1906</v>
      </c>
      <c r="CV30" s="18">
        <v>1906</v>
      </c>
      <c r="CW30" s="18">
        <v>1906</v>
      </c>
      <c r="CX30" s="18">
        <v>1906</v>
      </c>
      <c r="CY30" s="18">
        <v>1906</v>
      </c>
      <c r="CZ30" s="18">
        <v>1906</v>
      </c>
      <c r="DA30" s="18">
        <v>1314</v>
      </c>
      <c r="DB30" s="18">
        <v>4414</v>
      </c>
      <c r="DC30" s="18">
        <v>1314</v>
      </c>
      <c r="DD30" s="18">
        <v>1906</v>
      </c>
      <c r="DE30" s="18">
        <v>2323</v>
      </c>
      <c r="DF30" s="18">
        <v>2323</v>
      </c>
      <c r="DG30" s="18">
        <v>2362</v>
      </c>
      <c r="DH30" s="18">
        <v>2362</v>
      </c>
      <c r="DI30" s="18">
        <v>2362</v>
      </c>
      <c r="DJ30" s="18">
        <v>2362</v>
      </c>
      <c r="DK30" s="18">
        <v>3252</v>
      </c>
      <c r="DL30" s="18">
        <v>1314</v>
      </c>
      <c r="DM30" s="18">
        <v>2603</v>
      </c>
      <c r="DN30" s="18">
        <v>2603</v>
      </c>
      <c r="DO30" s="18">
        <v>2603</v>
      </c>
      <c r="DP30" s="18">
        <v>2603</v>
      </c>
      <c r="DQ30" s="18">
        <v>1906</v>
      </c>
      <c r="DR30" s="18">
        <v>1906</v>
      </c>
      <c r="DS30" s="18">
        <v>1314</v>
      </c>
      <c r="DT30" s="18">
        <v>1314</v>
      </c>
      <c r="DU30" s="18">
        <v>1314</v>
      </c>
      <c r="DV30" s="18">
        <v>1314</v>
      </c>
      <c r="DW30" s="18">
        <v>1312</v>
      </c>
      <c r="DX30" s="18">
        <v>1314</v>
      </c>
      <c r="DY30" s="18">
        <v>1312</v>
      </c>
      <c r="DZ30" s="18">
        <v>1312</v>
      </c>
      <c r="EA30" s="18">
        <v>1312</v>
      </c>
      <c r="EB30" s="18">
        <v>1314</v>
      </c>
      <c r="EC30" s="18">
        <v>1314</v>
      </c>
      <c r="ED30" s="18">
        <v>1312</v>
      </c>
      <c r="EE30" s="18">
        <v>1312</v>
      </c>
      <c r="EF30" s="18">
        <v>1314</v>
      </c>
    </row>
    <row r="31" spans="1:136">
      <c r="B31" s="19" t="s">
        <v>204</v>
      </c>
      <c r="C31" s="18" t="s">
        <v>162</v>
      </c>
      <c r="D31" s="18" t="s">
        <v>163</v>
      </c>
      <c r="E31" s="18" t="s">
        <v>164</v>
      </c>
      <c r="F31" s="18" t="s">
        <v>163</v>
      </c>
      <c r="G31" s="18" t="s">
        <v>164</v>
      </c>
      <c r="H31" s="18" t="s">
        <v>163</v>
      </c>
      <c r="I31" s="18" t="s">
        <v>163</v>
      </c>
      <c r="J31" s="18" t="s">
        <v>163</v>
      </c>
      <c r="K31" s="18" t="s">
        <v>164</v>
      </c>
      <c r="L31" s="18" t="s">
        <v>164</v>
      </c>
      <c r="M31" s="18" t="s">
        <v>163</v>
      </c>
      <c r="N31" s="18" t="s">
        <v>163</v>
      </c>
      <c r="O31" s="18" t="s">
        <v>163</v>
      </c>
      <c r="P31" s="18" t="s">
        <v>163</v>
      </c>
      <c r="Q31" s="18" t="s">
        <v>163</v>
      </c>
      <c r="R31" s="18" t="s">
        <v>163</v>
      </c>
      <c r="S31" s="18" t="s">
        <v>163</v>
      </c>
      <c r="T31" s="18" t="s">
        <v>163</v>
      </c>
      <c r="U31" s="18" t="s">
        <v>163</v>
      </c>
      <c r="V31" s="18" t="s">
        <v>163</v>
      </c>
      <c r="W31" s="18" t="s">
        <v>163</v>
      </c>
      <c r="X31" s="18" t="s">
        <v>163</v>
      </c>
      <c r="Y31" s="18" t="s">
        <v>163</v>
      </c>
      <c r="Z31" s="18" t="s">
        <v>163</v>
      </c>
      <c r="AA31" s="18" t="s">
        <v>164</v>
      </c>
      <c r="AB31" s="18" t="s">
        <v>163</v>
      </c>
      <c r="AC31" s="18" t="s">
        <v>163</v>
      </c>
      <c r="AD31" s="18" t="s">
        <v>164</v>
      </c>
      <c r="AE31" s="18" t="s">
        <v>163</v>
      </c>
      <c r="AF31" s="18" t="s">
        <v>164</v>
      </c>
      <c r="AG31" s="18" t="s">
        <v>163</v>
      </c>
      <c r="AH31" s="18" t="s">
        <v>164</v>
      </c>
      <c r="AI31" s="18" t="s">
        <v>163</v>
      </c>
      <c r="AJ31" s="18" t="s">
        <v>163</v>
      </c>
      <c r="AK31" s="18" t="s">
        <v>163</v>
      </c>
      <c r="AL31" s="18" t="s">
        <v>164</v>
      </c>
      <c r="AM31" s="18" t="s">
        <v>164</v>
      </c>
      <c r="AN31" s="18" t="s">
        <v>164</v>
      </c>
      <c r="AO31" s="18" t="s">
        <v>164</v>
      </c>
      <c r="AP31" s="18" t="s">
        <v>163</v>
      </c>
      <c r="AQ31" s="18" t="s">
        <v>164</v>
      </c>
      <c r="AR31" s="18" t="s">
        <v>164</v>
      </c>
      <c r="AS31" s="18" t="s">
        <v>164</v>
      </c>
      <c r="AT31" s="18" t="s">
        <v>164</v>
      </c>
      <c r="AU31" s="18" t="s">
        <v>164</v>
      </c>
      <c r="AV31" s="18" t="s">
        <v>164</v>
      </c>
      <c r="AW31" s="18" t="s">
        <v>165</v>
      </c>
      <c r="AX31" s="18" t="s">
        <v>163</v>
      </c>
      <c r="AY31" s="18" t="s">
        <v>165</v>
      </c>
      <c r="AZ31" s="18" t="s">
        <v>165</v>
      </c>
      <c r="BA31" s="18" t="s">
        <v>165</v>
      </c>
      <c r="BB31" s="18" t="s">
        <v>165</v>
      </c>
      <c r="BC31" s="18" t="s">
        <v>166</v>
      </c>
      <c r="BD31" s="18" t="s">
        <v>166</v>
      </c>
      <c r="BE31" s="18" t="s">
        <v>166</v>
      </c>
      <c r="BF31" s="18" t="s">
        <v>165</v>
      </c>
      <c r="BG31" s="18" t="s">
        <v>166</v>
      </c>
      <c r="BH31" s="18" t="s">
        <v>166</v>
      </c>
      <c r="BI31" s="18" t="s">
        <v>166</v>
      </c>
      <c r="BJ31" s="18" t="s">
        <v>166</v>
      </c>
      <c r="BK31" s="18" t="s">
        <v>167</v>
      </c>
      <c r="BL31" s="18" t="s">
        <v>167</v>
      </c>
      <c r="BM31" s="18" t="s">
        <v>168</v>
      </c>
      <c r="BN31" s="18" t="s">
        <v>167</v>
      </c>
      <c r="BO31" s="18" t="s">
        <v>167</v>
      </c>
      <c r="BP31" s="18" t="s">
        <v>167</v>
      </c>
      <c r="BQ31" s="18" t="s">
        <v>165</v>
      </c>
      <c r="BR31" s="18" t="s">
        <v>169</v>
      </c>
      <c r="BS31" s="18" t="s">
        <v>165</v>
      </c>
      <c r="BT31" s="18" t="s">
        <v>170</v>
      </c>
      <c r="BU31" s="18" t="s">
        <v>170</v>
      </c>
      <c r="BV31" s="18" t="s">
        <v>171</v>
      </c>
      <c r="BW31" s="18" t="s">
        <v>165</v>
      </c>
      <c r="BX31" s="18" t="s">
        <v>165</v>
      </c>
      <c r="BY31" s="18" t="s">
        <v>165</v>
      </c>
      <c r="BZ31" s="18" t="s">
        <v>172</v>
      </c>
      <c r="CA31" s="18" t="s">
        <v>163</v>
      </c>
      <c r="CB31" s="18" t="s">
        <v>172</v>
      </c>
      <c r="CC31" s="18" t="s">
        <v>173</v>
      </c>
      <c r="CD31" s="18" t="s">
        <v>172</v>
      </c>
      <c r="CE31" s="18" t="s">
        <v>173</v>
      </c>
      <c r="CF31" s="18" t="s">
        <v>173</v>
      </c>
      <c r="CG31" s="18" t="s">
        <v>173</v>
      </c>
      <c r="CH31" s="18" t="s">
        <v>173</v>
      </c>
      <c r="CI31" s="18" t="s">
        <v>165</v>
      </c>
      <c r="CJ31" s="18" t="s">
        <v>165</v>
      </c>
      <c r="CK31" s="18" t="s">
        <v>165</v>
      </c>
      <c r="CL31" s="18" t="s">
        <v>165</v>
      </c>
      <c r="CM31" s="18" t="s">
        <v>165</v>
      </c>
      <c r="CN31" s="18" t="s">
        <v>165</v>
      </c>
      <c r="CO31" s="18" t="s">
        <v>165</v>
      </c>
      <c r="CP31" s="18" t="s">
        <v>165</v>
      </c>
      <c r="CQ31" s="18" t="s">
        <v>165</v>
      </c>
      <c r="CR31" s="18" t="s">
        <v>165</v>
      </c>
      <c r="CS31" s="18" t="s">
        <v>166</v>
      </c>
      <c r="CT31" s="18" t="s">
        <v>166</v>
      </c>
      <c r="CU31" s="18" t="s">
        <v>166</v>
      </c>
      <c r="CV31" s="18" t="s">
        <v>166</v>
      </c>
      <c r="CW31" s="18" t="s">
        <v>166</v>
      </c>
      <c r="CX31" s="18" t="s">
        <v>166</v>
      </c>
      <c r="CY31" s="18" t="s">
        <v>166</v>
      </c>
      <c r="CZ31" s="18" t="s">
        <v>166</v>
      </c>
      <c r="DA31" s="18" t="s">
        <v>173</v>
      </c>
      <c r="DB31" s="18" t="s">
        <v>174</v>
      </c>
      <c r="DC31" s="18" t="s">
        <v>173</v>
      </c>
      <c r="DD31" s="18" t="s">
        <v>166</v>
      </c>
      <c r="DE31" s="18" t="s">
        <v>164</v>
      </c>
      <c r="DF31" s="18" t="s">
        <v>164</v>
      </c>
      <c r="DG31" s="18" t="s">
        <v>175</v>
      </c>
      <c r="DH31" s="18" t="s">
        <v>175</v>
      </c>
      <c r="DI31" s="18" t="s">
        <v>175</v>
      </c>
      <c r="DJ31" s="18" t="s">
        <v>175</v>
      </c>
      <c r="DK31" s="18" t="s">
        <v>165</v>
      </c>
      <c r="DL31" s="18" t="s">
        <v>173</v>
      </c>
      <c r="DM31" s="18" t="s">
        <v>176</v>
      </c>
      <c r="DN31" s="18" t="s">
        <v>176</v>
      </c>
      <c r="DO31" s="18" t="s">
        <v>176</v>
      </c>
      <c r="DP31" s="18" t="s">
        <v>176</v>
      </c>
      <c r="DQ31" s="18" t="s">
        <v>166</v>
      </c>
      <c r="DR31" s="18" t="s">
        <v>166</v>
      </c>
      <c r="DS31" s="18" t="s">
        <v>173</v>
      </c>
      <c r="DT31" s="18" t="s">
        <v>173</v>
      </c>
      <c r="DU31" s="18" t="s">
        <v>173</v>
      </c>
      <c r="DV31" s="18" t="s">
        <v>173</v>
      </c>
      <c r="DW31" s="18" t="s">
        <v>177</v>
      </c>
      <c r="DX31" s="18" t="s">
        <v>173</v>
      </c>
      <c r="DY31" s="18" t="s">
        <v>177</v>
      </c>
      <c r="DZ31" s="18" t="s">
        <v>177</v>
      </c>
      <c r="EA31" s="18" t="s">
        <v>177</v>
      </c>
      <c r="EB31" s="18" t="s">
        <v>173</v>
      </c>
      <c r="EC31" s="18" t="s">
        <v>173</v>
      </c>
      <c r="ED31" s="18" t="s">
        <v>177</v>
      </c>
      <c r="EE31" s="18" t="s">
        <v>177</v>
      </c>
      <c r="EF31" s="18" t="s">
        <v>173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26"/>
  <sheetViews>
    <sheetView zoomScale="150" zoomScaleNormal="85" workbookViewId="0">
      <selection activeCell="D11" sqref="D11:EI11"/>
    </sheetView>
  </sheetViews>
  <sheetFormatPr baseColWidth="10" defaultColWidth="8.83203125" defaultRowHeight="15"/>
  <sheetData>
    <row r="1" spans="1:139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9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9">
      <c r="A3" s="1"/>
      <c r="B3" s="2" t="s">
        <v>136</v>
      </c>
      <c r="C3" s="13">
        <v>3.1330205500125892E-2</v>
      </c>
      <c r="D3" s="13">
        <v>-1.7543647438287732E-2</v>
      </c>
      <c r="E3" s="13">
        <v>2.9643896967172619E-2</v>
      </c>
      <c r="F3" s="13">
        <v>2.8182985261082649E-2</v>
      </c>
      <c r="G3" s="13">
        <v>4.1800491511821747E-2</v>
      </c>
      <c r="H3" s="13">
        <v>1.7699908465147018E-2</v>
      </c>
      <c r="I3" s="13">
        <v>1.256205607205629E-2</v>
      </c>
      <c r="J3" s="13">
        <v>1.2357430532574649E-3</v>
      </c>
      <c r="K3" s="13">
        <v>3.5791270434856408E-2</v>
      </c>
      <c r="L3" s="13">
        <v>6.6725820302963257E-2</v>
      </c>
      <c r="M3" s="13">
        <v>1.32761662825942E-2</v>
      </c>
      <c r="N3" s="13">
        <v>-1.340599730610847E-3</v>
      </c>
      <c r="O3" s="13">
        <v>-3.9153536781668663E-3</v>
      </c>
      <c r="P3" s="13">
        <v>2.3424895480275151E-2</v>
      </c>
      <c r="Q3" s="13">
        <v>2.038630656898022E-2</v>
      </c>
      <c r="R3" s="13">
        <v>1.957200467586517E-2</v>
      </c>
      <c r="S3" s="13">
        <v>2.2870888933539391E-2</v>
      </c>
      <c r="T3" s="13">
        <v>4.3855453841388234E-3</v>
      </c>
      <c r="U3" s="13">
        <v>-8.5439961403608322E-3</v>
      </c>
      <c r="V3" s="13">
        <v>-8.516303263604641E-3</v>
      </c>
      <c r="W3" s="13">
        <v>-1.7971992492675781E-2</v>
      </c>
      <c r="X3" s="13">
        <v>-1.1634783819317819E-2</v>
      </c>
      <c r="Y3" s="13">
        <v>-2.656730450689793E-2</v>
      </c>
      <c r="Z3" s="13">
        <v>-2.7729809284210209E-2</v>
      </c>
      <c r="AA3" s="13">
        <v>7.4403420090675354E-2</v>
      </c>
      <c r="AB3" s="13">
        <v>-2.764703705906868E-2</v>
      </c>
      <c r="AC3" s="13">
        <v>-2.7917437255382541E-2</v>
      </c>
      <c r="AD3" s="13">
        <v>-3.129136934876442E-2</v>
      </c>
      <c r="AE3" s="13">
        <v>-2.063364535570145E-2</v>
      </c>
      <c r="AF3" s="13">
        <v>-3.5181421786546707E-2</v>
      </c>
      <c r="AG3" s="13">
        <v>-1.2474990449845791E-2</v>
      </c>
      <c r="AH3" s="13">
        <v>-2.2227592766284939E-2</v>
      </c>
      <c r="AI3" s="13">
        <v>2.8354397043585781E-2</v>
      </c>
      <c r="AJ3" s="13">
        <v>1.7696382477879521E-2</v>
      </c>
      <c r="AK3" s="13">
        <v>-1.5488248318433759E-3</v>
      </c>
      <c r="AL3" s="13">
        <v>6.0541510581970208E-2</v>
      </c>
      <c r="AM3" s="13">
        <v>4.2939703911542892E-2</v>
      </c>
      <c r="AN3" s="13">
        <v>4.6451166272163391E-2</v>
      </c>
      <c r="AO3" s="13">
        <v>4.6414647251367569E-2</v>
      </c>
      <c r="AP3" s="13">
        <v>2.7322841808199879E-2</v>
      </c>
      <c r="AQ3" s="13">
        <v>4.9711406230926507E-2</v>
      </c>
      <c r="AR3" s="13">
        <v>4.072609543800354E-2</v>
      </c>
      <c r="AS3" s="13">
        <v>3.7940710783004761E-2</v>
      </c>
      <c r="AT3" s="13">
        <v>4.3215282261371613E-2</v>
      </c>
      <c r="AU3" s="13">
        <v>3.5848293453454971E-2</v>
      </c>
      <c r="AV3" s="13">
        <v>4.8106551170349121E-2</v>
      </c>
      <c r="AW3" s="13">
        <v>0.25755825638771063</v>
      </c>
      <c r="AX3" s="13">
        <v>2.3971892893314362E-2</v>
      </c>
      <c r="AY3" s="13">
        <v>5.6368216872215271E-2</v>
      </c>
      <c r="AZ3" s="13">
        <v>4.440823569893837E-2</v>
      </c>
      <c r="BA3" s="13">
        <v>4.0217362344264977E-2</v>
      </c>
      <c r="BB3" s="13">
        <v>3.9215490221977227E-2</v>
      </c>
      <c r="BC3" s="13">
        <v>5.1480397582054138E-2</v>
      </c>
      <c r="BD3" s="13">
        <v>4.9942176789045327E-2</v>
      </c>
      <c r="BE3" s="13">
        <v>4.9302525818347931E-2</v>
      </c>
      <c r="BF3" s="13">
        <v>5.0215017050504678E-2</v>
      </c>
      <c r="BG3" s="13">
        <v>4.4806387275457382E-2</v>
      </c>
      <c r="BH3" s="13">
        <v>7.2218522429466248E-2</v>
      </c>
      <c r="BI3" s="13">
        <v>5.3198006004095078E-2</v>
      </c>
      <c r="BJ3" s="13">
        <v>5.0947383046150208E-2</v>
      </c>
      <c r="BK3" s="13">
        <v>4.6847827732563019E-2</v>
      </c>
      <c r="BL3" s="13">
        <v>5.1777664572000497E-2</v>
      </c>
      <c r="BM3" s="13">
        <v>4.5751150697469711E-2</v>
      </c>
      <c r="BN3" s="13">
        <v>5.1456984132528312E-2</v>
      </c>
      <c r="BO3" s="13">
        <v>5.444614589214325E-2</v>
      </c>
      <c r="BP3" s="13">
        <v>5.1880281418561942E-2</v>
      </c>
      <c r="BQ3" s="13">
        <v>4.9081109464168549E-2</v>
      </c>
      <c r="BR3" s="13">
        <v>3.0115354806184769E-2</v>
      </c>
      <c r="BS3" s="13">
        <v>4.8800110816955573E-2</v>
      </c>
      <c r="BT3" s="13">
        <v>4.8635218292474747E-2</v>
      </c>
      <c r="BU3" s="13">
        <v>4.5633736997842789E-2</v>
      </c>
      <c r="BV3" s="13">
        <v>4.947228729724884E-2</v>
      </c>
      <c r="BW3" s="13">
        <v>4.4601880013942719E-2</v>
      </c>
      <c r="BX3" s="13">
        <v>4.56710085272789E-2</v>
      </c>
      <c r="BY3" s="13">
        <v>3.6897704005241387E-2</v>
      </c>
      <c r="BZ3" s="13">
        <v>0.21394279599189761</v>
      </c>
      <c r="CA3" s="13">
        <v>2.7052136138081551E-2</v>
      </c>
      <c r="CB3" s="13">
        <v>4.6074997633695602E-2</v>
      </c>
      <c r="CC3" s="13">
        <v>7.2226598858833313E-2</v>
      </c>
      <c r="CD3" s="13">
        <v>3.4700907766819E-2</v>
      </c>
      <c r="CE3" s="13">
        <v>3.6362294107675552E-2</v>
      </c>
      <c r="CF3" s="13">
        <v>4.7756139189004898E-2</v>
      </c>
      <c r="CG3" s="13">
        <v>3.6376580595970147E-2</v>
      </c>
      <c r="CH3" s="13">
        <v>4.3285507708787918E-2</v>
      </c>
      <c r="CI3" s="13">
        <v>4.2804375290870673E-2</v>
      </c>
      <c r="CJ3" s="13">
        <v>4.3789677321910858E-2</v>
      </c>
      <c r="CK3" s="13">
        <v>4.193609207868576E-2</v>
      </c>
      <c r="CL3" s="13">
        <v>4.5073911547660828E-2</v>
      </c>
      <c r="CM3" s="13">
        <v>5.7426575571298599E-2</v>
      </c>
      <c r="CN3" s="13">
        <v>4.8870686441659927E-2</v>
      </c>
      <c r="CO3" s="13">
        <v>4.6467091888189323E-2</v>
      </c>
      <c r="CP3" s="13">
        <v>4.5427285134792328E-2</v>
      </c>
      <c r="CQ3" s="13">
        <v>4.3254118412733078E-2</v>
      </c>
      <c r="CR3" s="13">
        <v>4.2831581085920327E-2</v>
      </c>
      <c r="CS3" s="13">
        <v>4.1360333561897278E-2</v>
      </c>
      <c r="CT3" s="13">
        <v>2.374728582799435E-2</v>
      </c>
      <c r="CU3" s="13">
        <v>3.9278171956539147E-2</v>
      </c>
      <c r="CV3" s="13">
        <v>4.09957654774189E-2</v>
      </c>
      <c r="CW3" s="13">
        <v>3.6699786782264709E-2</v>
      </c>
      <c r="CX3" s="13">
        <v>3.8764949887990952E-2</v>
      </c>
      <c r="CY3" s="13">
        <v>3.7805531173944473E-2</v>
      </c>
      <c r="CZ3" s="13">
        <v>4.325726255774498E-2</v>
      </c>
      <c r="DA3" s="13">
        <v>4.4850636273622513E-2</v>
      </c>
      <c r="DB3" s="13">
        <v>4.3851811438798897E-2</v>
      </c>
      <c r="DC3" s="13">
        <v>4.9191009253263467E-2</v>
      </c>
      <c r="DD3" s="13">
        <v>4.212004691362381E-2</v>
      </c>
      <c r="DE3" s="13">
        <v>4.7127000987529748E-2</v>
      </c>
      <c r="DF3" s="13">
        <v>3.8079626858234412E-2</v>
      </c>
      <c r="DG3" s="13">
        <v>3.8307089358568192E-2</v>
      </c>
      <c r="DH3" s="13">
        <v>3.9209745824337013E-2</v>
      </c>
      <c r="DI3" s="13">
        <v>5.0754562020301819E-2</v>
      </c>
      <c r="DJ3" s="13">
        <v>4.9327295273542397E-2</v>
      </c>
      <c r="DK3" s="13">
        <v>4.6511236578226089E-2</v>
      </c>
      <c r="DL3" s="13">
        <v>4.22775037586689E-2</v>
      </c>
      <c r="DM3" s="13">
        <v>3.2305262982845313E-2</v>
      </c>
      <c r="DN3" s="13">
        <v>4.6072427183389657E-2</v>
      </c>
      <c r="DO3" s="13">
        <v>4.8485249280929572E-2</v>
      </c>
      <c r="DP3" s="13">
        <v>4.6022161841392517E-2</v>
      </c>
      <c r="DQ3" s="13">
        <v>4.4537413865327842E-2</v>
      </c>
      <c r="DR3" s="13">
        <v>4.4425271451473243E-2</v>
      </c>
      <c r="DS3" s="13">
        <v>4.2646575719118118E-2</v>
      </c>
      <c r="DT3" s="13">
        <v>4.6090584248304367E-2</v>
      </c>
      <c r="DU3" s="13">
        <v>4.3128091841936111E-2</v>
      </c>
      <c r="DV3" s="13">
        <v>4.1349083185195923E-2</v>
      </c>
      <c r="DW3" s="13">
        <v>4.0377732366323471E-2</v>
      </c>
      <c r="DX3" s="13">
        <v>4.6240631490945823E-2</v>
      </c>
      <c r="DY3" s="13">
        <v>4.529276117682457E-2</v>
      </c>
      <c r="DZ3" s="13">
        <v>3.8002155721187592E-2</v>
      </c>
      <c r="EA3" s="13">
        <v>4.3337244540452957E-2</v>
      </c>
      <c r="EB3" s="13">
        <v>3.5762075334787369E-2</v>
      </c>
      <c r="EC3" s="13">
        <v>3.0851878225803379E-2</v>
      </c>
      <c r="ED3" s="13">
        <v>4.0065716952085488E-2</v>
      </c>
      <c r="EE3" s="13">
        <v>4.3372519314289093E-2</v>
      </c>
      <c r="EF3" s="13">
        <v>4.6325836330652237E-2</v>
      </c>
    </row>
    <row r="4" spans="1:139">
      <c r="A4" s="1"/>
      <c r="B4" s="2" t="s">
        <v>137</v>
      </c>
      <c r="C4" s="13">
        <v>-2.2946899756789211E-2</v>
      </c>
      <c r="D4" s="13">
        <v>-3.2528996467590332E-2</v>
      </c>
      <c r="E4" s="13">
        <v>-2.231709286570549E-2</v>
      </c>
      <c r="F4" s="13">
        <v>-3.0678801238536831E-2</v>
      </c>
      <c r="G4" s="13">
        <v>-3.2594364136457443E-2</v>
      </c>
      <c r="H4" s="13">
        <v>-2.7283268049359322E-2</v>
      </c>
      <c r="I4" s="13">
        <v>-3.6774773150682449E-2</v>
      </c>
      <c r="J4" s="13">
        <v>-3.694760799407959E-2</v>
      </c>
      <c r="K4" s="13">
        <v>-3.4350186586379998E-2</v>
      </c>
      <c r="L4" s="13">
        <v>-3.5141970962286002E-2</v>
      </c>
      <c r="M4" s="13">
        <v>-3.6390375345945358E-2</v>
      </c>
      <c r="N4" s="13">
        <v>-2.7910143136978149E-2</v>
      </c>
      <c r="O4" s="13">
        <v>-3.4657396376132972E-2</v>
      </c>
      <c r="P4" s="13">
        <v>-3.7157066166400909E-2</v>
      </c>
      <c r="Q4" s="13">
        <v>-3.2246530055999763E-2</v>
      </c>
      <c r="R4" s="13">
        <v>-3.2251663506031043E-2</v>
      </c>
      <c r="S4" s="13">
        <v>-2.9913196340203289E-2</v>
      </c>
      <c r="T4" s="13">
        <v>-2.9206940904259682E-2</v>
      </c>
      <c r="U4" s="13">
        <v>-2.8744202107191089E-2</v>
      </c>
      <c r="V4" s="13">
        <v>-2.8017682954668999E-2</v>
      </c>
      <c r="W4" s="13">
        <v>-2.7434077113866809E-2</v>
      </c>
      <c r="X4" s="13">
        <v>-2.876461856067181E-2</v>
      </c>
      <c r="Y4" s="13">
        <v>-3.1099813058972359E-2</v>
      </c>
      <c r="Z4" s="13">
        <v>-3.0133392661809921E-2</v>
      </c>
      <c r="AA4" s="13">
        <v>-2.9746487736701969E-2</v>
      </c>
      <c r="AB4" s="13">
        <v>-2.964571118354797E-2</v>
      </c>
      <c r="AC4" s="13">
        <v>-2.9567878693342209E-2</v>
      </c>
      <c r="AD4" s="13">
        <v>-2.8945522382855419E-2</v>
      </c>
      <c r="AE4" s="13">
        <v>-2.8935028240084652E-2</v>
      </c>
      <c r="AF4" s="13">
        <v>-2.8917042538523671E-2</v>
      </c>
      <c r="AG4" s="13">
        <v>-2.828941494226456E-2</v>
      </c>
      <c r="AH4" s="13">
        <v>-1.883991435170174E-2</v>
      </c>
      <c r="AI4" s="13">
        <v>-4.0709320455789573E-2</v>
      </c>
      <c r="AJ4" s="13">
        <v>-3.4136712551116943E-2</v>
      </c>
      <c r="AK4" s="13">
        <v>-2.7761854231357571E-2</v>
      </c>
      <c r="AL4" s="13">
        <v>-2.6954172179102901E-2</v>
      </c>
      <c r="AM4" s="13">
        <v>-2.9749177396297451E-2</v>
      </c>
      <c r="AN4" s="13">
        <v>-2.958561293780804E-2</v>
      </c>
      <c r="AO4" s="13">
        <v>-3.5846035927534103E-2</v>
      </c>
      <c r="AP4" s="13">
        <v>-3.5248521715402603E-2</v>
      </c>
      <c r="AQ4" s="13">
        <v>-2.2184915840625759E-2</v>
      </c>
      <c r="AR4" s="13">
        <v>-2.593911811709404E-2</v>
      </c>
      <c r="AS4" s="13">
        <v>-2.9777109622955319E-2</v>
      </c>
      <c r="AT4" s="13">
        <v>-2.5417083874344829E-2</v>
      </c>
      <c r="AU4" s="13">
        <v>-3.08467410504818E-2</v>
      </c>
      <c r="AV4" s="13">
        <v>-3.2425623387098312E-2</v>
      </c>
      <c r="AW4" s="13">
        <v>-2.665197849273682E-2</v>
      </c>
      <c r="AX4" s="13">
        <v>-2.6401566341519359E-2</v>
      </c>
      <c r="AY4" s="13">
        <v>-3.4196376800537109E-2</v>
      </c>
      <c r="AZ4" s="13">
        <v>-2.7192108333110809E-2</v>
      </c>
      <c r="BA4" s="13">
        <v>-3.141489252448082E-2</v>
      </c>
      <c r="BB4" s="13">
        <v>-3.3737760037183762E-2</v>
      </c>
      <c r="BC4" s="13">
        <v>-3.037294372916222E-2</v>
      </c>
      <c r="BD4" s="13">
        <v>-3.122984804213047E-2</v>
      </c>
      <c r="BE4" s="13">
        <v>-3.2925654202699661E-2</v>
      </c>
      <c r="BF4" s="13">
        <v>-3.0702147632837299E-2</v>
      </c>
      <c r="BG4" s="13">
        <v>-3.2038435339927673E-2</v>
      </c>
      <c r="BH4" s="13">
        <v>-2.992494776844978E-2</v>
      </c>
      <c r="BI4" s="13">
        <v>-3.1321626156568527E-2</v>
      </c>
      <c r="BJ4" s="13">
        <v>-3.0535932630300518E-2</v>
      </c>
      <c r="BK4" s="13">
        <v>-3.2727848738431931E-2</v>
      </c>
      <c r="BL4" s="13">
        <v>-3.1020708382129669E-2</v>
      </c>
      <c r="BM4" s="13">
        <v>-3.1905554234981537E-2</v>
      </c>
      <c r="BN4" s="13">
        <v>-1.146291196346283E-2</v>
      </c>
      <c r="BO4" s="13">
        <v>-2.2440502420067791E-2</v>
      </c>
      <c r="BP4" s="13">
        <v>-2.6134863495826721E-2</v>
      </c>
      <c r="BQ4" s="13">
        <v>-3.2739493995904922E-2</v>
      </c>
      <c r="BR4" s="13">
        <v>-1.1072360910475251E-2</v>
      </c>
      <c r="BS4" s="13">
        <v>-3.3545445650815957E-2</v>
      </c>
      <c r="BT4" s="13">
        <v>-2.5867762044072151E-2</v>
      </c>
      <c r="BU4" s="13">
        <v>-3.5770893096923828E-2</v>
      </c>
      <c r="BV4" s="13">
        <v>-3.3611096441745758E-2</v>
      </c>
      <c r="BW4" s="13">
        <v>-2.3763570934534069E-2</v>
      </c>
      <c r="BX4" s="13">
        <v>-3.2385952770709991E-2</v>
      </c>
      <c r="BY4" s="13">
        <v>-3.174808993935585E-2</v>
      </c>
      <c r="BZ4" s="13">
        <v>-3.5722728818655007E-2</v>
      </c>
      <c r="CA4" s="13">
        <v>-3.2349672168493271E-2</v>
      </c>
      <c r="CB4" s="13">
        <v>-2.4401739239692691E-2</v>
      </c>
      <c r="CC4" s="13">
        <v>-2.9154768213629719E-2</v>
      </c>
      <c r="CD4" s="13">
        <v>-2.6064924895763401E-2</v>
      </c>
      <c r="CE4" s="13">
        <v>-3.1504537910223007E-2</v>
      </c>
      <c r="CF4" s="13">
        <v>-3.0558105558156971E-2</v>
      </c>
      <c r="CG4" s="13">
        <v>-3.0557489022612572E-2</v>
      </c>
      <c r="CH4" s="13">
        <v>-3.119574673473835E-2</v>
      </c>
      <c r="CI4" s="13">
        <v>-3.099741600453854E-2</v>
      </c>
      <c r="CJ4" s="13">
        <v>-3.2932452857494347E-2</v>
      </c>
      <c r="CK4" s="13">
        <v>-3.1934447586536407E-2</v>
      </c>
      <c r="CL4" s="13">
        <v>-3.1415339559316642E-2</v>
      </c>
      <c r="CM4" s="13">
        <v>-3.0473604798316959E-2</v>
      </c>
      <c r="CN4" s="13">
        <v>-3.1549032777547843E-2</v>
      </c>
      <c r="CO4" s="13">
        <v>-3.048702701926231E-2</v>
      </c>
      <c r="CP4" s="13">
        <v>-3.008273430168629E-2</v>
      </c>
      <c r="CQ4" s="13">
        <v>-3.185567632317543E-2</v>
      </c>
      <c r="CR4" s="13">
        <v>-2.9665300622582439E-2</v>
      </c>
      <c r="CS4" s="13">
        <v>-3.06941531598568E-2</v>
      </c>
      <c r="CT4" s="13">
        <v>-2.3139951750636101E-2</v>
      </c>
      <c r="CU4" s="13">
        <v>-2.7379043400287632E-2</v>
      </c>
      <c r="CV4" s="13">
        <v>-2.8476610779762272E-2</v>
      </c>
      <c r="CW4" s="13">
        <v>-3.2229896634817123E-2</v>
      </c>
      <c r="CX4" s="13">
        <v>-2.7671042829751968E-2</v>
      </c>
      <c r="CY4" s="13">
        <v>-2.780521847307682E-2</v>
      </c>
      <c r="CZ4" s="13">
        <v>-2.5955270975828171E-2</v>
      </c>
      <c r="DA4" s="13">
        <v>-2.869330532848835E-2</v>
      </c>
      <c r="DB4" s="13">
        <v>-3.3299807459115982E-2</v>
      </c>
      <c r="DC4" s="13">
        <v>-3.2515127211809158E-2</v>
      </c>
      <c r="DD4" s="13">
        <v>-3.2184645533561707E-2</v>
      </c>
      <c r="DE4" s="13">
        <v>-2.9689539223909382E-2</v>
      </c>
      <c r="DF4" s="13">
        <v>-3.0039757490158081E-2</v>
      </c>
      <c r="DG4" s="13">
        <v>-2.7630811557173729E-2</v>
      </c>
      <c r="DH4" s="13">
        <v>-2.948114275932312E-2</v>
      </c>
      <c r="DI4" s="13">
        <v>-2.9837131500244141E-2</v>
      </c>
      <c r="DJ4" s="13">
        <v>-3.0152346938848499E-2</v>
      </c>
      <c r="DK4" s="13">
        <v>-2.9910968616604802E-2</v>
      </c>
      <c r="DL4" s="13">
        <v>-3.0357034876942631E-2</v>
      </c>
      <c r="DM4" s="13">
        <v>-2.8307907283306118E-2</v>
      </c>
      <c r="DN4" s="13">
        <v>-2.7425747364759449E-2</v>
      </c>
      <c r="DO4" s="13">
        <v>-2.8660286217927929E-2</v>
      </c>
      <c r="DP4" s="13">
        <v>-2.6614684611558911E-2</v>
      </c>
      <c r="DQ4" s="13">
        <v>-2.7624152600765228E-2</v>
      </c>
      <c r="DR4" s="13">
        <v>-2.8681257739663121E-2</v>
      </c>
      <c r="DS4" s="13">
        <v>-2.8064034879207611E-2</v>
      </c>
      <c r="DT4" s="13">
        <v>-2.8476167470216751E-2</v>
      </c>
      <c r="DU4" s="13">
        <v>-2.8130983933806419E-2</v>
      </c>
      <c r="DV4" s="13">
        <v>-2.8065690770745281E-2</v>
      </c>
      <c r="DW4" s="13">
        <v>-2.618366107344627E-2</v>
      </c>
      <c r="DX4" s="13">
        <v>-2.7583243325352669E-2</v>
      </c>
      <c r="DY4" s="13">
        <v>-2.974858321249485E-2</v>
      </c>
      <c r="DZ4" s="13">
        <v>-2.467053942382336E-2</v>
      </c>
      <c r="EA4" s="13">
        <v>-2.6180332526564602E-2</v>
      </c>
      <c r="EB4" s="13">
        <v>-2.6299703866243359E-2</v>
      </c>
      <c r="EC4" s="13">
        <v>-2.7548244222998619E-2</v>
      </c>
      <c r="ED4" s="13">
        <v>-2.391510829329491E-2</v>
      </c>
      <c r="EE4" s="13">
        <v>-3.1682092696428299E-2</v>
      </c>
      <c r="EF4" s="13">
        <v>-2.8993211686611179E-2</v>
      </c>
    </row>
    <row r="5" spans="1:139">
      <c r="A5" s="1"/>
      <c r="B5" s="2" t="s">
        <v>138</v>
      </c>
      <c r="C5" s="13">
        <v>-1.7830728320404889E-3</v>
      </c>
      <c r="D5" s="13">
        <v>-5.807969719171524E-3</v>
      </c>
      <c r="E5" s="13">
        <v>-5.4487348534166813E-3</v>
      </c>
      <c r="F5" s="13">
        <v>-5.0667491741478443E-3</v>
      </c>
      <c r="G5" s="13">
        <v>-7.0356116630136967E-3</v>
      </c>
      <c r="H5" s="13">
        <v>-5.7321330532431602E-3</v>
      </c>
      <c r="I5" s="13">
        <v>-4.5550367794930926E-3</v>
      </c>
      <c r="J5" s="13">
        <v>-6.6406917758285999E-3</v>
      </c>
      <c r="K5" s="13">
        <v>-7.1166539564728737E-3</v>
      </c>
      <c r="L5" s="13">
        <v>-5.1224259659647942E-3</v>
      </c>
      <c r="M5" s="13">
        <v>-6.61063427105546E-3</v>
      </c>
      <c r="N5" s="13">
        <v>5.8811819180846214E-3</v>
      </c>
      <c r="O5" s="13">
        <v>2.1359868347644809E-2</v>
      </c>
      <c r="P5" s="13">
        <v>1.4080207329243419E-3</v>
      </c>
      <c r="Q5" s="13">
        <v>2.8066970407962799E-3</v>
      </c>
      <c r="R5" s="13">
        <v>-6.5349945798516273E-3</v>
      </c>
      <c r="S5" s="13">
        <v>-3.3381129615008831E-3</v>
      </c>
      <c r="T5" s="13">
        <v>4.9602827057242393E-3</v>
      </c>
      <c r="U5" s="13">
        <v>3.3406838774681091E-3</v>
      </c>
      <c r="V5" s="13">
        <v>6.140547338873148E-4</v>
      </c>
      <c r="W5" s="13">
        <v>9.1809040168300271E-4</v>
      </c>
      <c r="X5" s="13">
        <v>-4.8206630162894726E-3</v>
      </c>
      <c r="Y5" s="13">
        <v>-9.6054915338754654E-3</v>
      </c>
      <c r="Z5" s="13">
        <v>-3.1937819439917798E-3</v>
      </c>
      <c r="AA5" s="13">
        <v>-1.071048714220524E-2</v>
      </c>
      <c r="AB5" s="13">
        <v>-8.0073485150933266E-3</v>
      </c>
      <c r="AC5" s="13">
        <v>-9.7105018794536591E-3</v>
      </c>
      <c r="AD5" s="13">
        <v>-1.193892490118742E-2</v>
      </c>
      <c r="AE5" s="13">
        <v>-9.1045163571834564E-3</v>
      </c>
      <c r="AF5" s="13">
        <v>-5.2170734852552414E-3</v>
      </c>
      <c r="AG5" s="13">
        <v>-6.7129302769899368E-3</v>
      </c>
      <c r="AH5" s="13">
        <v>-4.2343703098595142E-3</v>
      </c>
      <c r="AI5" s="13">
        <v>-3.7024291232228279E-3</v>
      </c>
      <c r="AJ5" s="13">
        <v>-3.4234239719808102E-3</v>
      </c>
      <c r="AK5" s="13">
        <v>-5.0286529585719109E-3</v>
      </c>
      <c r="AL5" s="13">
        <v>-5.3550507873296738E-3</v>
      </c>
      <c r="AM5" s="13">
        <v>-6.9953757338225842E-3</v>
      </c>
      <c r="AN5" s="13">
        <v>-1.9440042087808249E-3</v>
      </c>
      <c r="AO5" s="13">
        <v>-5.7561695575714111E-3</v>
      </c>
      <c r="AP5" s="13">
        <v>-5.5434941314160824E-3</v>
      </c>
      <c r="AQ5" s="13">
        <v>-8.768024854362011E-4</v>
      </c>
      <c r="AR5" s="13">
        <v>-3.7110829725861549E-3</v>
      </c>
      <c r="AS5" s="13">
        <v>-1.8258683849126101E-3</v>
      </c>
      <c r="AT5" s="13">
        <v>1.723302528262138E-2</v>
      </c>
      <c r="AU5" s="13">
        <v>-6.8042157217860222E-3</v>
      </c>
      <c r="AV5" s="13">
        <v>1.040650904178619E-2</v>
      </c>
      <c r="AW5" s="13">
        <v>-1.1680858209729189E-2</v>
      </c>
      <c r="AX5" s="13">
        <v>-1.109044998884201E-2</v>
      </c>
      <c r="AY5" s="13">
        <v>-7.5637380359694362E-4</v>
      </c>
      <c r="AZ5" s="13">
        <v>1.07489638030529E-2</v>
      </c>
      <c r="BA5" s="13">
        <v>-1.3510514982044699E-3</v>
      </c>
      <c r="BB5" s="13">
        <v>-7.5233145616948596E-3</v>
      </c>
      <c r="BC5" s="13">
        <v>1.9595171324908729E-3</v>
      </c>
      <c r="BD5" s="13">
        <v>-1.7605321481823921E-2</v>
      </c>
      <c r="BE5" s="13">
        <v>-5.7958187535405159E-3</v>
      </c>
      <c r="BF5" s="13">
        <v>6.0290488181635737E-4</v>
      </c>
      <c r="BG5" s="13">
        <v>-7.3045212775468826E-3</v>
      </c>
      <c r="BH5" s="13">
        <v>-4.3621701188385487E-3</v>
      </c>
      <c r="BI5" s="13">
        <v>6.2929122941568494E-4</v>
      </c>
      <c r="BJ5" s="13">
        <v>1.5743880067020649E-4</v>
      </c>
      <c r="BK5" s="13">
        <v>-8.4008211269974709E-3</v>
      </c>
      <c r="BL5" s="13">
        <v>-1.1468764860183001E-3</v>
      </c>
      <c r="BM5" s="13">
        <v>-2.949054585769773E-3</v>
      </c>
      <c r="BN5" s="13">
        <v>-6.1059690779075027E-4</v>
      </c>
      <c r="BO5" s="13">
        <v>-4.5644012279808521E-3</v>
      </c>
      <c r="BP5" s="13">
        <v>3.4177984343841672E-4</v>
      </c>
      <c r="BQ5" s="13">
        <v>1.0708648478612299E-3</v>
      </c>
      <c r="BR5" s="13">
        <v>4.8396759666502481E-4</v>
      </c>
      <c r="BS5" s="13">
        <v>-7.7918096212670207E-4</v>
      </c>
      <c r="BT5" s="13">
        <v>5.7771807769313455E-4</v>
      </c>
      <c r="BU5" s="13">
        <v>-4.3007326312363148E-3</v>
      </c>
      <c r="BV5" s="13">
        <v>-1.3925109524279831E-3</v>
      </c>
      <c r="BW5" s="13">
        <v>-3.6537761334329839E-3</v>
      </c>
      <c r="BX5" s="13">
        <v>-1.9937008619308472E-3</v>
      </c>
      <c r="BY5" s="13">
        <v>-2.6817773468792439E-3</v>
      </c>
      <c r="BZ5" s="13">
        <v>2.2256071679294109E-3</v>
      </c>
      <c r="CA5" s="13">
        <v>-1.7740057781338692E-2</v>
      </c>
      <c r="CB5" s="13">
        <v>-1.854742132127285E-2</v>
      </c>
      <c r="CC5" s="13">
        <v>-8.9547159150242805E-3</v>
      </c>
      <c r="CD5" s="13">
        <v>-6.0267932713031769E-3</v>
      </c>
      <c r="CE5" s="13">
        <v>4.5224521309137336E-3</v>
      </c>
      <c r="CF5" s="13">
        <v>-4.9523431807756424E-3</v>
      </c>
      <c r="CG5" s="13">
        <v>-1.120204571634531E-3</v>
      </c>
      <c r="CH5" s="13">
        <v>-3.2324404455721378E-3</v>
      </c>
      <c r="CI5" s="13">
        <v>-5.5289170704782009E-3</v>
      </c>
      <c r="CJ5" s="13">
        <v>4.4923755340278149E-3</v>
      </c>
      <c r="CK5" s="13">
        <v>-6.095989141613245E-3</v>
      </c>
      <c r="CL5" s="13">
        <v>-8.0949869006872177E-3</v>
      </c>
      <c r="CM5" s="13">
        <v>5.0488505512475967E-3</v>
      </c>
      <c r="CN5" s="13">
        <v>-1.788548310287297E-3</v>
      </c>
      <c r="CO5" s="13">
        <v>2.7636219747364521E-3</v>
      </c>
      <c r="CP5" s="13">
        <v>-3.583973273634911E-3</v>
      </c>
      <c r="CQ5" s="13">
        <v>-4.7339932061731824E-3</v>
      </c>
      <c r="CR5" s="13">
        <v>1.54245609883219E-3</v>
      </c>
      <c r="CS5" s="13">
        <v>-6.9501805119216442E-3</v>
      </c>
      <c r="CT5" s="13">
        <v>-6.800045957788825E-4</v>
      </c>
      <c r="CU5" s="13">
        <v>-3.5899188369512558E-3</v>
      </c>
      <c r="CV5" s="13">
        <v>-9.6032914007082582E-4</v>
      </c>
      <c r="CW5" s="13">
        <v>-3.6334127653390169E-3</v>
      </c>
      <c r="CX5" s="13">
        <v>-1.5083478065207601E-3</v>
      </c>
      <c r="CY5" s="13">
        <v>-2.2476767189800739E-3</v>
      </c>
      <c r="CZ5" s="13">
        <v>-1.561234821565449E-4</v>
      </c>
      <c r="DA5" s="13">
        <v>-1.49183627218008E-3</v>
      </c>
      <c r="DB5" s="13">
        <v>-3.169323550537229E-3</v>
      </c>
      <c r="DC5" s="13">
        <v>-3.9032646454870701E-3</v>
      </c>
      <c r="DD5" s="13">
        <v>-4.5191487297415733E-3</v>
      </c>
      <c r="DE5" s="13">
        <v>-5.4920930415391922E-3</v>
      </c>
      <c r="DF5" s="13">
        <v>-1.9542425870895389E-2</v>
      </c>
      <c r="DG5" s="13">
        <v>-5.0942343659698963E-3</v>
      </c>
      <c r="DH5" s="13">
        <v>-4.3465639464557171E-3</v>
      </c>
      <c r="DI5" s="13">
        <v>-1.3278067111968991E-2</v>
      </c>
      <c r="DJ5" s="13">
        <v>2.4301805533468719E-3</v>
      </c>
      <c r="DK5" s="13">
        <v>-8.2946429029107094E-3</v>
      </c>
      <c r="DL5" s="13">
        <v>-4.3598045594990253E-3</v>
      </c>
      <c r="DM5" s="13">
        <v>-1.441237283870578E-3</v>
      </c>
      <c r="DN5" s="13">
        <v>-3.749192226678133E-3</v>
      </c>
      <c r="DO5" s="13">
        <v>1.835820032283664E-3</v>
      </c>
      <c r="DP5" s="13">
        <v>-4.5633451081812382E-3</v>
      </c>
      <c r="DQ5" s="13">
        <v>-4.5281355269253254E-3</v>
      </c>
      <c r="DR5" s="13">
        <v>-7.0934956893324852E-3</v>
      </c>
      <c r="DS5" s="13">
        <v>-3.5971722099930048E-3</v>
      </c>
      <c r="DT5" s="13">
        <v>-1.070812228135765E-3</v>
      </c>
      <c r="DU5" s="13">
        <v>-5.7690823450684547E-3</v>
      </c>
      <c r="DV5" s="13">
        <v>-3.1534233130514622E-3</v>
      </c>
      <c r="DW5" s="13">
        <v>-6.9596427492797366E-3</v>
      </c>
      <c r="DX5" s="13">
        <v>-6.651862058788538E-3</v>
      </c>
      <c r="DY5" s="13">
        <v>-3.220914863049984E-3</v>
      </c>
      <c r="DZ5" s="13">
        <v>-1.9205159042030571E-3</v>
      </c>
      <c r="EA5" s="13">
        <v>-2.516824752092361E-3</v>
      </c>
      <c r="EB5" s="13">
        <v>-4.4912919402122498E-3</v>
      </c>
      <c r="EC5" s="13">
        <v>-4.5820055529475212E-3</v>
      </c>
      <c r="ED5" s="13">
        <v>-6.5560955554246902E-3</v>
      </c>
      <c r="EE5" s="13">
        <v>-5.9297331608831882E-3</v>
      </c>
      <c r="EF5" s="13">
        <v>-6.2290588393807411E-3</v>
      </c>
    </row>
    <row r="6" spans="1:139">
      <c r="A6" s="2" t="s">
        <v>139</v>
      </c>
      <c r="B6" s="1"/>
      <c r="C6" s="13">
        <f t="array" ref="C6">MATCH(MAX(ABS(C3:C5)),ABS(C3:C5),0)</f>
        <v>1</v>
      </c>
      <c r="D6" s="13">
        <f t="array" ref="D6">MATCH(MAX(ABS(D3:D5)),ABS(D3:D5),0)</f>
        <v>2</v>
      </c>
      <c r="E6" s="13">
        <f t="array" ref="E6">MATCH(MAX(ABS(E3:E5)),ABS(E3:E5),0)</f>
        <v>1</v>
      </c>
      <c r="F6" s="13">
        <f t="array" ref="F6">MATCH(MAX(ABS(F3:F5)),ABS(F3:F5),0)</f>
        <v>2</v>
      </c>
      <c r="G6" s="13">
        <f t="array" ref="G6">MATCH(MAX(ABS(G3:G5)),ABS(G3:G5),0)</f>
        <v>1</v>
      </c>
      <c r="H6" s="13">
        <f t="array" ref="H6">MATCH(MAX(ABS(H3:H5)),ABS(H3:H5),0)</f>
        <v>2</v>
      </c>
      <c r="I6" s="13">
        <f t="array" ref="I6">MATCH(MAX(ABS(I3:I5)),ABS(I3:I5),0)</f>
        <v>2</v>
      </c>
      <c r="J6" s="13">
        <f t="array" ref="J6">MATCH(MAX(ABS(J3:J5)),ABS(J3:J5),0)</f>
        <v>2</v>
      </c>
      <c r="K6" s="13">
        <f t="array" ref="K6">MATCH(MAX(ABS(K3:K5)),ABS(K3:K5),0)</f>
        <v>1</v>
      </c>
      <c r="L6" s="13">
        <f t="array" ref="L6">MATCH(MAX(ABS(L3:L5)),ABS(L3:L5),0)</f>
        <v>1</v>
      </c>
      <c r="M6" s="13">
        <f t="array" ref="M6">MATCH(MAX(ABS(M3:M5)),ABS(M3:M5),0)</f>
        <v>2</v>
      </c>
      <c r="N6" s="13">
        <f t="array" ref="N6">MATCH(MAX(ABS(N3:N5)),ABS(N3:N5),0)</f>
        <v>2</v>
      </c>
      <c r="O6" s="13">
        <f t="array" ref="O6">MATCH(MAX(ABS(O3:O5)),ABS(O3:O5),0)</f>
        <v>2</v>
      </c>
      <c r="P6" s="13">
        <f t="array" ref="P6">MATCH(MAX(ABS(P3:P5)),ABS(P3:P5),0)</f>
        <v>2</v>
      </c>
      <c r="Q6" s="13">
        <f t="array" ref="Q6">MATCH(MAX(ABS(Q3:Q5)),ABS(Q3:Q5),0)</f>
        <v>2</v>
      </c>
      <c r="R6" s="13">
        <f t="array" ref="R6">MATCH(MAX(ABS(R3:R5)),ABS(R3:R5),0)</f>
        <v>2</v>
      </c>
      <c r="S6" s="13">
        <f t="array" ref="S6">MATCH(MAX(ABS(S3:S5)),ABS(S3:S5),0)</f>
        <v>2</v>
      </c>
      <c r="T6" s="13">
        <f t="array" ref="T6">MATCH(MAX(ABS(T3:T5)),ABS(T3:T5),0)</f>
        <v>2</v>
      </c>
      <c r="U6" s="13">
        <f t="array" ref="U6">MATCH(MAX(ABS(U3:U5)),ABS(U3:U5),0)</f>
        <v>2</v>
      </c>
      <c r="V6" s="13">
        <f t="array" ref="V6">MATCH(MAX(ABS(V3:V5)),ABS(V3:V5),0)</f>
        <v>2</v>
      </c>
      <c r="W6" s="13">
        <f t="array" ref="W6">MATCH(MAX(ABS(W3:W5)),ABS(W3:W5),0)</f>
        <v>2</v>
      </c>
      <c r="X6" s="13">
        <f t="array" ref="X6">MATCH(MAX(ABS(X3:X5)),ABS(X3:X5),0)</f>
        <v>2</v>
      </c>
      <c r="Y6" s="13">
        <f t="array" ref="Y6">MATCH(MAX(ABS(Y3:Y5)),ABS(Y3:Y5),0)</f>
        <v>2</v>
      </c>
      <c r="Z6" s="13">
        <f t="array" ref="Z6">MATCH(MAX(ABS(Z3:Z5)),ABS(Z3:Z5),0)</f>
        <v>2</v>
      </c>
      <c r="AA6" s="13">
        <f t="array" ref="AA6">MATCH(MAX(ABS(AA3:AA5)),ABS(AA3:AA5),0)</f>
        <v>1</v>
      </c>
      <c r="AB6" s="13">
        <f t="array" ref="AB6">MATCH(MAX(ABS(AB3:AB5)),ABS(AB3:AB5),0)</f>
        <v>2</v>
      </c>
      <c r="AC6" s="13">
        <f t="array" ref="AC6">MATCH(MAX(ABS(AC3:AC5)),ABS(AC3:AC5),0)</f>
        <v>2</v>
      </c>
      <c r="AD6" s="13">
        <f t="array" ref="AD6">MATCH(MAX(ABS(AD3:AD5)),ABS(AD3:AD5),0)</f>
        <v>1</v>
      </c>
      <c r="AE6" s="13">
        <f t="array" ref="AE6">MATCH(MAX(ABS(AE3:AE5)),ABS(AE3:AE5),0)</f>
        <v>2</v>
      </c>
      <c r="AF6" s="13">
        <f t="array" ref="AF6">MATCH(MAX(ABS(AF3:AF5)),ABS(AF3:AF5),0)</f>
        <v>1</v>
      </c>
      <c r="AG6" s="13">
        <f t="array" ref="AG6">MATCH(MAX(ABS(AG3:AG5)),ABS(AG3:AG5),0)</f>
        <v>2</v>
      </c>
      <c r="AH6" s="13">
        <f t="array" ref="AH6">MATCH(MAX(ABS(AH3:AH5)),ABS(AH3:AH5),0)</f>
        <v>1</v>
      </c>
      <c r="AI6" s="13">
        <f t="array" ref="AI6">MATCH(MAX(ABS(AI3:AI5)),ABS(AI3:AI5),0)</f>
        <v>2</v>
      </c>
      <c r="AJ6" s="13">
        <f t="array" ref="AJ6">MATCH(MAX(ABS(AJ3:AJ5)),ABS(AJ3:AJ5),0)</f>
        <v>2</v>
      </c>
      <c r="AK6" s="13">
        <f t="array" ref="AK6">MATCH(MAX(ABS(AK3:AK5)),ABS(AK3:AK5),0)</f>
        <v>2</v>
      </c>
      <c r="AL6" s="13">
        <f t="array" ref="AL6">MATCH(MAX(ABS(AL3:AL5)),ABS(AL3:AL5),0)</f>
        <v>1</v>
      </c>
      <c r="AM6" s="13">
        <f t="array" ref="AM6">MATCH(MAX(ABS(AM3:AM5)),ABS(AM3:AM5),0)</f>
        <v>1</v>
      </c>
      <c r="AN6" s="13">
        <f t="array" ref="AN6">MATCH(MAX(ABS(AN3:AN5)),ABS(AN3:AN5),0)</f>
        <v>1</v>
      </c>
      <c r="AO6" s="13">
        <f t="array" ref="AO6">MATCH(MAX(ABS(AO3:AO5)),ABS(AO3:AO5),0)</f>
        <v>1</v>
      </c>
      <c r="AP6" s="13">
        <f t="array" ref="AP6">MATCH(MAX(ABS(AP3:AP5)),ABS(AP3:AP5),0)</f>
        <v>2</v>
      </c>
      <c r="AQ6" s="13">
        <f t="array" ref="AQ6">MATCH(MAX(ABS(AQ3:AQ5)),ABS(AQ3:AQ5),0)</f>
        <v>1</v>
      </c>
      <c r="AR6" s="13">
        <f t="array" ref="AR6">MATCH(MAX(ABS(AR3:AR5)),ABS(AR3:AR5),0)</f>
        <v>1</v>
      </c>
      <c r="AS6" s="13">
        <f t="array" ref="AS6">MATCH(MAX(ABS(AS3:AS5)),ABS(AS3:AS5),0)</f>
        <v>1</v>
      </c>
      <c r="AT6" s="13">
        <f t="array" ref="AT6">MATCH(MAX(ABS(AT3:AT5)),ABS(AT3:AT5),0)</f>
        <v>1</v>
      </c>
      <c r="AU6" s="13">
        <f t="array" ref="AU6">MATCH(MAX(ABS(AU3:AU5)),ABS(AU3:AU5),0)</f>
        <v>1</v>
      </c>
      <c r="AV6" s="13">
        <f t="array" ref="AV6">MATCH(MAX(ABS(AV3:AV5)),ABS(AV3:AV5),0)</f>
        <v>1</v>
      </c>
      <c r="AW6" s="13">
        <f t="array" ref="AW6">MATCH(MAX(ABS(AW3:AW5)),ABS(AW3:AW5),0)</f>
        <v>1</v>
      </c>
      <c r="AX6" s="13">
        <f t="array" ref="AX6">MATCH(MAX(ABS(AX3:AX5)),ABS(AX3:AX5),0)</f>
        <v>2</v>
      </c>
      <c r="AY6" s="13">
        <f t="array" ref="AY6">MATCH(MAX(ABS(AY3:AY5)),ABS(AY3:AY5),0)</f>
        <v>1</v>
      </c>
      <c r="AZ6" s="13">
        <f t="array" ref="AZ6">MATCH(MAX(ABS(AZ3:AZ5)),ABS(AZ3:AZ5),0)</f>
        <v>1</v>
      </c>
      <c r="BA6" s="13">
        <f t="array" ref="BA6">MATCH(MAX(ABS(BA3:BA5)),ABS(BA3:BA5),0)</f>
        <v>1</v>
      </c>
      <c r="BB6" s="13">
        <f t="array" ref="BB6">MATCH(MAX(ABS(BB3:BB5)),ABS(BB3:BB5),0)</f>
        <v>1</v>
      </c>
      <c r="BC6" s="13">
        <f t="array" ref="BC6">MATCH(MAX(ABS(BC3:BC5)),ABS(BC3:BC5),0)</f>
        <v>1</v>
      </c>
      <c r="BD6" s="13">
        <f t="array" ref="BD6">MATCH(MAX(ABS(BD3:BD5)),ABS(BD3:BD5),0)</f>
        <v>1</v>
      </c>
      <c r="BE6" s="13">
        <f t="array" ref="BE6">MATCH(MAX(ABS(BE3:BE5)),ABS(BE3:BE5),0)</f>
        <v>1</v>
      </c>
      <c r="BF6" s="13">
        <f t="array" ref="BF6">MATCH(MAX(ABS(BF3:BF5)),ABS(BF3:BF5),0)</f>
        <v>1</v>
      </c>
      <c r="BG6" s="13">
        <f t="array" ref="BG6">MATCH(MAX(ABS(BG3:BG5)),ABS(BG3:BG5),0)</f>
        <v>1</v>
      </c>
      <c r="BH6" s="13">
        <f t="array" ref="BH6">MATCH(MAX(ABS(BH3:BH5)),ABS(BH3:BH5),0)</f>
        <v>1</v>
      </c>
      <c r="BI6" s="13">
        <f t="array" ref="BI6">MATCH(MAX(ABS(BI3:BI5)),ABS(BI3:BI5),0)</f>
        <v>1</v>
      </c>
      <c r="BJ6" s="13">
        <f t="array" ref="BJ6">MATCH(MAX(ABS(BJ3:BJ5)),ABS(BJ3:BJ5),0)</f>
        <v>1</v>
      </c>
      <c r="BK6" s="13">
        <f t="array" ref="BK6">MATCH(MAX(ABS(BK3:BK5)),ABS(BK3:BK5),0)</f>
        <v>1</v>
      </c>
      <c r="BL6" s="13">
        <f t="array" ref="BL6">MATCH(MAX(ABS(BL3:BL5)),ABS(BL3:BL5),0)</f>
        <v>1</v>
      </c>
      <c r="BM6" s="13">
        <f t="array" ref="BM6">MATCH(MAX(ABS(BM3:BM5)),ABS(BM3:BM5),0)</f>
        <v>1</v>
      </c>
      <c r="BN6" s="13">
        <f t="array" ref="BN6">MATCH(MAX(ABS(BN3:BN5)),ABS(BN3:BN5),0)</f>
        <v>1</v>
      </c>
      <c r="BO6" s="13">
        <f t="array" ref="BO6">MATCH(MAX(ABS(BO3:BO5)),ABS(BO3:BO5),0)</f>
        <v>1</v>
      </c>
      <c r="BP6" s="13">
        <f t="array" ref="BP6">MATCH(MAX(ABS(BP3:BP5)),ABS(BP3:BP5),0)</f>
        <v>1</v>
      </c>
      <c r="BQ6" s="13">
        <f t="array" ref="BQ6">MATCH(MAX(ABS(BQ3:BQ5)),ABS(BQ3:BQ5),0)</f>
        <v>1</v>
      </c>
      <c r="BR6" s="13">
        <f t="array" ref="BR6">MATCH(MAX(ABS(BR3:BR5)),ABS(BR3:BR5),0)</f>
        <v>1</v>
      </c>
      <c r="BS6" s="13">
        <f t="array" ref="BS6">MATCH(MAX(ABS(BS3:BS5)),ABS(BS3:BS5),0)</f>
        <v>1</v>
      </c>
      <c r="BT6" s="13">
        <f t="array" ref="BT6">MATCH(MAX(ABS(BT3:BT5)),ABS(BT3:BT5),0)</f>
        <v>1</v>
      </c>
      <c r="BU6" s="13">
        <f t="array" ref="BU6">MATCH(MAX(ABS(BU3:BU5)),ABS(BU3:BU5),0)</f>
        <v>1</v>
      </c>
      <c r="BV6" s="13">
        <f t="array" ref="BV6">MATCH(MAX(ABS(BV3:BV5)),ABS(BV3:BV5),0)</f>
        <v>1</v>
      </c>
      <c r="BW6" s="13">
        <f t="array" ref="BW6">MATCH(MAX(ABS(BW3:BW5)),ABS(BW3:BW5),0)</f>
        <v>1</v>
      </c>
      <c r="BX6" s="13">
        <f t="array" ref="BX6">MATCH(MAX(ABS(BX3:BX5)),ABS(BX3:BX5),0)</f>
        <v>1</v>
      </c>
      <c r="BY6" s="13">
        <f t="array" ref="BY6">MATCH(MAX(ABS(BY3:BY5)),ABS(BY3:BY5),0)</f>
        <v>1</v>
      </c>
      <c r="BZ6" s="13">
        <f t="array" ref="BZ6">MATCH(MAX(ABS(BZ3:BZ5)),ABS(BZ3:BZ5),0)</f>
        <v>1</v>
      </c>
      <c r="CA6" s="13">
        <f t="array" ref="CA6">MATCH(MAX(ABS(CA3:CA5)),ABS(CA3:CA5),0)</f>
        <v>2</v>
      </c>
      <c r="CB6" s="13">
        <f t="array" ref="CB6">MATCH(MAX(ABS(CB3:CB5)),ABS(CB3:CB5),0)</f>
        <v>1</v>
      </c>
      <c r="CC6" s="13">
        <f t="array" ref="CC6">MATCH(MAX(ABS(CC3:CC5)),ABS(CC3:CC5),0)</f>
        <v>1</v>
      </c>
      <c r="CD6" s="13">
        <f t="array" ref="CD6">MATCH(MAX(ABS(CD3:CD5)),ABS(CD3:CD5),0)</f>
        <v>1</v>
      </c>
      <c r="CE6" s="13">
        <f t="array" ref="CE6">MATCH(MAX(ABS(CE3:CE5)),ABS(CE3:CE5),0)</f>
        <v>1</v>
      </c>
      <c r="CF6" s="13">
        <f t="array" ref="CF6">MATCH(MAX(ABS(CF3:CF5)),ABS(CF3:CF5),0)</f>
        <v>1</v>
      </c>
      <c r="CG6" s="13">
        <f t="array" ref="CG6">MATCH(MAX(ABS(CG3:CG5)),ABS(CG3:CG5),0)</f>
        <v>1</v>
      </c>
      <c r="CH6" s="13">
        <f t="array" ref="CH6">MATCH(MAX(ABS(CH3:CH5)),ABS(CH3:CH5),0)</f>
        <v>1</v>
      </c>
      <c r="CI6" s="13">
        <f t="array" ref="CI6">MATCH(MAX(ABS(CI3:CI5)),ABS(CI3:CI5),0)</f>
        <v>1</v>
      </c>
      <c r="CJ6" s="13">
        <f t="array" ref="CJ6">MATCH(MAX(ABS(CJ3:CJ5)),ABS(CJ3:CJ5),0)</f>
        <v>1</v>
      </c>
      <c r="CK6" s="13">
        <f t="array" ref="CK6">MATCH(MAX(ABS(CK3:CK5)),ABS(CK3:CK5),0)</f>
        <v>1</v>
      </c>
      <c r="CL6" s="13">
        <f t="array" ref="CL6">MATCH(MAX(ABS(CL3:CL5)),ABS(CL3:CL5),0)</f>
        <v>1</v>
      </c>
      <c r="CM6" s="13">
        <f t="array" ref="CM6">MATCH(MAX(ABS(CM3:CM5)),ABS(CM3:CM5),0)</f>
        <v>1</v>
      </c>
      <c r="CN6" s="13">
        <f t="array" ref="CN6">MATCH(MAX(ABS(CN3:CN5)),ABS(CN3:CN5),0)</f>
        <v>1</v>
      </c>
      <c r="CO6" s="13">
        <f t="array" ref="CO6">MATCH(MAX(ABS(CO3:CO5)),ABS(CO3:CO5),0)</f>
        <v>1</v>
      </c>
      <c r="CP6" s="13">
        <f t="array" ref="CP6">MATCH(MAX(ABS(CP3:CP5)),ABS(CP3:CP5),0)</f>
        <v>1</v>
      </c>
      <c r="CQ6" s="13">
        <f t="array" ref="CQ6">MATCH(MAX(ABS(CQ3:CQ5)),ABS(CQ3:CQ5),0)</f>
        <v>1</v>
      </c>
      <c r="CR6" s="13">
        <f t="array" ref="CR6">MATCH(MAX(ABS(CR3:CR5)),ABS(CR3:CR5),0)</f>
        <v>1</v>
      </c>
      <c r="CS6" s="13">
        <f t="array" ref="CS6">MATCH(MAX(ABS(CS3:CS5)),ABS(CS3:CS5),0)</f>
        <v>1</v>
      </c>
      <c r="CT6" s="13">
        <f t="array" ref="CT6">MATCH(MAX(ABS(CT3:CT5)),ABS(CT3:CT5),0)</f>
        <v>1</v>
      </c>
      <c r="CU6" s="13">
        <f t="array" ref="CU6">MATCH(MAX(ABS(CU3:CU5)),ABS(CU3:CU5),0)</f>
        <v>1</v>
      </c>
      <c r="CV6" s="13">
        <f t="array" ref="CV6">MATCH(MAX(ABS(CV3:CV5)),ABS(CV3:CV5),0)</f>
        <v>1</v>
      </c>
      <c r="CW6" s="13">
        <f t="array" ref="CW6">MATCH(MAX(ABS(CW3:CW5)),ABS(CW3:CW5),0)</f>
        <v>1</v>
      </c>
      <c r="CX6" s="13">
        <f t="array" ref="CX6">MATCH(MAX(ABS(CX3:CX5)),ABS(CX3:CX5),0)</f>
        <v>1</v>
      </c>
      <c r="CY6" s="13">
        <f t="array" ref="CY6">MATCH(MAX(ABS(CY3:CY5)),ABS(CY3:CY5),0)</f>
        <v>1</v>
      </c>
      <c r="CZ6" s="13">
        <f t="array" ref="CZ6">MATCH(MAX(ABS(CZ3:CZ5)),ABS(CZ3:CZ5),0)</f>
        <v>1</v>
      </c>
      <c r="DA6" s="13">
        <f t="array" ref="DA6">MATCH(MAX(ABS(DA3:DA5)),ABS(DA3:DA5),0)</f>
        <v>1</v>
      </c>
      <c r="DB6" s="13">
        <f t="array" ref="DB6">MATCH(MAX(ABS(DB3:DB5)),ABS(DB3:DB5),0)</f>
        <v>1</v>
      </c>
      <c r="DC6" s="13">
        <f t="array" ref="DC6">MATCH(MAX(ABS(DC3:DC5)),ABS(DC3:DC5),0)</f>
        <v>1</v>
      </c>
      <c r="DD6" s="13">
        <f t="array" ref="DD6">MATCH(MAX(ABS(DD3:DD5)),ABS(DD3:DD5),0)</f>
        <v>1</v>
      </c>
      <c r="DE6" s="13">
        <f t="array" ref="DE6">MATCH(MAX(ABS(DE3:DE5)),ABS(DE3:DE5),0)</f>
        <v>1</v>
      </c>
      <c r="DF6" s="13">
        <f t="array" ref="DF6">MATCH(MAX(ABS(DF3:DF5)),ABS(DF3:DF5),0)</f>
        <v>1</v>
      </c>
      <c r="DG6" s="13">
        <f t="array" ref="DG6">MATCH(MAX(ABS(DG3:DG5)),ABS(DG3:DG5),0)</f>
        <v>1</v>
      </c>
      <c r="DH6" s="13">
        <f t="array" ref="DH6">MATCH(MAX(ABS(DH3:DH5)),ABS(DH3:DH5),0)</f>
        <v>1</v>
      </c>
      <c r="DI6" s="13">
        <f t="array" ref="DI6">MATCH(MAX(ABS(DI3:DI5)),ABS(DI3:DI5),0)</f>
        <v>1</v>
      </c>
      <c r="DJ6" s="13">
        <f t="array" ref="DJ6">MATCH(MAX(ABS(DJ3:DJ5)),ABS(DJ3:DJ5),0)</f>
        <v>1</v>
      </c>
      <c r="DK6" s="13">
        <f t="array" ref="DK6">MATCH(MAX(ABS(DK3:DK5)),ABS(DK3:DK5),0)</f>
        <v>1</v>
      </c>
      <c r="DL6" s="13">
        <f t="array" ref="DL6">MATCH(MAX(ABS(DL3:DL5)),ABS(DL3:DL5),0)</f>
        <v>1</v>
      </c>
      <c r="DM6" s="13">
        <f t="array" ref="DM6">MATCH(MAX(ABS(DM3:DM5)),ABS(DM3:DM5),0)</f>
        <v>1</v>
      </c>
      <c r="DN6" s="13">
        <f t="array" ref="DN6">MATCH(MAX(ABS(DN3:DN5)),ABS(DN3:DN5),0)</f>
        <v>1</v>
      </c>
      <c r="DO6" s="13">
        <f t="array" ref="DO6">MATCH(MAX(ABS(DO3:DO5)),ABS(DO3:DO5),0)</f>
        <v>1</v>
      </c>
      <c r="DP6" s="13">
        <f t="array" ref="DP6">MATCH(MAX(ABS(DP3:DP5)),ABS(DP3:DP5),0)</f>
        <v>1</v>
      </c>
      <c r="DQ6" s="13">
        <f t="array" ref="DQ6">MATCH(MAX(ABS(DQ3:DQ5)),ABS(DQ3:DQ5),0)</f>
        <v>1</v>
      </c>
      <c r="DR6" s="13">
        <f t="array" ref="DR6">MATCH(MAX(ABS(DR3:DR5)),ABS(DR3:DR5),0)</f>
        <v>1</v>
      </c>
      <c r="DS6" s="13">
        <f t="array" ref="DS6">MATCH(MAX(ABS(DS3:DS5)),ABS(DS3:DS5),0)</f>
        <v>1</v>
      </c>
      <c r="DT6" s="13">
        <f t="array" ref="DT6">MATCH(MAX(ABS(DT3:DT5)),ABS(DT3:DT5),0)</f>
        <v>1</v>
      </c>
      <c r="DU6" s="13">
        <f t="array" ref="DU6">MATCH(MAX(ABS(DU3:DU5)),ABS(DU3:DU5),0)</f>
        <v>1</v>
      </c>
      <c r="DV6" s="13">
        <f t="array" ref="DV6">MATCH(MAX(ABS(DV3:DV5)),ABS(DV3:DV5),0)</f>
        <v>1</v>
      </c>
      <c r="DW6" s="13">
        <f t="array" ref="DW6">MATCH(MAX(ABS(DW3:DW5)),ABS(DW3:DW5),0)</f>
        <v>1</v>
      </c>
      <c r="DX6" s="13">
        <f t="array" ref="DX6">MATCH(MAX(ABS(DX3:DX5)),ABS(DX3:DX5),0)</f>
        <v>1</v>
      </c>
      <c r="DY6" s="13">
        <f t="array" ref="DY6">MATCH(MAX(ABS(DY3:DY5)),ABS(DY3:DY5),0)</f>
        <v>1</v>
      </c>
      <c r="DZ6" s="13">
        <f t="array" ref="DZ6">MATCH(MAX(ABS(DZ3:DZ5)),ABS(DZ3:DZ5),0)</f>
        <v>1</v>
      </c>
      <c r="EA6" s="13">
        <f t="array" ref="EA6">MATCH(MAX(ABS(EA3:EA5)),ABS(EA3:EA5),0)</f>
        <v>1</v>
      </c>
      <c r="EB6" s="13">
        <f t="array" ref="EB6">MATCH(MAX(ABS(EB3:EB5)),ABS(EB3:EB5),0)</f>
        <v>1</v>
      </c>
      <c r="EC6" s="13">
        <f t="array" ref="EC6">MATCH(MAX(ABS(EC3:EC5)),ABS(EC3:EC5),0)</f>
        <v>1</v>
      </c>
      <c r="ED6" s="13">
        <f t="array" ref="ED6">MATCH(MAX(ABS(ED3:ED5)),ABS(ED3:ED5),0)</f>
        <v>1</v>
      </c>
      <c r="EE6" s="13">
        <f t="array" ref="EE6">MATCH(MAX(ABS(EE3:EE5)),ABS(EE3:EE5),0)</f>
        <v>1</v>
      </c>
      <c r="EF6" s="13">
        <f t="array" ref="EF6">MATCH(MAX(ABS(EF3:EF5)),ABS(EF3:EF5),0)</f>
        <v>1</v>
      </c>
    </row>
    <row r="7" spans="1:139">
      <c r="C7" s="14" t="str">
        <f t="shared" ref="C7:AH7" si="0">IF(C6=1,"bm",IF(C6=2,"size",IF(C6=3,"mom")))</f>
        <v>bm</v>
      </c>
      <c r="D7" s="14" t="str">
        <f t="shared" si="0"/>
        <v>size</v>
      </c>
      <c r="E7" s="14" t="str">
        <f t="shared" si="0"/>
        <v>bm</v>
      </c>
      <c r="F7" s="14" t="str">
        <f t="shared" si="0"/>
        <v>size</v>
      </c>
      <c r="G7" s="14" t="str">
        <f t="shared" si="0"/>
        <v>bm</v>
      </c>
      <c r="H7" s="14" t="str">
        <f t="shared" si="0"/>
        <v>size</v>
      </c>
      <c r="I7" s="14" t="str">
        <f t="shared" si="0"/>
        <v>size</v>
      </c>
      <c r="J7" s="14" t="str">
        <f t="shared" si="0"/>
        <v>size</v>
      </c>
      <c r="K7" s="14" t="str">
        <f t="shared" si="0"/>
        <v>bm</v>
      </c>
      <c r="L7" s="14" t="str">
        <f t="shared" si="0"/>
        <v>bm</v>
      </c>
      <c r="M7" s="14" t="str">
        <f t="shared" si="0"/>
        <v>size</v>
      </c>
      <c r="N7" s="14" t="str">
        <f t="shared" si="0"/>
        <v>size</v>
      </c>
      <c r="O7" s="14" t="str">
        <f t="shared" si="0"/>
        <v>size</v>
      </c>
      <c r="P7" s="14" t="str">
        <f t="shared" si="0"/>
        <v>size</v>
      </c>
      <c r="Q7" s="14" t="str">
        <f t="shared" si="0"/>
        <v>size</v>
      </c>
      <c r="R7" s="14" t="str">
        <f t="shared" si="0"/>
        <v>size</v>
      </c>
      <c r="S7" s="14" t="str">
        <f t="shared" si="0"/>
        <v>size</v>
      </c>
      <c r="T7" s="14" t="str">
        <f t="shared" si="0"/>
        <v>size</v>
      </c>
      <c r="U7" s="14" t="str">
        <f t="shared" si="0"/>
        <v>size</v>
      </c>
      <c r="V7" s="14" t="str">
        <f t="shared" si="0"/>
        <v>size</v>
      </c>
      <c r="W7" s="14" t="str">
        <f t="shared" si="0"/>
        <v>size</v>
      </c>
      <c r="X7" s="14" t="str">
        <f t="shared" si="0"/>
        <v>size</v>
      </c>
      <c r="Y7" s="14" t="str">
        <f t="shared" si="0"/>
        <v>size</v>
      </c>
      <c r="Z7" s="14" t="str">
        <f t="shared" si="0"/>
        <v>size</v>
      </c>
      <c r="AA7" s="14" t="str">
        <f t="shared" si="0"/>
        <v>bm</v>
      </c>
      <c r="AB7" s="14" t="str">
        <f t="shared" si="0"/>
        <v>size</v>
      </c>
      <c r="AC7" s="14" t="str">
        <f t="shared" si="0"/>
        <v>size</v>
      </c>
      <c r="AD7" s="14" t="str">
        <f t="shared" si="0"/>
        <v>bm</v>
      </c>
      <c r="AE7" s="14" t="str">
        <f t="shared" si="0"/>
        <v>size</v>
      </c>
      <c r="AF7" s="14" t="str">
        <f t="shared" si="0"/>
        <v>bm</v>
      </c>
      <c r="AG7" s="14" t="str">
        <f t="shared" si="0"/>
        <v>size</v>
      </c>
      <c r="AH7" s="14" t="str">
        <f t="shared" si="0"/>
        <v>bm</v>
      </c>
      <c r="AI7" s="14" t="str">
        <f t="shared" ref="AI7:BN7" si="1">IF(AI6=1,"bm",IF(AI6=2,"size",IF(AI6=3,"mom")))</f>
        <v>size</v>
      </c>
      <c r="AJ7" s="14" t="str">
        <f t="shared" si="1"/>
        <v>size</v>
      </c>
      <c r="AK7" s="14" t="str">
        <f t="shared" si="1"/>
        <v>size</v>
      </c>
      <c r="AL7" s="14" t="str">
        <f t="shared" si="1"/>
        <v>bm</v>
      </c>
      <c r="AM7" s="14" t="str">
        <f t="shared" si="1"/>
        <v>bm</v>
      </c>
      <c r="AN7" s="14" t="str">
        <f t="shared" si="1"/>
        <v>bm</v>
      </c>
      <c r="AO7" s="14" t="str">
        <f t="shared" si="1"/>
        <v>bm</v>
      </c>
      <c r="AP7" s="14" t="str">
        <f t="shared" si="1"/>
        <v>size</v>
      </c>
      <c r="AQ7" s="14" t="str">
        <f t="shared" si="1"/>
        <v>bm</v>
      </c>
      <c r="AR7" s="14" t="str">
        <f t="shared" si="1"/>
        <v>bm</v>
      </c>
      <c r="AS7" s="14" t="str">
        <f t="shared" si="1"/>
        <v>bm</v>
      </c>
      <c r="AT7" s="14" t="str">
        <f t="shared" si="1"/>
        <v>bm</v>
      </c>
      <c r="AU7" s="14" t="str">
        <f t="shared" si="1"/>
        <v>bm</v>
      </c>
      <c r="AV7" s="14" t="str">
        <f t="shared" si="1"/>
        <v>bm</v>
      </c>
      <c r="AW7" s="14" t="str">
        <f t="shared" si="1"/>
        <v>bm</v>
      </c>
      <c r="AX7" s="14" t="str">
        <f t="shared" si="1"/>
        <v>size</v>
      </c>
      <c r="AY7" s="14" t="str">
        <f t="shared" si="1"/>
        <v>bm</v>
      </c>
      <c r="AZ7" s="14" t="str">
        <f t="shared" si="1"/>
        <v>bm</v>
      </c>
      <c r="BA7" s="14" t="str">
        <f t="shared" si="1"/>
        <v>bm</v>
      </c>
      <c r="BB7" s="14" t="str">
        <f t="shared" si="1"/>
        <v>bm</v>
      </c>
      <c r="BC7" s="14" t="str">
        <f t="shared" si="1"/>
        <v>bm</v>
      </c>
      <c r="BD7" s="14" t="str">
        <f t="shared" si="1"/>
        <v>bm</v>
      </c>
      <c r="BE7" s="14" t="str">
        <f t="shared" si="1"/>
        <v>bm</v>
      </c>
      <c r="BF7" s="14" t="str">
        <f t="shared" si="1"/>
        <v>bm</v>
      </c>
      <c r="BG7" s="14" t="str">
        <f t="shared" si="1"/>
        <v>bm</v>
      </c>
      <c r="BH7" s="14" t="str">
        <f t="shared" si="1"/>
        <v>bm</v>
      </c>
      <c r="BI7" s="14" t="str">
        <f t="shared" si="1"/>
        <v>bm</v>
      </c>
      <c r="BJ7" s="14" t="str">
        <f t="shared" si="1"/>
        <v>bm</v>
      </c>
      <c r="BK7" s="14" t="str">
        <f t="shared" si="1"/>
        <v>bm</v>
      </c>
      <c r="BL7" s="14" t="str">
        <f t="shared" si="1"/>
        <v>bm</v>
      </c>
      <c r="BM7" s="14" t="str">
        <f t="shared" si="1"/>
        <v>bm</v>
      </c>
      <c r="BN7" s="14" t="str">
        <f t="shared" si="1"/>
        <v>bm</v>
      </c>
      <c r="BO7" s="14" t="str">
        <f t="shared" ref="BO7:CT7" si="2">IF(BO6=1,"bm",IF(BO6=2,"size",IF(BO6=3,"mom")))</f>
        <v>bm</v>
      </c>
      <c r="BP7" s="14" t="str">
        <f t="shared" si="2"/>
        <v>bm</v>
      </c>
      <c r="BQ7" s="14" t="str">
        <f t="shared" si="2"/>
        <v>bm</v>
      </c>
      <c r="BR7" s="14" t="str">
        <f t="shared" si="2"/>
        <v>bm</v>
      </c>
      <c r="BS7" s="14" t="str">
        <f t="shared" si="2"/>
        <v>bm</v>
      </c>
      <c r="BT7" s="14" t="str">
        <f t="shared" si="2"/>
        <v>bm</v>
      </c>
      <c r="BU7" s="14" t="str">
        <f t="shared" si="2"/>
        <v>bm</v>
      </c>
      <c r="BV7" s="14" t="str">
        <f t="shared" si="2"/>
        <v>bm</v>
      </c>
      <c r="BW7" s="14" t="str">
        <f t="shared" si="2"/>
        <v>bm</v>
      </c>
      <c r="BX7" s="14" t="str">
        <f t="shared" si="2"/>
        <v>bm</v>
      </c>
      <c r="BY7" s="14" t="str">
        <f t="shared" si="2"/>
        <v>bm</v>
      </c>
      <c r="BZ7" s="14" t="str">
        <f t="shared" si="2"/>
        <v>bm</v>
      </c>
      <c r="CA7" s="14" t="str">
        <f t="shared" si="2"/>
        <v>size</v>
      </c>
      <c r="CB7" s="14" t="str">
        <f t="shared" si="2"/>
        <v>bm</v>
      </c>
      <c r="CC7" s="14" t="str">
        <f t="shared" si="2"/>
        <v>bm</v>
      </c>
      <c r="CD7" s="14" t="str">
        <f t="shared" si="2"/>
        <v>bm</v>
      </c>
      <c r="CE7" s="14" t="str">
        <f t="shared" si="2"/>
        <v>bm</v>
      </c>
      <c r="CF7" s="14" t="str">
        <f t="shared" si="2"/>
        <v>bm</v>
      </c>
      <c r="CG7" s="14" t="str">
        <f t="shared" si="2"/>
        <v>bm</v>
      </c>
      <c r="CH7" s="14" t="str">
        <f t="shared" si="2"/>
        <v>bm</v>
      </c>
      <c r="CI7" s="14" t="str">
        <f t="shared" si="2"/>
        <v>bm</v>
      </c>
      <c r="CJ7" s="14" t="str">
        <f t="shared" si="2"/>
        <v>bm</v>
      </c>
      <c r="CK7" s="14" t="str">
        <f t="shared" si="2"/>
        <v>bm</v>
      </c>
      <c r="CL7" s="14" t="str">
        <f t="shared" si="2"/>
        <v>bm</v>
      </c>
      <c r="CM7" s="14" t="str">
        <f t="shared" si="2"/>
        <v>bm</v>
      </c>
      <c r="CN7" s="14" t="str">
        <f t="shared" si="2"/>
        <v>bm</v>
      </c>
      <c r="CO7" s="14" t="str">
        <f t="shared" si="2"/>
        <v>bm</v>
      </c>
      <c r="CP7" s="14" t="str">
        <f t="shared" si="2"/>
        <v>bm</v>
      </c>
      <c r="CQ7" s="14" t="str">
        <f t="shared" si="2"/>
        <v>bm</v>
      </c>
      <c r="CR7" s="14" t="str">
        <f t="shared" si="2"/>
        <v>bm</v>
      </c>
      <c r="CS7" s="14" t="str">
        <f t="shared" si="2"/>
        <v>bm</v>
      </c>
      <c r="CT7" s="14" t="str">
        <f t="shared" si="2"/>
        <v>bm</v>
      </c>
      <c r="CU7" s="14" t="str">
        <f t="shared" ref="CU7:DZ7" si="3">IF(CU6=1,"bm",IF(CU6=2,"size",IF(CU6=3,"mom")))</f>
        <v>bm</v>
      </c>
      <c r="CV7" s="14" t="str">
        <f t="shared" si="3"/>
        <v>bm</v>
      </c>
      <c r="CW7" s="14" t="str">
        <f t="shared" si="3"/>
        <v>bm</v>
      </c>
      <c r="CX7" s="14" t="str">
        <f t="shared" si="3"/>
        <v>bm</v>
      </c>
      <c r="CY7" s="14" t="str">
        <f t="shared" si="3"/>
        <v>bm</v>
      </c>
      <c r="CZ7" s="14" t="str">
        <f t="shared" si="3"/>
        <v>bm</v>
      </c>
      <c r="DA7" s="14" t="str">
        <f t="shared" si="3"/>
        <v>bm</v>
      </c>
      <c r="DB7" s="14" t="str">
        <f t="shared" si="3"/>
        <v>bm</v>
      </c>
      <c r="DC7" s="14" t="str">
        <f t="shared" si="3"/>
        <v>bm</v>
      </c>
      <c r="DD7" s="14" t="str">
        <f t="shared" si="3"/>
        <v>bm</v>
      </c>
      <c r="DE7" s="14" t="str">
        <f t="shared" si="3"/>
        <v>bm</v>
      </c>
      <c r="DF7" s="14" t="str">
        <f t="shared" si="3"/>
        <v>bm</v>
      </c>
      <c r="DG7" s="14" t="str">
        <f t="shared" si="3"/>
        <v>bm</v>
      </c>
      <c r="DH7" s="14" t="str">
        <f t="shared" si="3"/>
        <v>bm</v>
      </c>
      <c r="DI7" s="14" t="str">
        <f t="shared" si="3"/>
        <v>bm</v>
      </c>
      <c r="DJ7" s="14" t="str">
        <f t="shared" si="3"/>
        <v>bm</v>
      </c>
      <c r="DK7" s="14" t="str">
        <f t="shared" si="3"/>
        <v>bm</v>
      </c>
      <c r="DL7" s="14" t="str">
        <f t="shared" si="3"/>
        <v>bm</v>
      </c>
      <c r="DM7" s="14" t="str">
        <f t="shared" si="3"/>
        <v>bm</v>
      </c>
      <c r="DN7" s="14" t="str">
        <f t="shared" si="3"/>
        <v>bm</v>
      </c>
      <c r="DO7" s="14" t="str">
        <f t="shared" si="3"/>
        <v>bm</v>
      </c>
      <c r="DP7" s="14" t="str">
        <f t="shared" si="3"/>
        <v>bm</v>
      </c>
      <c r="DQ7" s="14" t="str">
        <f t="shared" si="3"/>
        <v>bm</v>
      </c>
      <c r="DR7" s="14" t="str">
        <f t="shared" si="3"/>
        <v>bm</v>
      </c>
      <c r="DS7" s="14" t="str">
        <f t="shared" si="3"/>
        <v>bm</v>
      </c>
      <c r="DT7" s="14" t="str">
        <f t="shared" si="3"/>
        <v>bm</v>
      </c>
      <c r="DU7" s="14" t="str">
        <f t="shared" si="3"/>
        <v>bm</v>
      </c>
      <c r="DV7" s="14" t="str">
        <f t="shared" si="3"/>
        <v>bm</v>
      </c>
      <c r="DW7" s="14" t="str">
        <f t="shared" si="3"/>
        <v>bm</v>
      </c>
      <c r="DX7" s="14" t="str">
        <f t="shared" si="3"/>
        <v>bm</v>
      </c>
      <c r="DY7" s="14" t="str">
        <f t="shared" si="3"/>
        <v>bm</v>
      </c>
      <c r="DZ7" s="14" t="str">
        <f t="shared" si="3"/>
        <v>bm</v>
      </c>
      <c r="EA7" s="14" t="str">
        <f t="shared" ref="EA7:EF7" si="4">IF(EA6=1,"bm",IF(EA6=2,"size",IF(EA6=3,"mom")))</f>
        <v>bm</v>
      </c>
      <c r="EB7" s="14" t="str">
        <f t="shared" si="4"/>
        <v>bm</v>
      </c>
      <c r="EC7" s="14" t="str">
        <f t="shared" si="4"/>
        <v>bm</v>
      </c>
      <c r="ED7" s="14" t="str">
        <f t="shared" si="4"/>
        <v>bm</v>
      </c>
      <c r="EE7" s="14" t="str">
        <f t="shared" si="4"/>
        <v>bm</v>
      </c>
      <c r="EF7" s="14" t="str">
        <f t="shared" si="4"/>
        <v>bm</v>
      </c>
    </row>
    <row r="8" spans="1:139">
      <c r="C8" s="13">
        <f t="shared" ref="C8:AH8" si="5">IF(C6=1,C3,IF(C6=2,C4,IF(C6=3,C5)))</f>
        <v>3.1330205500125892E-2</v>
      </c>
      <c r="D8" s="13">
        <f t="shared" si="5"/>
        <v>-3.2528996467590332E-2</v>
      </c>
      <c r="E8" s="13">
        <f t="shared" si="5"/>
        <v>2.9643896967172619E-2</v>
      </c>
      <c r="F8" s="13">
        <f t="shared" si="5"/>
        <v>-3.0678801238536831E-2</v>
      </c>
      <c r="G8" s="13">
        <f t="shared" si="5"/>
        <v>4.1800491511821747E-2</v>
      </c>
      <c r="H8" s="13">
        <f t="shared" si="5"/>
        <v>-2.7283268049359322E-2</v>
      </c>
      <c r="I8" s="13">
        <f t="shared" si="5"/>
        <v>-3.6774773150682449E-2</v>
      </c>
      <c r="J8" s="13">
        <f t="shared" si="5"/>
        <v>-3.694760799407959E-2</v>
      </c>
      <c r="K8" s="13">
        <f t="shared" si="5"/>
        <v>3.5791270434856408E-2</v>
      </c>
      <c r="L8" s="13">
        <f t="shared" si="5"/>
        <v>6.6725820302963257E-2</v>
      </c>
      <c r="M8" s="13">
        <f t="shared" si="5"/>
        <v>-3.6390375345945358E-2</v>
      </c>
      <c r="N8" s="13">
        <f t="shared" si="5"/>
        <v>-2.7910143136978149E-2</v>
      </c>
      <c r="O8" s="13">
        <f t="shared" si="5"/>
        <v>-3.4657396376132972E-2</v>
      </c>
      <c r="P8" s="13">
        <f t="shared" si="5"/>
        <v>-3.7157066166400909E-2</v>
      </c>
      <c r="Q8" s="13">
        <f t="shared" si="5"/>
        <v>-3.2246530055999763E-2</v>
      </c>
      <c r="R8" s="13">
        <f t="shared" si="5"/>
        <v>-3.2251663506031043E-2</v>
      </c>
      <c r="S8" s="13">
        <f t="shared" si="5"/>
        <v>-2.9913196340203289E-2</v>
      </c>
      <c r="T8" s="13">
        <f t="shared" si="5"/>
        <v>-2.9206940904259682E-2</v>
      </c>
      <c r="U8" s="13">
        <f t="shared" si="5"/>
        <v>-2.8744202107191089E-2</v>
      </c>
      <c r="V8" s="13">
        <f t="shared" si="5"/>
        <v>-2.8017682954668999E-2</v>
      </c>
      <c r="W8" s="13">
        <f t="shared" si="5"/>
        <v>-2.7434077113866809E-2</v>
      </c>
      <c r="X8" s="13">
        <f t="shared" si="5"/>
        <v>-2.876461856067181E-2</v>
      </c>
      <c r="Y8" s="13">
        <f t="shared" si="5"/>
        <v>-3.1099813058972359E-2</v>
      </c>
      <c r="Z8" s="13">
        <f t="shared" si="5"/>
        <v>-3.0133392661809921E-2</v>
      </c>
      <c r="AA8" s="13">
        <f t="shared" si="5"/>
        <v>7.4403420090675354E-2</v>
      </c>
      <c r="AB8" s="13">
        <f t="shared" si="5"/>
        <v>-2.964571118354797E-2</v>
      </c>
      <c r="AC8" s="13">
        <f t="shared" si="5"/>
        <v>-2.9567878693342209E-2</v>
      </c>
      <c r="AD8" s="13">
        <f t="shared" si="5"/>
        <v>-3.129136934876442E-2</v>
      </c>
      <c r="AE8" s="13">
        <f t="shared" si="5"/>
        <v>-2.8935028240084652E-2</v>
      </c>
      <c r="AF8" s="13">
        <f t="shared" si="5"/>
        <v>-3.5181421786546707E-2</v>
      </c>
      <c r="AG8" s="13">
        <f t="shared" si="5"/>
        <v>-2.828941494226456E-2</v>
      </c>
      <c r="AH8" s="13">
        <f t="shared" si="5"/>
        <v>-2.2227592766284939E-2</v>
      </c>
      <c r="AI8" s="13">
        <f t="shared" ref="AI8:BN8" si="6">IF(AI6=1,AI3,IF(AI6=2,AI4,IF(AI6=3,AI5)))</f>
        <v>-4.0709320455789573E-2</v>
      </c>
      <c r="AJ8" s="13">
        <f t="shared" si="6"/>
        <v>-3.4136712551116943E-2</v>
      </c>
      <c r="AK8" s="13">
        <f t="shared" si="6"/>
        <v>-2.7761854231357571E-2</v>
      </c>
      <c r="AL8" s="13">
        <f t="shared" si="6"/>
        <v>6.0541510581970208E-2</v>
      </c>
      <c r="AM8" s="13">
        <f t="shared" si="6"/>
        <v>4.2939703911542892E-2</v>
      </c>
      <c r="AN8" s="13">
        <f t="shared" si="6"/>
        <v>4.6451166272163391E-2</v>
      </c>
      <c r="AO8" s="13">
        <f t="shared" si="6"/>
        <v>4.6414647251367569E-2</v>
      </c>
      <c r="AP8" s="13">
        <f t="shared" si="6"/>
        <v>-3.5248521715402603E-2</v>
      </c>
      <c r="AQ8" s="13">
        <f t="shared" si="6"/>
        <v>4.9711406230926507E-2</v>
      </c>
      <c r="AR8" s="13">
        <f t="shared" si="6"/>
        <v>4.072609543800354E-2</v>
      </c>
      <c r="AS8" s="13">
        <f t="shared" si="6"/>
        <v>3.7940710783004761E-2</v>
      </c>
      <c r="AT8" s="13">
        <f t="shared" si="6"/>
        <v>4.3215282261371613E-2</v>
      </c>
      <c r="AU8" s="13">
        <f t="shared" si="6"/>
        <v>3.5848293453454971E-2</v>
      </c>
      <c r="AV8" s="13">
        <f t="shared" si="6"/>
        <v>4.8106551170349121E-2</v>
      </c>
      <c r="AW8" s="13">
        <f t="shared" si="6"/>
        <v>0.25755825638771063</v>
      </c>
      <c r="AX8" s="13">
        <f t="shared" si="6"/>
        <v>-2.6401566341519359E-2</v>
      </c>
      <c r="AY8" s="13">
        <f t="shared" si="6"/>
        <v>5.6368216872215271E-2</v>
      </c>
      <c r="AZ8" s="13">
        <f t="shared" si="6"/>
        <v>4.440823569893837E-2</v>
      </c>
      <c r="BA8" s="13">
        <f t="shared" si="6"/>
        <v>4.0217362344264977E-2</v>
      </c>
      <c r="BB8" s="13">
        <f t="shared" si="6"/>
        <v>3.9215490221977227E-2</v>
      </c>
      <c r="BC8" s="13">
        <f t="shared" si="6"/>
        <v>5.1480397582054138E-2</v>
      </c>
      <c r="BD8" s="13">
        <f t="shared" si="6"/>
        <v>4.9942176789045327E-2</v>
      </c>
      <c r="BE8" s="13">
        <f t="shared" si="6"/>
        <v>4.9302525818347931E-2</v>
      </c>
      <c r="BF8" s="13">
        <f t="shared" si="6"/>
        <v>5.0215017050504678E-2</v>
      </c>
      <c r="BG8" s="13">
        <f t="shared" si="6"/>
        <v>4.4806387275457382E-2</v>
      </c>
      <c r="BH8" s="13">
        <f t="shared" si="6"/>
        <v>7.2218522429466248E-2</v>
      </c>
      <c r="BI8" s="13">
        <f t="shared" si="6"/>
        <v>5.3198006004095078E-2</v>
      </c>
      <c r="BJ8" s="13">
        <f t="shared" si="6"/>
        <v>5.0947383046150208E-2</v>
      </c>
      <c r="BK8" s="13">
        <f t="shared" si="6"/>
        <v>4.6847827732563019E-2</v>
      </c>
      <c r="BL8" s="13">
        <f t="shared" si="6"/>
        <v>5.1777664572000497E-2</v>
      </c>
      <c r="BM8" s="13">
        <f t="shared" si="6"/>
        <v>4.5751150697469711E-2</v>
      </c>
      <c r="BN8" s="13">
        <f t="shared" si="6"/>
        <v>5.1456984132528312E-2</v>
      </c>
      <c r="BO8" s="13">
        <f t="shared" ref="BO8:CT8" si="7">IF(BO6=1,BO3,IF(BO6=2,BO4,IF(BO6=3,BO5)))</f>
        <v>5.444614589214325E-2</v>
      </c>
      <c r="BP8" s="13">
        <f t="shared" si="7"/>
        <v>5.1880281418561942E-2</v>
      </c>
      <c r="BQ8" s="13">
        <f t="shared" si="7"/>
        <v>4.9081109464168549E-2</v>
      </c>
      <c r="BR8" s="13">
        <f t="shared" si="7"/>
        <v>3.0115354806184769E-2</v>
      </c>
      <c r="BS8" s="13">
        <f t="shared" si="7"/>
        <v>4.8800110816955573E-2</v>
      </c>
      <c r="BT8" s="13">
        <f t="shared" si="7"/>
        <v>4.8635218292474747E-2</v>
      </c>
      <c r="BU8" s="13">
        <f t="shared" si="7"/>
        <v>4.5633736997842789E-2</v>
      </c>
      <c r="BV8" s="13">
        <f t="shared" si="7"/>
        <v>4.947228729724884E-2</v>
      </c>
      <c r="BW8" s="13">
        <f t="shared" si="7"/>
        <v>4.4601880013942719E-2</v>
      </c>
      <c r="BX8" s="13">
        <f t="shared" si="7"/>
        <v>4.56710085272789E-2</v>
      </c>
      <c r="BY8" s="13">
        <f t="shared" si="7"/>
        <v>3.6897704005241387E-2</v>
      </c>
      <c r="BZ8" s="13">
        <f t="shared" si="7"/>
        <v>0.21394279599189761</v>
      </c>
      <c r="CA8" s="13">
        <f t="shared" si="7"/>
        <v>-3.2349672168493271E-2</v>
      </c>
      <c r="CB8" s="13">
        <f t="shared" si="7"/>
        <v>4.6074997633695602E-2</v>
      </c>
      <c r="CC8" s="13">
        <f t="shared" si="7"/>
        <v>7.2226598858833313E-2</v>
      </c>
      <c r="CD8" s="13">
        <f t="shared" si="7"/>
        <v>3.4700907766819E-2</v>
      </c>
      <c r="CE8" s="13">
        <f t="shared" si="7"/>
        <v>3.6362294107675552E-2</v>
      </c>
      <c r="CF8" s="13">
        <f t="shared" si="7"/>
        <v>4.7756139189004898E-2</v>
      </c>
      <c r="CG8" s="13">
        <f t="shared" si="7"/>
        <v>3.6376580595970147E-2</v>
      </c>
      <c r="CH8" s="13">
        <f t="shared" si="7"/>
        <v>4.3285507708787918E-2</v>
      </c>
      <c r="CI8" s="13">
        <f t="shared" si="7"/>
        <v>4.2804375290870673E-2</v>
      </c>
      <c r="CJ8" s="13">
        <f t="shared" si="7"/>
        <v>4.3789677321910858E-2</v>
      </c>
      <c r="CK8" s="13">
        <f t="shared" si="7"/>
        <v>4.193609207868576E-2</v>
      </c>
      <c r="CL8" s="13">
        <f t="shared" si="7"/>
        <v>4.5073911547660828E-2</v>
      </c>
      <c r="CM8" s="13">
        <f t="shared" si="7"/>
        <v>5.7426575571298599E-2</v>
      </c>
      <c r="CN8" s="13">
        <f t="shared" si="7"/>
        <v>4.8870686441659927E-2</v>
      </c>
      <c r="CO8" s="13">
        <f t="shared" si="7"/>
        <v>4.6467091888189323E-2</v>
      </c>
      <c r="CP8" s="13">
        <f t="shared" si="7"/>
        <v>4.5427285134792328E-2</v>
      </c>
      <c r="CQ8" s="13">
        <f t="shared" si="7"/>
        <v>4.3254118412733078E-2</v>
      </c>
      <c r="CR8" s="13">
        <f t="shared" si="7"/>
        <v>4.2831581085920327E-2</v>
      </c>
      <c r="CS8" s="13">
        <f t="shared" si="7"/>
        <v>4.1360333561897278E-2</v>
      </c>
      <c r="CT8" s="13">
        <f t="shared" si="7"/>
        <v>2.374728582799435E-2</v>
      </c>
      <c r="CU8" s="13">
        <f t="shared" ref="CU8:DZ8" si="8">IF(CU6=1,CU3,IF(CU6=2,CU4,IF(CU6=3,CU5)))</f>
        <v>3.9278171956539147E-2</v>
      </c>
      <c r="CV8" s="13">
        <f t="shared" si="8"/>
        <v>4.09957654774189E-2</v>
      </c>
      <c r="CW8" s="13">
        <f t="shared" si="8"/>
        <v>3.6699786782264709E-2</v>
      </c>
      <c r="CX8" s="13">
        <f t="shared" si="8"/>
        <v>3.8764949887990952E-2</v>
      </c>
      <c r="CY8" s="13">
        <f t="shared" si="8"/>
        <v>3.7805531173944473E-2</v>
      </c>
      <c r="CZ8" s="13">
        <f t="shared" si="8"/>
        <v>4.325726255774498E-2</v>
      </c>
      <c r="DA8" s="13">
        <f t="shared" si="8"/>
        <v>4.4850636273622513E-2</v>
      </c>
      <c r="DB8" s="13">
        <f t="shared" si="8"/>
        <v>4.3851811438798897E-2</v>
      </c>
      <c r="DC8" s="13">
        <f t="shared" si="8"/>
        <v>4.9191009253263467E-2</v>
      </c>
      <c r="DD8" s="13">
        <f t="shared" si="8"/>
        <v>4.212004691362381E-2</v>
      </c>
      <c r="DE8" s="13">
        <f t="shared" si="8"/>
        <v>4.7127000987529748E-2</v>
      </c>
      <c r="DF8" s="13">
        <f t="shared" si="8"/>
        <v>3.8079626858234412E-2</v>
      </c>
      <c r="DG8" s="13">
        <f t="shared" si="8"/>
        <v>3.8307089358568192E-2</v>
      </c>
      <c r="DH8" s="13">
        <f t="shared" si="8"/>
        <v>3.9209745824337013E-2</v>
      </c>
      <c r="DI8" s="13">
        <f t="shared" si="8"/>
        <v>5.0754562020301819E-2</v>
      </c>
      <c r="DJ8" s="13">
        <f t="shared" si="8"/>
        <v>4.9327295273542397E-2</v>
      </c>
      <c r="DK8" s="13">
        <f t="shared" si="8"/>
        <v>4.6511236578226089E-2</v>
      </c>
      <c r="DL8" s="13">
        <f t="shared" si="8"/>
        <v>4.22775037586689E-2</v>
      </c>
      <c r="DM8" s="13">
        <f t="shared" si="8"/>
        <v>3.2305262982845313E-2</v>
      </c>
      <c r="DN8" s="13">
        <f t="shared" si="8"/>
        <v>4.6072427183389657E-2</v>
      </c>
      <c r="DO8" s="13">
        <f t="shared" si="8"/>
        <v>4.8485249280929572E-2</v>
      </c>
      <c r="DP8" s="13">
        <f t="shared" si="8"/>
        <v>4.6022161841392517E-2</v>
      </c>
      <c r="DQ8" s="13">
        <f t="shared" si="8"/>
        <v>4.4537413865327842E-2</v>
      </c>
      <c r="DR8" s="13">
        <f t="shared" si="8"/>
        <v>4.4425271451473243E-2</v>
      </c>
      <c r="DS8" s="13">
        <f t="shared" si="8"/>
        <v>4.2646575719118118E-2</v>
      </c>
      <c r="DT8" s="13">
        <f t="shared" si="8"/>
        <v>4.6090584248304367E-2</v>
      </c>
      <c r="DU8" s="13">
        <f t="shared" si="8"/>
        <v>4.3128091841936111E-2</v>
      </c>
      <c r="DV8" s="13">
        <f t="shared" si="8"/>
        <v>4.1349083185195923E-2</v>
      </c>
      <c r="DW8" s="13">
        <f t="shared" si="8"/>
        <v>4.0377732366323471E-2</v>
      </c>
      <c r="DX8" s="13">
        <f t="shared" si="8"/>
        <v>4.6240631490945823E-2</v>
      </c>
      <c r="DY8" s="13">
        <f t="shared" si="8"/>
        <v>4.529276117682457E-2</v>
      </c>
      <c r="DZ8" s="13">
        <f t="shared" si="8"/>
        <v>3.8002155721187592E-2</v>
      </c>
      <c r="EA8" s="13">
        <f t="shared" ref="EA8:EF8" si="9">IF(EA6=1,EA3,IF(EA6=2,EA4,IF(EA6=3,EA5)))</f>
        <v>4.3337244540452957E-2</v>
      </c>
      <c r="EB8" s="13">
        <f t="shared" si="9"/>
        <v>3.5762075334787369E-2</v>
      </c>
      <c r="EC8" s="13">
        <f t="shared" si="9"/>
        <v>3.0851878225803379E-2</v>
      </c>
      <c r="ED8" s="13">
        <f t="shared" si="9"/>
        <v>4.0065716952085488E-2</v>
      </c>
      <c r="EE8" s="13">
        <f t="shared" si="9"/>
        <v>4.3372519314289093E-2</v>
      </c>
      <c r="EF8" s="13">
        <f t="shared" si="9"/>
        <v>4.6325836330652237E-2</v>
      </c>
    </row>
    <row r="10" spans="1:139">
      <c r="A10" s="23" t="s">
        <v>140</v>
      </c>
      <c r="B10" s="23"/>
      <c r="C10" s="23" t="s">
        <v>141</v>
      </c>
      <c r="D10" s="23">
        <v>964</v>
      </c>
    </row>
    <row r="11" spans="1:139">
      <c r="A11" s="23" t="s">
        <v>142</v>
      </c>
      <c r="B11" s="23" t="s">
        <v>143</v>
      </c>
      <c r="C11" s="23" t="s">
        <v>3</v>
      </c>
      <c r="D11" s="23" t="s">
        <v>4</v>
      </c>
      <c r="E11" s="23" t="s">
        <v>5</v>
      </c>
      <c r="F11" s="23" t="s">
        <v>6</v>
      </c>
      <c r="G11" s="23" t="s">
        <v>7</v>
      </c>
      <c r="H11" s="23" t="s">
        <v>8</v>
      </c>
      <c r="I11" s="23" t="s">
        <v>9</v>
      </c>
      <c r="J11" s="23" t="s">
        <v>10</v>
      </c>
      <c r="K11" s="23" t="s">
        <v>11</v>
      </c>
      <c r="L11" s="23" t="s">
        <v>12</v>
      </c>
      <c r="M11" s="23" t="s">
        <v>13</v>
      </c>
      <c r="N11" s="23" t="s">
        <v>14</v>
      </c>
      <c r="O11" s="23" t="s">
        <v>15</v>
      </c>
      <c r="P11" s="23" t="s">
        <v>16</v>
      </c>
      <c r="Q11" s="23" t="s">
        <v>17</v>
      </c>
      <c r="R11" s="23" t="s">
        <v>18</v>
      </c>
      <c r="S11" s="23" t="s">
        <v>19</v>
      </c>
      <c r="T11" s="23" t="s">
        <v>20</v>
      </c>
      <c r="U11" s="23" t="s">
        <v>21</v>
      </c>
      <c r="V11" s="23" t="s">
        <v>22</v>
      </c>
      <c r="W11" s="23" t="s">
        <v>23</v>
      </c>
      <c r="X11" s="23" t="s">
        <v>24</v>
      </c>
      <c r="Y11" s="23" t="s">
        <v>25</v>
      </c>
      <c r="Z11" s="23" t="s">
        <v>26</v>
      </c>
      <c r="AA11" s="23" t="s">
        <v>27</v>
      </c>
      <c r="AB11" s="23" t="s">
        <v>28</v>
      </c>
      <c r="AC11" s="23" t="s">
        <v>29</v>
      </c>
      <c r="AD11" s="23" t="s">
        <v>30</v>
      </c>
      <c r="AE11" s="23" t="s">
        <v>31</v>
      </c>
      <c r="AF11" s="23" t="s">
        <v>32</v>
      </c>
      <c r="AG11" s="23" t="s">
        <v>33</v>
      </c>
      <c r="AH11" s="23" t="s">
        <v>34</v>
      </c>
      <c r="AI11" s="23" t="s">
        <v>35</v>
      </c>
      <c r="AJ11" s="23" t="s">
        <v>36</v>
      </c>
      <c r="AK11" s="23" t="s">
        <v>37</v>
      </c>
      <c r="AL11" s="23" t="s">
        <v>38</v>
      </c>
      <c r="AM11" s="23" t="s">
        <v>39</v>
      </c>
      <c r="AN11" s="23" t="s">
        <v>40</v>
      </c>
      <c r="AO11" s="23" t="s">
        <v>41</v>
      </c>
      <c r="AP11" s="23" t="s">
        <v>42</v>
      </c>
      <c r="AQ11" s="23" t="s">
        <v>43</v>
      </c>
      <c r="AR11" s="23" t="s">
        <v>44</v>
      </c>
      <c r="AS11" s="23" t="s">
        <v>45</v>
      </c>
      <c r="AT11" s="23" t="s">
        <v>46</v>
      </c>
      <c r="AU11" s="23" t="s">
        <v>47</v>
      </c>
      <c r="AV11" s="23" t="s">
        <v>48</v>
      </c>
      <c r="AW11" s="23" t="s">
        <v>49</v>
      </c>
      <c r="AX11" s="23" t="s">
        <v>50</v>
      </c>
      <c r="AY11" s="23" t="s">
        <v>51</v>
      </c>
      <c r="AZ11" s="23" t="s">
        <v>52</v>
      </c>
      <c r="BA11" s="23" t="s">
        <v>53</v>
      </c>
      <c r="BB11" s="23" t="s">
        <v>54</v>
      </c>
      <c r="BC11" s="23" t="s">
        <v>55</v>
      </c>
      <c r="BD11" s="23" t="s">
        <v>56</v>
      </c>
      <c r="BE11" s="23" t="s">
        <v>57</v>
      </c>
      <c r="BF11" s="23" t="s">
        <v>58</v>
      </c>
      <c r="BG11" s="23" t="s">
        <v>59</v>
      </c>
      <c r="BH11" s="23" t="s">
        <v>60</v>
      </c>
      <c r="BI11" s="23" t="s">
        <v>61</v>
      </c>
      <c r="BJ11" s="23" t="s">
        <v>62</v>
      </c>
      <c r="BK11" s="23" t="s">
        <v>63</v>
      </c>
      <c r="BL11" s="23" t="s">
        <v>64</v>
      </c>
      <c r="BM11" s="23" t="s">
        <v>65</v>
      </c>
      <c r="BN11" s="23" t="s">
        <v>66</v>
      </c>
      <c r="BO11" s="23" t="s">
        <v>67</v>
      </c>
      <c r="BP11" s="23" t="s">
        <v>68</v>
      </c>
      <c r="BQ11" s="23" t="s">
        <v>69</v>
      </c>
      <c r="BR11" s="23" t="s">
        <v>70</v>
      </c>
      <c r="BS11" s="23" t="s">
        <v>71</v>
      </c>
      <c r="BT11" s="23" t="s">
        <v>72</v>
      </c>
      <c r="BU11" s="23" t="s">
        <v>73</v>
      </c>
      <c r="BV11" s="23" t="s">
        <v>74</v>
      </c>
      <c r="BW11" s="23" t="s">
        <v>75</v>
      </c>
      <c r="BX11" s="23" t="s">
        <v>76</v>
      </c>
      <c r="BY11" s="23" t="s">
        <v>77</v>
      </c>
      <c r="BZ11" s="23" t="s">
        <v>78</v>
      </c>
      <c r="CA11" s="23" t="s">
        <v>79</v>
      </c>
      <c r="CB11" s="23" t="s">
        <v>80</v>
      </c>
      <c r="CC11" s="23" t="s">
        <v>81</v>
      </c>
      <c r="CD11" s="23" t="s">
        <v>82</v>
      </c>
      <c r="CE11" s="23" t="s">
        <v>83</v>
      </c>
      <c r="CF11" s="23" t="s">
        <v>84</v>
      </c>
      <c r="CG11" s="23" t="s">
        <v>85</v>
      </c>
      <c r="CH11" s="23" t="s">
        <v>86</v>
      </c>
      <c r="CI11" s="23" t="s">
        <v>87</v>
      </c>
      <c r="CJ11" s="23" t="s">
        <v>88</v>
      </c>
      <c r="CK11" s="23" t="s">
        <v>89</v>
      </c>
      <c r="CL11" s="23" t="s">
        <v>90</v>
      </c>
      <c r="CM11" s="23" t="s">
        <v>91</v>
      </c>
      <c r="CN11" s="23" t="s">
        <v>92</v>
      </c>
      <c r="CO11" s="23" t="s">
        <v>93</v>
      </c>
      <c r="CP11" s="23" t="s">
        <v>94</v>
      </c>
      <c r="CQ11" s="23" t="s">
        <v>95</v>
      </c>
      <c r="CR11" s="23" t="s">
        <v>96</v>
      </c>
      <c r="CS11" s="23" t="s">
        <v>97</v>
      </c>
      <c r="CT11" s="23" t="s">
        <v>98</v>
      </c>
      <c r="CU11" s="23" t="s">
        <v>99</v>
      </c>
      <c r="CV11" s="23" t="s">
        <v>100</v>
      </c>
      <c r="CW11" s="23" t="s">
        <v>101</v>
      </c>
      <c r="CX11" s="23" t="s">
        <v>102</v>
      </c>
      <c r="CY11" s="23" t="s">
        <v>103</v>
      </c>
      <c r="CZ11" s="23" t="s">
        <v>104</v>
      </c>
      <c r="DA11" s="23" t="s">
        <v>105</v>
      </c>
      <c r="DB11" s="23" t="s">
        <v>106</v>
      </c>
      <c r="DC11" s="23" t="s">
        <v>107</v>
      </c>
      <c r="DD11" s="23" t="s">
        <v>108</v>
      </c>
      <c r="DE11" s="23" t="s">
        <v>109</v>
      </c>
      <c r="DF11" s="23" t="s">
        <v>110</v>
      </c>
      <c r="DG11" s="23" t="s">
        <v>111</v>
      </c>
      <c r="DH11" s="23" t="s">
        <v>112</v>
      </c>
      <c r="DI11" s="23" t="s">
        <v>113</v>
      </c>
      <c r="DJ11" s="23" t="s">
        <v>114</v>
      </c>
      <c r="DK11" s="23" t="s">
        <v>115</v>
      </c>
      <c r="DL11" s="23" t="s">
        <v>116</v>
      </c>
      <c r="DM11" s="23" t="s">
        <v>117</v>
      </c>
      <c r="DN11" s="23" t="s">
        <v>118</v>
      </c>
      <c r="DO11" s="23" t="s">
        <v>119</v>
      </c>
      <c r="DP11" s="23" t="s">
        <v>120</v>
      </c>
      <c r="DQ11" s="23" t="s">
        <v>121</v>
      </c>
      <c r="DR11" s="23" t="s">
        <v>122</v>
      </c>
      <c r="DS11" s="23" t="s">
        <v>123</v>
      </c>
      <c r="DT11" s="23" t="s">
        <v>124</v>
      </c>
      <c r="DU11" s="23" t="s">
        <v>125</v>
      </c>
      <c r="DV11" s="23" t="s">
        <v>126</v>
      </c>
      <c r="DW11" s="23" t="s">
        <v>127</v>
      </c>
      <c r="DX11" s="23" t="s">
        <v>128</v>
      </c>
      <c r="DY11" s="23" t="s">
        <v>129</v>
      </c>
      <c r="DZ11" s="23" t="s">
        <v>130</v>
      </c>
      <c r="EA11" s="23" t="s">
        <v>131</v>
      </c>
      <c r="EB11" s="23" t="s">
        <v>132</v>
      </c>
      <c r="EC11" s="23" t="s">
        <v>133</v>
      </c>
      <c r="ED11" s="23" t="s">
        <v>134</v>
      </c>
      <c r="EE11" s="23" t="s">
        <v>135</v>
      </c>
      <c r="EF11" s="23" t="s">
        <v>178</v>
      </c>
      <c r="EG11" s="23" t="s">
        <v>179</v>
      </c>
      <c r="EH11" s="23" t="s">
        <v>180</v>
      </c>
      <c r="EI11" s="23" t="s">
        <v>181</v>
      </c>
    </row>
    <row r="12" spans="1:139">
      <c r="A12" s="23">
        <v>10</v>
      </c>
      <c r="B12" s="23">
        <v>96</v>
      </c>
      <c r="C12" s="13">
        <v>4.701350899422875E-2</v>
      </c>
      <c r="D12" s="13">
        <v>0.11468851041666669</v>
      </c>
      <c r="E12" s="13">
        <v>-6.7540283583579167E-3</v>
      </c>
      <c r="F12" s="13">
        <v>1.342140625E-2</v>
      </c>
      <c r="G12" s="13">
        <v>7.9043467459283603E-3</v>
      </c>
      <c r="H12" s="13">
        <v>3.8530718750000012E-2</v>
      </c>
      <c r="I12" s="13">
        <v>1.280994791666666E-2</v>
      </c>
      <c r="J12" s="13">
        <v>-2.940780208333334E-2</v>
      </c>
      <c r="K12" s="13">
        <v>-1.0988403852822111E-2</v>
      </c>
      <c r="L12" s="13">
        <v>-2.2772307809632709E-3</v>
      </c>
      <c r="M12" s="13">
        <v>-3.9668749999999768E-4</v>
      </c>
      <c r="N12" s="13">
        <v>6.9326749999999965E-2</v>
      </c>
      <c r="O12" s="13">
        <v>1.7240843749999998E-2</v>
      </c>
      <c r="P12" s="13">
        <v>2.3033333333332889E-4</v>
      </c>
      <c r="Q12" s="13">
        <v>3.5270468749999978E-2</v>
      </c>
      <c r="R12" s="13">
        <v>6.6630833333333368E-3</v>
      </c>
      <c r="S12" s="13">
        <v>-1.6472229166666671E-2</v>
      </c>
      <c r="T12" s="13">
        <v>-7.7403854166666688E-3</v>
      </c>
      <c r="U12" s="13">
        <v>-1.6178791666666682E-2</v>
      </c>
      <c r="V12" s="13">
        <v>6.2048020833333217E-3</v>
      </c>
      <c r="W12" s="13">
        <v>6.4039645833333325E-2</v>
      </c>
      <c r="X12" s="13">
        <v>2.707373958333335E-2</v>
      </c>
      <c r="Y12" s="13">
        <v>1.544010416666668E-2</v>
      </c>
      <c r="Z12" s="13">
        <v>5.166041666666666E-3</v>
      </c>
      <c r="AA12" s="13">
        <v>-3.9403661401111782E-2</v>
      </c>
      <c r="AB12" s="13">
        <v>-3.7113229166666761E-3</v>
      </c>
      <c r="AC12" s="13">
        <v>5.1674479166666544E-3</v>
      </c>
      <c r="AD12" s="13">
        <v>-5.84710999923721E-3</v>
      </c>
      <c r="AE12" s="13">
        <v>-5.8317010416666662E-2</v>
      </c>
      <c r="AF12" s="13">
        <v>-2.0432151303864929E-2</v>
      </c>
      <c r="AG12" s="13">
        <v>1.207918750000001E-2</v>
      </c>
      <c r="AH12" s="13">
        <v>-1.3405804649633229E-2</v>
      </c>
      <c r="AI12" s="13">
        <v>2.3246958333333331E-2</v>
      </c>
      <c r="AJ12" s="13">
        <v>2.1062375000000012E-2</v>
      </c>
      <c r="AK12" s="13">
        <v>9.5040416666666711E-3</v>
      </c>
      <c r="AL12" s="13">
        <v>1.7859003021922081E-2</v>
      </c>
      <c r="AM12" s="13">
        <v>3.0086115612597931E-2</v>
      </c>
      <c r="AN12" s="13">
        <v>6.9233234313428524E-2</v>
      </c>
      <c r="AO12" s="13">
        <v>2.228793039673051E-3</v>
      </c>
      <c r="AP12" s="13">
        <v>-4.6336666666666696E-3</v>
      </c>
      <c r="AQ12" s="13">
        <v>-7.6219363885838051E-3</v>
      </c>
      <c r="AR12" s="13">
        <v>1.35262594499664E-2</v>
      </c>
      <c r="AS12" s="13">
        <v>1.9099718454700602E-2</v>
      </c>
      <c r="AT12" s="13">
        <v>1.3834904707671181E-2</v>
      </c>
      <c r="AU12" s="13">
        <v>2.070865868087543E-2</v>
      </c>
      <c r="AV12" s="13">
        <v>-4.1360084745025012E-2</v>
      </c>
      <c r="AW12" s="13">
        <v>6.2147701801607523E-4</v>
      </c>
      <c r="AX12" s="13">
        <v>-8.6579791666666663E-3</v>
      </c>
      <c r="AY12" s="13">
        <v>2.4955293067673249E-2</v>
      </c>
      <c r="AZ12" s="13">
        <v>-2.3000260716576439E-3</v>
      </c>
      <c r="BA12" s="13">
        <v>4.9378881832418033E-3</v>
      </c>
      <c r="BB12" s="13">
        <v>1.527460525245942E-2</v>
      </c>
      <c r="BC12" s="13">
        <v>1.227278903847649E-2</v>
      </c>
      <c r="BD12" s="13">
        <v>1.3630556941652629E-2</v>
      </c>
      <c r="BE12" s="13">
        <v>1.860880983938528E-2</v>
      </c>
      <c r="BF12" s="13">
        <v>6.7792352483200119E-2</v>
      </c>
      <c r="BG12" s="13">
        <v>3.3670862441262807E-2</v>
      </c>
      <c r="BH12" s="13">
        <v>1.422336001132196E-2</v>
      </c>
      <c r="BI12" s="13">
        <v>5.002125303099076E-2</v>
      </c>
      <c r="BJ12" s="13">
        <v>-7.9599331991781624E-4</v>
      </c>
      <c r="BK12" s="13">
        <v>-2.1284664960133971E-2</v>
      </c>
      <c r="BL12" s="13">
        <v>2.4709245830148639E-2</v>
      </c>
      <c r="BM12" s="13">
        <v>-5.1690919562298789E-3</v>
      </c>
      <c r="BN12" s="13">
        <v>1.1516535512096511E-2</v>
      </c>
      <c r="BO12" s="13">
        <v>2.4246310256236889E-2</v>
      </c>
      <c r="BP12" s="13">
        <v>-1.0508985305294091E-2</v>
      </c>
      <c r="BQ12" s="13">
        <v>1.3896749618746689E-2</v>
      </c>
      <c r="BR12" s="13">
        <v>-2.2610084533988121E-3</v>
      </c>
      <c r="BS12" s="13">
        <v>1.886329338439598E-2</v>
      </c>
      <c r="BT12" s="13">
        <v>2.2031468677444231E-2</v>
      </c>
      <c r="BU12" s="13">
        <v>8.7815171400964752E-3</v>
      </c>
      <c r="BV12" s="13">
        <v>2.3062455733191E-2</v>
      </c>
      <c r="BW12" s="13">
        <v>-2.948376871952952E-2</v>
      </c>
      <c r="BX12" s="13">
        <v>1.1477162003950089E-2</v>
      </c>
      <c r="BY12" s="13">
        <v>-3.3370800331571443E-2</v>
      </c>
      <c r="BZ12" s="13">
        <v>4.5356945691272972E-2</v>
      </c>
      <c r="CA12" s="13">
        <v>1.4580583333333331E-2</v>
      </c>
      <c r="CB12" s="13">
        <v>1.943242131762835E-3</v>
      </c>
      <c r="CC12" s="13">
        <v>-1.6770964394110251E-2</v>
      </c>
      <c r="CD12" s="13">
        <v>0.1109336335844525</v>
      </c>
      <c r="CE12" s="13">
        <v>1.161940844222922E-2</v>
      </c>
      <c r="CF12" s="13">
        <v>2.776758341377213E-2</v>
      </c>
      <c r="CG12" s="13">
        <v>4.1857234050063037E-2</v>
      </c>
      <c r="CH12" s="13">
        <v>6.3297372377959904E-2</v>
      </c>
      <c r="CI12" s="13">
        <v>-3.4655912412205718E-2</v>
      </c>
      <c r="CJ12" s="13">
        <v>1.544518047868886E-2</v>
      </c>
      <c r="CK12" s="13">
        <v>1.2803144154834811E-2</v>
      </c>
      <c r="CL12" s="13">
        <v>0.1180156076696104</v>
      </c>
      <c r="CM12" s="13">
        <v>-1.5219726167340819E-2</v>
      </c>
      <c r="CN12" s="13">
        <v>-2.7083701214559368E-2</v>
      </c>
      <c r="CO12" s="13">
        <v>-2.7266126880105788E-2</v>
      </c>
      <c r="CP12" s="13">
        <v>4.5299021467493747E-2</v>
      </c>
      <c r="CQ12" s="13">
        <v>3.6572194909933541E-2</v>
      </c>
      <c r="CR12" s="13">
        <v>2.1178784306524409E-3</v>
      </c>
      <c r="CS12" s="13">
        <v>-1.5201647687045549E-2</v>
      </c>
      <c r="CT12" s="13">
        <v>-8.2403602353092742E-4</v>
      </c>
      <c r="CU12" s="13">
        <v>3.5623715662195188E-2</v>
      </c>
      <c r="CV12" s="13">
        <v>8.1126263755370142E-3</v>
      </c>
      <c r="CW12" s="13">
        <v>5.5479247445322649E-3</v>
      </c>
      <c r="CX12" s="13">
        <v>6.098988253699178E-2</v>
      </c>
      <c r="CY12" s="13">
        <v>-5.982942211490587E-3</v>
      </c>
      <c r="CZ12" s="13">
        <v>7.7792327339500603E-2</v>
      </c>
      <c r="DA12" s="13">
        <v>5.6037840703605252E-3</v>
      </c>
      <c r="DB12" s="13">
        <v>-2.298187595412704E-2</v>
      </c>
      <c r="DC12" s="13">
        <v>3.3973202874774677E-2</v>
      </c>
      <c r="DD12" s="13">
        <v>2.4888978057240451E-2</v>
      </c>
      <c r="DE12" s="13">
        <v>1.198108381221169E-3</v>
      </c>
      <c r="DF12" s="13">
        <v>-6.834525736040385E-3</v>
      </c>
      <c r="DG12" s="13">
        <v>-9.4770893931691788E-4</v>
      </c>
      <c r="DH12" s="13">
        <v>-3.8226819714325612E-3</v>
      </c>
      <c r="DI12" s="13">
        <v>-5.4443172992132437E-2</v>
      </c>
      <c r="DJ12" s="13">
        <v>8.0625982547704502E-3</v>
      </c>
      <c r="DK12" s="13">
        <v>-1.5945953127016341E-2</v>
      </c>
      <c r="DL12" s="13">
        <v>-3.5467602264376702E-4</v>
      </c>
      <c r="DM12" s="13">
        <v>-4.8403492450799163E-3</v>
      </c>
      <c r="DN12" s="13">
        <v>4.2410365386064831E-2</v>
      </c>
      <c r="DO12" s="13">
        <v>2.259973368032869E-2</v>
      </c>
      <c r="DP12" s="13">
        <v>3.2584449600297112E-2</v>
      </c>
      <c r="DQ12" s="13">
        <v>-2.276986490903608E-2</v>
      </c>
      <c r="DR12" s="13">
        <v>1.8778943279386909E-2</v>
      </c>
      <c r="DS12" s="13">
        <v>-3.5726155451697807E-2</v>
      </c>
      <c r="DT12" s="13">
        <v>-4.5297883394400537E-2</v>
      </c>
      <c r="DU12" s="13">
        <v>1.3752648086382459E-2</v>
      </c>
      <c r="DV12" s="13">
        <v>4.8550824477530688E-2</v>
      </c>
      <c r="DW12" s="13">
        <v>4.3725564220037427E-2</v>
      </c>
      <c r="DX12" s="13">
        <v>-5.0152080542361532E-2</v>
      </c>
      <c r="DY12" s="13">
        <v>1.5357270118494901E-2</v>
      </c>
      <c r="DZ12" s="13">
        <v>-4.1357254801773907E-3</v>
      </c>
      <c r="EA12" s="13">
        <v>6.4003941323197033E-2</v>
      </c>
      <c r="EB12" s="13">
        <v>2.8283267748527709E-3</v>
      </c>
      <c r="EC12" s="13">
        <v>2.6651509579665299E-2</v>
      </c>
      <c r="ED12" s="13">
        <v>-6.050815280848415E-2</v>
      </c>
      <c r="EE12" s="13">
        <v>1.1917096272487391E-2</v>
      </c>
      <c r="EF12" s="13">
        <v>3.9233348038795662E-2</v>
      </c>
      <c r="EG12" s="20">
        <f t="shared" ref="EG12:EG24" si="10">AVERAGE(C12:EF12)</f>
        <v>1.1003766006298633E-2</v>
      </c>
      <c r="EH12" s="20">
        <f t="shared" ref="EH12:EH24" si="11">STDEV(C12:EF12)</f>
        <v>3.1264115307293901E-2</v>
      </c>
      <c r="EI12" s="20">
        <f t="shared" ref="EI12:EI24" si="12">EG12/EH12</f>
        <v>0.3519615347545581</v>
      </c>
    </row>
    <row r="13" spans="1:139">
      <c r="A13" s="23">
        <v>20</v>
      </c>
      <c r="B13" s="23">
        <v>48</v>
      </c>
      <c r="C13" s="13">
        <v>4.2506117601795589E-2</v>
      </c>
      <c r="D13" s="13">
        <v>0.12374510416666661</v>
      </c>
      <c r="E13" s="13">
        <v>-3.4496619491353048E-2</v>
      </c>
      <c r="F13" s="13">
        <v>-1.14548125E-2</v>
      </c>
      <c r="G13" s="13">
        <v>-1.490797975730339E-2</v>
      </c>
      <c r="H13" s="13">
        <v>2.999035416666665E-2</v>
      </c>
      <c r="I13" s="13">
        <v>2.9130541666666659E-2</v>
      </c>
      <c r="J13" s="13">
        <v>-4.3898812500000023E-2</v>
      </c>
      <c r="K13" s="13">
        <v>-4.5330990242219003E-2</v>
      </c>
      <c r="L13" s="13">
        <v>-2.913566903744547E-2</v>
      </c>
      <c r="M13" s="13">
        <v>2.5687291666666671E-2</v>
      </c>
      <c r="N13" s="13">
        <v>9.9806729166666677E-2</v>
      </c>
      <c r="O13" s="13">
        <v>3.9789374999999988E-2</v>
      </c>
      <c r="P13" s="13">
        <v>1.6792145833333331E-2</v>
      </c>
      <c r="Q13" s="13">
        <v>7.3225020833333321E-2</v>
      </c>
      <c r="R13" s="13">
        <v>1.415983333333333E-2</v>
      </c>
      <c r="S13" s="13">
        <v>-1.2243312500000001E-2</v>
      </c>
      <c r="T13" s="13">
        <v>-2.2104479166666649E-2</v>
      </c>
      <c r="U13" s="13">
        <v>1.5963125000000159E-3</v>
      </c>
      <c r="V13" s="13">
        <v>-2.009412499999998E-2</v>
      </c>
      <c r="W13" s="13">
        <v>7.5476395833333348E-2</v>
      </c>
      <c r="X13" s="13">
        <v>5.3276458333333318E-2</v>
      </c>
      <c r="Y13" s="13">
        <v>1.392037499999999E-2</v>
      </c>
      <c r="Z13" s="13">
        <v>2.058391666666666E-2</v>
      </c>
      <c r="AA13" s="13">
        <v>-3.2119510338471283E-2</v>
      </c>
      <c r="AB13" s="13">
        <v>-1.6035979166666669E-2</v>
      </c>
      <c r="AC13" s="13">
        <v>8.031270833333326E-3</v>
      </c>
      <c r="AD13" s="13">
        <v>-6.5790452025407779E-3</v>
      </c>
      <c r="AE13" s="13">
        <v>-6.5719479166666678E-2</v>
      </c>
      <c r="AF13" s="13">
        <v>-3.1940463834301228E-2</v>
      </c>
      <c r="AG13" s="13">
        <v>3.2824583333333321E-3</v>
      </c>
      <c r="AH13" s="13">
        <v>-9.6413392395163916E-3</v>
      </c>
      <c r="AI13" s="13">
        <v>1.9910041666666659E-2</v>
      </c>
      <c r="AJ13" s="13">
        <v>1.9885916666666659E-2</v>
      </c>
      <c r="AK13" s="13">
        <v>3.31895833333334E-3</v>
      </c>
      <c r="AL13" s="13">
        <v>2.3151428595171029E-2</v>
      </c>
      <c r="AM13" s="13">
        <v>4.6282443536828928E-2</v>
      </c>
      <c r="AN13" s="13">
        <v>0.10533023813603409</v>
      </c>
      <c r="AO13" s="13">
        <v>9.3111878994149404E-3</v>
      </c>
      <c r="AP13" s="13">
        <v>-6.5878125000000034E-3</v>
      </c>
      <c r="AQ13" s="13">
        <v>-6.0492887688996834E-3</v>
      </c>
      <c r="AR13" s="13">
        <v>1.0689185535935661E-2</v>
      </c>
      <c r="AS13" s="13">
        <v>4.1313118484234093E-2</v>
      </c>
      <c r="AT13" s="13">
        <v>4.0463087854439743E-2</v>
      </c>
      <c r="AU13" s="13">
        <v>4.0976126475978862E-2</v>
      </c>
      <c r="AV13" s="13">
        <v>-9.475472639553081E-3</v>
      </c>
      <c r="AW13" s="13">
        <v>4.0800135830634E-3</v>
      </c>
      <c r="AX13" s="13">
        <v>-1.1880625000000001E-2</v>
      </c>
      <c r="AY13" s="13">
        <v>1.756434634862496E-2</v>
      </c>
      <c r="AZ13" s="13">
        <v>-8.1034674694993921E-3</v>
      </c>
      <c r="BA13" s="13">
        <v>6.5409376070610318E-3</v>
      </c>
      <c r="BB13" s="13">
        <v>4.2875374496810892E-2</v>
      </c>
      <c r="BC13" s="13">
        <v>1.128376711165765E-2</v>
      </c>
      <c r="BD13" s="13">
        <v>3.344428383681335E-3</v>
      </c>
      <c r="BE13" s="13">
        <v>2.7391806305641558E-2</v>
      </c>
      <c r="BF13" s="13">
        <v>8.3929415307496771E-2</v>
      </c>
      <c r="BG13" s="13">
        <v>4.6566462338711673E-2</v>
      </c>
      <c r="BH13" s="13">
        <v>8.4757298116190372E-3</v>
      </c>
      <c r="BI13" s="13">
        <v>5.2409132456701382E-2</v>
      </c>
      <c r="BJ13" s="13">
        <v>-1.6847085990264871E-2</v>
      </c>
      <c r="BK13" s="13">
        <v>-1.8391024879749449E-2</v>
      </c>
      <c r="BL13" s="13">
        <v>3.1947860213175139E-2</v>
      </c>
      <c r="BM13" s="13">
        <v>1.6918615618881649E-2</v>
      </c>
      <c r="BN13" s="13">
        <v>1.105254187527629E-2</v>
      </c>
      <c r="BO13" s="13">
        <v>3.0878716233474109E-2</v>
      </c>
      <c r="BP13" s="13">
        <v>9.4326956946515182E-3</v>
      </c>
      <c r="BQ13" s="13">
        <v>4.1653063789425779E-2</v>
      </c>
      <c r="BR13" s="13">
        <v>-6.6814174835574522E-3</v>
      </c>
      <c r="BS13" s="13">
        <v>7.4194718402196772E-3</v>
      </c>
      <c r="BT13" s="13">
        <v>3.8343505616472817E-2</v>
      </c>
      <c r="BU13" s="13">
        <v>1.7706555036553769E-2</v>
      </c>
      <c r="BV13" s="13">
        <v>2.065359687620864E-2</v>
      </c>
      <c r="BW13" s="13">
        <v>1.763237810677006E-3</v>
      </c>
      <c r="BX13" s="13">
        <v>2.1078067524026588E-2</v>
      </c>
      <c r="BY13" s="13">
        <v>-1.4512397670490481E-2</v>
      </c>
      <c r="BZ13" s="13">
        <v>7.6138123059050211E-2</v>
      </c>
      <c r="CA13" s="13">
        <v>2.4012187500000001E-2</v>
      </c>
      <c r="CB13" s="13">
        <v>-6.5958267252201053E-3</v>
      </c>
      <c r="CC13" s="13">
        <v>-1.2530912212633369E-2</v>
      </c>
      <c r="CD13" s="13">
        <v>0.1050858328923274</v>
      </c>
      <c r="CE13" s="13">
        <v>9.2209843254137634E-3</v>
      </c>
      <c r="CF13" s="13">
        <v>4.4514266725069238E-2</v>
      </c>
      <c r="CG13" s="13">
        <v>4.0449062968955063E-2</v>
      </c>
      <c r="CH13" s="13">
        <v>5.8334611827207158E-2</v>
      </c>
      <c r="CI13" s="13">
        <v>-5.1853509134263308E-2</v>
      </c>
      <c r="CJ13" s="13">
        <v>-3.106087971951194E-3</v>
      </c>
      <c r="CK13" s="13">
        <v>3.2045269236463968E-2</v>
      </c>
      <c r="CL13" s="13">
        <v>8.1453366102180805E-2</v>
      </c>
      <c r="CM13" s="13">
        <v>-1.0296803756394969E-2</v>
      </c>
      <c r="CN13" s="13">
        <v>-2.688756599885234E-2</v>
      </c>
      <c r="CO13" s="13">
        <v>-1.345745856322739E-2</v>
      </c>
      <c r="CP13" s="13">
        <v>6.9726540277734339E-2</v>
      </c>
      <c r="CQ13" s="13">
        <v>3.8184950196159702E-2</v>
      </c>
      <c r="CR13" s="13">
        <v>8.2797809976485181E-3</v>
      </c>
      <c r="CS13" s="13">
        <v>1.0833051115274659E-2</v>
      </c>
      <c r="CT13" s="13">
        <v>8.0707993163786768E-3</v>
      </c>
      <c r="CU13" s="13">
        <v>3.7161402282311212E-2</v>
      </c>
      <c r="CV13" s="13">
        <v>-2.9533121732579042E-3</v>
      </c>
      <c r="CW13" s="13">
        <v>5.97703085624611E-3</v>
      </c>
      <c r="CX13" s="13">
        <v>6.0033255240053027E-2</v>
      </c>
      <c r="CY13" s="13">
        <v>-1.3118740115012659E-2</v>
      </c>
      <c r="CZ13" s="13">
        <v>5.7224220353485122E-2</v>
      </c>
      <c r="DA13" s="13">
        <v>-5.583676925821391E-3</v>
      </c>
      <c r="DB13" s="13">
        <v>-4.1761569716784581E-2</v>
      </c>
      <c r="DC13" s="13">
        <v>2.9775565878292928E-2</v>
      </c>
      <c r="DD13" s="13">
        <v>1.069760060073574E-2</v>
      </c>
      <c r="DE13" s="13">
        <v>5.9289571260749546E-3</v>
      </c>
      <c r="DF13" s="13">
        <v>-2.8518796793634778E-2</v>
      </c>
      <c r="DG13" s="13">
        <v>-1.6306571728899009E-3</v>
      </c>
      <c r="DH13" s="13">
        <v>1.129576788191507E-2</v>
      </c>
      <c r="DI13" s="13">
        <v>-4.5977025094676827E-2</v>
      </c>
      <c r="DJ13" s="13">
        <v>-3.3317561795107452E-3</v>
      </c>
      <c r="DK13" s="13">
        <v>1.240907421862765E-2</v>
      </c>
      <c r="DL13" s="13">
        <v>-1.6300246491314559E-2</v>
      </c>
      <c r="DM13" s="13">
        <v>-6.6588690484439203E-3</v>
      </c>
      <c r="DN13" s="13">
        <v>1.1499577922513139E-2</v>
      </c>
      <c r="DO13" s="13">
        <v>4.6891412388131722E-2</v>
      </c>
      <c r="DP13" s="13">
        <v>4.8786635856269467E-2</v>
      </c>
      <c r="DQ13" s="13">
        <v>-2.6430081417128711E-2</v>
      </c>
      <c r="DR13" s="13">
        <v>1.377120927231194E-2</v>
      </c>
      <c r="DS13" s="13">
        <v>-3.8887627839669842E-2</v>
      </c>
      <c r="DT13" s="13">
        <v>-3.542630104766481E-2</v>
      </c>
      <c r="DU13" s="13">
        <v>1.8705163637144761E-2</v>
      </c>
      <c r="DV13" s="13">
        <v>7.9620144024188558E-2</v>
      </c>
      <c r="DW13" s="13">
        <v>4.4417789624350307E-2</v>
      </c>
      <c r="DX13" s="13">
        <v>-6.4523379578496173E-2</v>
      </c>
      <c r="DY13" s="13">
        <v>3.5386044653833333E-2</v>
      </c>
      <c r="DZ13" s="13">
        <v>-1.460881448721826E-2</v>
      </c>
      <c r="EA13" s="13">
        <v>7.3242869042682138E-2</v>
      </c>
      <c r="EB13" s="13">
        <v>2.1373218199386389E-2</v>
      </c>
      <c r="EC13" s="13">
        <v>4.1659753435228923E-2</v>
      </c>
      <c r="ED13" s="13">
        <v>-6.5682093659234955E-2</v>
      </c>
      <c r="EE13" s="13">
        <v>7.9525935749644935E-3</v>
      </c>
      <c r="EF13" s="13">
        <v>6.6577215363556236E-2</v>
      </c>
      <c r="EG13" s="20">
        <f t="shared" si="10"/>
        <v>1.4188983450176456E-2</v>
      </c>
      <c r="EH13" s="21">
        <f t="shared" si="11"/>
        <v>3.6061452361772398E-2</v>
      </c>
      <c r="EI13" s="20">
        <f t="shared" si="12"/>
        <v>0.39346677742845843</v>
      </c>
    </row>
    <row r="14" spans="1:139">
      <c r="A14" s="23">
        <v>50</v>
      </c>
      <c r="B14" s="23">
        <v>19</v>
      </c>
      <c r="C14" s="13">
        <v>-3.7017512404591897E-2</v>
      </c>
      <c r="D14" s="13">
        <v>0.22230878947368421</v>
      </c>
      <c r="E14" s="13">
        <v>-4.7525943267256017E-2</v>
      </c>
      <c r="F14" s="13">
        <v>3.4543210526315787E-2</v>
      </c>
      <c r="G14" s="13">
        <v>-4.1019916497925447E-2</v>
      </c>
      <c r="H14" s="13">
        <v>5.9588947368421033E-2</v>
      </c>
      <c r="I14" s="13">
        <v>7.7115000000000003E-2</v>
      </c>
      <c r="J14" s="13">
        <v>-0.1050935789473684</v>
      </c>
      <c r="K14" s="13">
        <v>-0.13417870371405349</v>
      </c>
      <c r="L14" s="13">
        <v>4.847197187706806E-3</v>
      </c>
      <c r="M14" s="13">
        <v>-7.5951368421052629E-2</v>
      </c>
      <c r="N14" s="13">
        <v>0.20483268421052631</v>
      </c>
      <c r="O14" s="13">
        <v>3.9642368421052628E-2</v>
      </c>
      <c r="P14" s="13">
        <v>4.7779947368421033E-2</v>
      </c>
      <c r="Q14" s="13">
        <v>5.8239052631578962E-2</v>
      </c>
      <c r="R14" s="13">
        <v>-1.4151684210526309E-2</v>
      </c>
      <c r="S14" s="13">
        <v>3.8535263157894732E-2</v>
      </c>
      <c r="T14" s="13">
        <v>-1.736173684210527E-2</v>
      </c>
      <c r="U14" s="13">
        <v>3.6578263157894739E-2</v>
      </c>
      <c r="V14" s="13">
        <v>-3.837431578947368E-2</v>
      </c>
      <c r="W14" s="13">
        <v>0.1161653684210526</v>
      </c>
      <c r="X14" s="13">
        <v>5.3581789473684222E-2</v>
      </c>
      <c r="Y14" s="13">
        <v>-1.6763578947368431E-2</v>
      </c>
      <c r="Z14" s="13">
        <v>2.1252E-2</v>
      </c>
      <c r="AA14" s="13">
        <v>-3.9450180302082173E-2</v>
      </c>
      <c r="AB14" s="13">
        <v>-7.498263157894737E-2</v>
      </c>
      <c r="AC14" s="13">
        <v>-2.9292631578947369E-2</v>
      </c>
      <c r="AD14" s="13">
        <v>1.292010661121834E-2</v>
      </c>
      <c r="AE14" s="13">
        <v>-4.019052631578951E-3</v>
      </c>
      <c r="AF14" s="13">
        <v>-4.0420702542399108E-2</v>
      </c>
      <c r="AG14" s="13">
        <v>6.3905789473684242E-3</v>
      </c>
      <c r="AH14" s="13">
        <v>-5.250277930506024E-3</v>
      </c>
      <c r="AI14" s="13">
        <v>1.0965315789473681E-2</v>
      </c>
      <c r="AJ14" s="13">
        <v>9.629468421052631E-2</v>
      </c>
      <c r="AK14" s="13">
        <v>-1.150942105263158E-2</v>
      </c>
      <c r="AL14" s="13">
        <v>3.7969189722460717E-2</v>
      </c>
      <c r="AM14" s="13">
        <v>6.1242166378625243E-2</v>
      </c>
      <c r="AN14" s="13">
        <v>9.8594666769543718E-2</v>
      </c>
      <c r="AO14" s="13">
        <v>6.0905705465409951E-2</v>
      </c>
      <c r="AP14" s="13">
        <v>7.0551578947368413E-3</v>
      </c>
      <c r="AQ14" s="13">
        <v>-3.6796773775995059E-4</v>
      </c>
      <c r="AR14" s="13">
        <v>3.764583976226292E-2</v>
      </c>
      <c r="AS14" s="13">
        <v>8.5376985953046783E-2</v>
      </c>
      <c r="AT14" s="13">
        <v>3.4506579685144471E-2</v>
      </c>
      <c r="AU14" s="13">
        <v>3.999164900330384E-2</v>
      </c>
      <c r="AV14" s="13">
        <v>-1.868288543361717E-2</v>
      </c>
      <c r="AW14" s="13">
        <v>-1.8362931505957501E-2</v>
      </c>
      <c r="AX14" s="13">
        <v>8.223684210526324E-4</v>
      </c>
      <c r="AY14" s="13">
        <v>1.5068118771761551E-2</v>
      </c>
      <c r="AZ14" s="13">
        <v>-5.3348569172156059E-2</v>
      </c>
      <c r="BA14" s="13">
        <v>1.7621645544243138E-2</v>
      </c>
      <c r="BB14" s="13">
        <v>6.1734282001674842E-2</v>
      </c>
      <c r="BC14" s="13">
        <v>-9.8209989552774171E-3</v>
      </c>
      <c r="BD14" s="13">
        <v>4.3327781667405418E-2</v>
      </c>
      <c r="BE14" s="13">
        <v>4.3787062535487017E-2</v>
      </c>
      <c r="BF14" s="13">
        <v>4.0770521545689782E-2</v>
      </c>
      <c r="BG14" s="13">
        <v>4.1374264073932777E-2</v>
      </c>
      <c r="BH14" s="13">
        <v>5.3427555686006711E-3</v>
      </c>
      <c r="BI14" s="13">
        <v>5.0185212890853773E-2</v>
      </c>
      <c r="BJ14" s="13">
        <v>-2.0017223671233209E-2</v>
      </c>
      <c r="BK14" s="13">
        <v>-5.5937516570728277E-3</v>
      </c>
      <c r="BL14" s="13">
        <v>5.9737766842370338E-2</v>
      </c>
      <c r="BM14" s="13">
        <v>3.9257215206427082E-2</v>
      </c>
      <c r="BN14" s="13">
        <v>2.0936538072551379E-2</v>
      </c>
      <c r="BO14" s="13">
        <v>3.3609045677264478E-2</v>
      </c>
      <c r="BP14" s="13">
        <v>1.5673733492959141E-2</v>
      </c>
      <c r="BQ14" s="13">
        <v>1.584352386995078E-2</v>
      </c>
      <c r="BR14" s="13">
        <v>-2.7929429532617921E-2</v>
      </c>
      <c r="BS14" s="13">
        <v>-4.1493955144577897E-2</v>
      </c>
      <c r="BT14" s="13">
        <v>7.4012962336311328E-2</v>
      </c>
      <c r="BU14" s="13">
        <v>-8.8548353580308568E-3</v>
      </c>
      <c r="BV14" s="13">
        <v>2.5727182016427399E-2</v>
      </c>
      <c r="BW14" s="13">
        <v>1.250794825759332E-2</v>
      </c>
      <c r="BX14" s="13">
        <v>5.4970760121953073E-2</v>
      </c>
      <c r="BY14" s="13">
        <v>-6.5962933649650326E-3</v>
      </c>
      <c r="BZ14" s="13">
        <v>6.0034056828782267E-2</v>
      </c>
      <c r="CA14" s="13">
        <v>3.3454631578947368E-2</v>
      </c>
      <c r="CB14" s="13">
        <v>2.2127616542174811E-2</v>
      </c>
      <c r="CC14" s="13">
        <v>-1.2794080785178611E-2</v>
      </c>
      <c r="CD14" s="13">
        <v>9.8016709932197757E-2</v>
      </c>
      <c r="CE14" s="13">
        <v>-7.2156719211697945E-2</v>
      </c>
      <c r="CF14" s="13">
        <v>9.2330683282061565E-2</v>
      </c>
      <c r="CG14" s="13">
        <v>5.3067028295838918E-2</v>
      </c>
      <c r="CH14" s="13">
        <v>6.46613922782171E-2</v>
      </c>
      <c r="CI14" s="13">
        <v>-0.1058847773633588</v>
      </c>
      <c r="CJ14" s="13">
        <v>-2.866785494417454E-2</v>
      </c>
      <c r="CK14" s="13">
        <v>1.40163643906461E-2</v>
      </c>
      <c r="CL14" s="13">
        <v>6.2269954878836478E-2</v>
      </c>
      <c r="CM14" s="13">
        <v>3.2040010368317121E-2</v>
      </c>
      <c r="CN14" s="13">
        <v>-2.3026688670926061E-2</v>
      </c>
      <c r="CO14" s="13">
        <v>-7.3587720038892968E-2</v>
      </c>
      <c r="CP14" s="13">
        <v>9.9809331481752833E-2</v>
      </c>
      <c r="CQ14" s="13">
        <v>5.321162809167454E-2</v>
      </c>
      <c r="CR14" s="13">
        <v>5.590913762450133E-2</v>
      </c>
      <c r="CS14" s="13">
        <v>5.9027120263655718E-2</v>
      </c>
      <c r="CT14" s="13">
        <v>1.910057655068487E-2</v>
      </c>
      <c r="CU14" s="13">
        <v>-4.3917102697214612E-2</v>
      </c>
      <c r="CV14" s="13">
        <v>2.274571513825533E-2</v>
      </c>
      <c r="CW14" s="13">
        <v>-3.3983824634707719E-3</v>
      </c>
      <c r="CX14" s="13">
        <v>3.6299408888239168E-2</v>
      </c>
      <c r="CY14" s="13">
        <v>-2.875912029147424E-2</v>
      </c>
      <c r="CZ14" s="13">
        <v>6.4063563350383365E-2</v>
      </c>
      <c r="DA14" s="13">
        <v>-2.4304289170584491E-2</v>
      </c>
      <c r="DB14" s="13">
        <v>-2.356107318819085E-2</v>
      </c>
      <c r="DC14" s="13">
        <v>2.3632609204847509E-2</v>
      </c>
      <c r="DD14" s="13">
        <v>-1.6758549792416429E-2</v>
      </c>
      <c r="DE14" s="13">
        <v>5.3842996077645283E-3</v>
      </c>
      <c r="DF14" s="13">
        <v>-3.5856630557062542E-2</v>
      </c>
      <c r="DG14" s="13">
        <v>1.144655639331721E-2</v>
      </c>
      <c r="DH14" s="13">
        <v>4.7748372429115976E-3</v>
      </c>
      <c r="DI14" s="13">
        <v>-5.8597819708917052E-2</v>
      </c>
      <c r="DJ14" s="13">
        <v>1.023724267297355E-3</v>
      </c>
      <c r="DK14" s="13">
        <v>1.9071063117655919E-2</v>
      </c>
      <c r="DL14" s="13">
        <v>-1.516516155488855E-2</v>
      </c>
      <c r="DM14" s="13">
        <v>5.504269093650517E-3</v>
      </c>
      <c r="DN14" s="13">
        <v>4.2662495893264311E-2</v>
      </c>
      <c r="DO14" s="13">
        <v>4.1375645162797292E-2</v>
      </c>
      <c r="DP14" s="13">
        <v>4.3539716357652018E-2</v>
      </c>
      <c r="DQ14" s="13">
        <v>-8.9367860040811792E-2</v>
      </c>
      <c r="DR14" s="13">
        <v>5.2622519458999567E-2</v>
      </c>
      <c r="DS14" s="13">
        <v>-3.5044906270916831E-2</v>
      </c>
      <c r="DT14" s="13">
        <v>-4.4516953597455299E-2</v>
      </c>
      <c r="DU14" s="13">
        <v>-4.4914948618981987E-2</v>
      </c>
      <c r="DV14" s="13">
        <v>0.1082623545301073</v>
      </c>
      <c r="DW14" s="13">
        <v>9.8344367017777726E-2</v>
      </c>
      <c r="DX14" s="13">
        <v>-0.1019315055524211</v>
      </c>
      <c r="DY14" s="13">
        <v>3.7997079946848547E-2</v>
      </c>
      <c r="DZ14" s="13">
        <v>-2.1881573318462251E-2</v>
      </c>
      <c r="EA14" s="13">
        <v>7.8105265887936245E-2</v>
      </c>
      <c r="EB14" s="13">
        <v>3.317733311259085E-2</v>
      </c>
      <c r="EC14" s="13">
        <v>6.0793821481329897E-3</v>
      </c>
      <c r="ED14" s="13">
        <v>-0.102629709186187</v>
      </c>
      <c r="EE14" s="13">
        <v>1.886715684489253E-2</v>
      </c>
      <c r="EF14" s="13">
        <v>6.9956420498558061E-2</v>
      </c>
      <c r="EG14" s="20">
        <f t="shared" si="10"/>
        <v>1.4709221767479621E-2</v>
      </c>
      <c r="EH14" s="1">
        <f t="shared" si="11"/>
        <v>5.4987635195798371E-2</v>
      </c>
      <c r="EI14" s="20">
        <f t="shared" si="12"/>
        <v>0.26750053380370792</v>
      </c>
    </row>
    <row r="15" spans="1:139">
      <c r="A15" s="23">
        <v>100</v>
      </c>
      <c r="B15" s="23">
        <v>10</v>
      </c>
      <c r="C15" s="13">
        <v>-9.6503141994516081E-2</v>
      </c>
      <c r="D15" s="13">
        <v>0.37270970000000009</v>
      </c>
      <c r="E15" s="13">
        <v>-1.019842627208351E-2</v>
      </c>
      <c r="F15" s="13">
        <v>9.0304599999999999E-2</v>
      </c>
      <c r="G15" s="13">
        <v>-6.0636928671534279E-2</v>
      </c>
      <c r="H15" s="13">
        <v>0.1188444</v>
      </c>
      <c r="I15" s="13">
        <v>0.12672890000000001</v>
      </c>
      <c r="J15" s="13">
        <v>-6.4524200000000004E-2</v>
      </c>
      <c r="K15" s="13">
        <v>-0.28659462773637062</v>
      </c>
      <c r="L15" s="13">
        <v>3.2558505157184642E-2</v>
      </c>
      <c r="M15" s="13">
        <v>-0.1884914</v>
      </c>
      <c r="N15" s="13">
        <v>0.33030959999999998</v>
      </c>
      <c r="O15" s="13">
        <v>4.6103499999999999E-2</v>
      </c>
      <c r="P15" s="13">
        <v>5.2983399999999993E-2</v>
      </c>
      <c r="Q15" s="13">
        <v>0.1003768</v>
      </c>
      <c r="R15" s="13">
        <v>1.6755200000000001E-2</v>
      </c>
      <c r="S15" s="13">
        <v>-4.3033600000000012E-2</v>
      </c>
      <c r="T15" s="13">
        <v>-4.9339700000000007E-2</v>
      </c>
      <c r="U15" s="13">
        <v>4.6788700000000003E-2</v>
      </c>
      <c r="V15" s="13">
        <v>-8.568039999999999E-2</v>
      </c>
      <c r="W15" s="13">
        <v>0.1069346</v>
      </c>
      <c r="X15" s="13">
        <v>7.8436500000000034E-2</v>
      </c>
      <c r="Y15" s="13">
        <v>-2.4189700000000001E-2</v>
      </c>
      <c r="Z15" s="13">
        <v>-2.3656199999999999E-2</v>
      </c>
      <c r="AA15" s="13">
        <v>-5.4081147028033669E-2</v>
      </c>
      <c r="AB15" s="13">
        <v>-7.3995400000000003E-2</v>
      </c>
      <c r="AC15" s="13">
        <v>-4.0054800000000002E-2</v>
      </c>
      <c r="AD15" s="13">
        <v>-1.8936283030818419E-2</v>
      </c>
      <c r="AE15" s="13">
        <v>4.728559999999999E-2</v>
      </c>
      <c r="AF15" s="13">
        <v>-6.5819612497039853E-2</v>
      </c>
      <c r="AG15" s="13">
        <v>-9.7449999999999967E-3</v>
      </c>
      <c r="AH15" s="13">
        <v>3.3604373357676472E-2</v>
      </c>
      <c r="AI15" s="13">
        <v>7.4277400000000007E-2</v>
      </c>
      <c r="AJ15" s="13">
        <v>4.1833999999999968E-3</v>
      </c>
      <c r="AK15" s="13">
        <v>-3.6998099999999999E-2</v>
      </c>
      <c r="AL15" s="13">
        <v>4.4431662495814539E-2</v>
      </c>
      <c r="AM15" s="13">
        <v>5.5122622134627111E-2</v>
      </c>
      <c r="AN15" s="13">
        <v>0.10168870591238351</v>
      </c>
      <c r="AO15" s="13">
        <v>6.3369812463467096E-2</v>
      </c>
      <c r="AP15" s="13">
        <v>1.25822E-2</v>
      </c>
      <c r="AQ15" s="13">
        <v>-3.7367126796121669E-2</v>
      </c>
      <c r="AR15" s="13">
        <v>9.0293855475916673E-2</v>
      </c>
      <c r="AS15" s="13">
        <v>5.3821179037114017E-2</v>
      </c>
      <c r="AT15" s="13">
        <v>6.5254990652428568E-2</v>
      </c>
      <c r="AU15" s="13">
        <v>3.9943261089466317E-2</v>
      </c>
      <c r="AV15" s="13">
        <v>-4.7226818327438858E-2</v>
      </c>
      <c r="AW15" s="13">
        <v>1.5659939254580951E-2</v>
      </c>
      <c r="AX15" s="13">
        <v>4.161999999999993E-3</v>
      </c>
      <c r="AY15" s="13">
        <v>2.8017064110032911E-2</v>
      </c>
      <c r="AZ15" s="13">
        <v>-9.1323280068503487E-2</v>
      </c>
      <c r="BA15" s="13">
        <v>1.061351480765297E-2</v>
      </c>
      <c r="BB15" s="13">
        <v>0.1127248660788131</v>
      </c>
      <c r="BC15" s="13">
        <v>6.2155143667830287E-2</v>
      </c>
      <c r="BD15" s="13">
        <v>5.3043273904796059E-2</v>
      </c>
      <c r="BE15" s="13">
        <v>4.8442721017663122E-2</v>
      </c>
      <c r="BF15" s="13">
        <v>4.7662979456752137E-2</v>
      </c>
      <c r="BG15" s="13">
        <v>2.489538734565238E-3</v>
      </c>
      <c r="BH15" s="13">
        <v>3.4441845481689458E-2</v>
      </c>
      <c r="BI15" s="13">
        <v>6.8586659114969639E-2</v>
      </c>
      <c r="BJ15" s="13">
        <v>-1.1265027087445249E-2</v>
      </c>
      <c r="BK15" s="13">
        <v>8.2375226780603827E-4</v>
      </c>
      <c r="BL15" s="13">
        <v>5.940387134134844E-2</v>
      </c>
      <c r="BM15" s="13">
        <v>6.6824821366729223E-2</v>
      </c>
      <c r="BN15" s="13">
        <v>4.0142569733189887E-2</v>
      </c>
      <c r="BO15" s="13">
        <v>2.773447595493098E-2</v>
      </c>
      <c r="BP15" s="13">
        <v>1.4184220707804779E-2</v>
      </c>
      <c r="BQ15" s="13">
        <v>1.280293129032776E-2</v>
      </c>
      <c r="BR15" s="13">
        <v>-5.0157429122059692E-2</v>
      </c>
      <c r="BS15" s="13">
        <v>-1.682377745028631E-2</v>
      </c>
      <c r="BT15" s="13">
        <v>8.9060205731334427E-2</v>
      </c>
      <c r="BU15" s="13">
        <v>1.9476419795793471E-2</v>
      </c>
      <c r="BV15" s="13">
        <v>5.8914967752548723E-2</v>
      </c>
      <c r="BW15" s="13">
        <v>-3.5945890129403732E-2</v>
      </c>
      <c r="BX15" s="13">
        <v>2.8635895065731481E-2</v>
      </c>
      <c r="BY15" s="13">
        <v>-6.1694091479059833E-2</v>
      </c>
      <c r="BZ15" s="13">
        <v>0.1029064689773473</v>
      </c>
      <c r="CA15" s="13">
        <v>2.9962900000000001E-2</v>
      </c>
      <c r="CB15" s="13">
        <v>1.5056894011824499E-2</v>
      </c>
      <c r="CC15" s="13">
        <v>-0.15231826505416149</v>
      </c>
      <c r="CD15" s="13">
        <v>0.1201520839630844</v>
      </c>
      <c r="CE15" s="13">
        <v>-0.1165165690701207</v>
      </c>
      <c r="CF15" s="13">
        <v>9.435665039342013E-2</v>
      </c>
      <c r="CG15" s="13">
        <v>-4.2988792533641554E-3</v>
      </c>
      <c r="CH15" s="13">
        <v>6.2885958283701332E-2</v>
      </c>
      <c r="CI15" s="13">
        <v>-3.8798414894980787E-2</v>
      </c>
      <c r="CJ15" s="13">
        <v>-8.7044356072718085E-2</v>
      </c>
      <c r="CK15" s="13">
        <v>5.667264577209942E-2</v>
      </c>
      <c r="CL15" s="13">
        <v>3.1421974993248308E-2</v>
      </c>
      <c r="CM15" s="13">
        <v>7.4631116128453773E-2</v>
      </c>
      <c r="CN15" s="13">
        <v>-4.2634115799160301E-2</v>
      </c>
      <c r="CO15" s="13">
        <v>-0.12944902488204141</v>
      </c>
      <c r="CP15" s="13">
        <v>0.12753583543294969</v>
      </c>
      <c r="CQ15" s="13">
        <v>3.7378010765128991E-2</v>
      </c>
      <c r="CR15" s="13">
        <v>4.8237070288164277E-2</v>
      </c>
      <c r="CS15" s="13">
        <v>6.0185172463594637E-2</v>
      </c>
      <c r="CT15" s="13">
        <v>7.3945749754547726E-3</v>
      </c>
      <c r="CU15" s="13">
        <v>-6.3178659914772728E-2</v>
      </c>
      <c r="CV15" s="13">
        <v>-6.1418469048089008E-3</v>
      </c>
      <c r="CW15" s="13">
        <v>-1.248466018044017E-2</v>
      </c>
      <c r="CX15" s="13">
        <v>2.4039607053330959E-2</v>
      </c>
      <c r="CY15" s="13">
        <v>-4.2470673077762339E-2</v>
      </c>
      <c r="CZ15" s="13">
        <v>7.9886947944342257E-2</v>
      </c>
      <c r="DA15" s="13">
        <v>-2.6375835441876511E-2</v>
      </c>
      <c r="DB15" s="13">
        <v>-3.0226618214123681E-2</v>
      </c>
      <c r="DC15" s="13">
        <v>3.5075149974582137E-2</v>
      </c>
      <c r="DD15" s="13">
        <v>-4.9393690499884603E-2</v>
      </c>
      <c r="DE15" s="13">
        <v>2.494871474504301E-2</v>
      </c>
      <c r="DF15" s="13">
        <v>-4.2391306399394757E-2</v>
      </c>
      <c r="DG15" s="13">
        <v>1.61967316182412E-2</v>
      </c>
      <c r="DH15" s="13">
        <v>-1.8709011043892099E-2</v>
      </c>
      <c r="DI15" s="13">
        <v>-1.171844900945769E-2</v>
      </c>
      <c r="DJ15" s="13">
        <v>-5.1853853094406883E-2</v>
      </c>
      <c r="DK15" s="13">
        <v>0.101774834051468</v>
      </c>
      <c r="DL15" s="13">
        <v>6.2635494088437937E-2</v>
      </c>
      <c r="DM15" s="13">
        <v>-2.380854686766869E-2</v>
      </c>
      <c r="DN15" s="13">
        <v>4.3996497423619649E-2</v>
      </c>
      <c r="DO15" s="13">
        <v>4.6296727233800808E-2</v>
      </c>
      <c r="DP15" s="13">
        <v>2.3735602006892551E-2</v>
      </c>
      <c r="DQ15" s="13">
        <v>-9.5040907459428614E-2</v>
      </c>
      <c r="DR15" s="13">
        <v>7.0010566617938433E-2</v>
      </c>
      <c r="DS15" s="13">
        <v>-7.6241908411797149E-2</v>
      </c>
      <c r="DT15" s="13">
        <v>-7.2163631718163007E-2</v>
      </c>
      <c r="DU15" s="13">
        <v>-4.5770728951680668E-2</v>
      </c>
      <c r="DV15" s="13">
        <v>0.13976835694087139</v>
      </c>
      <c r="DW15" s="13">
        <v>2.5538627146832551E-2</v>
      </c>
      <c r="DX15" s="13">
        <v>-0.1186162506499864</v>
      </c>
      <c r="DY15" s="13">
        <v>0.10653916660100959</v>
      </c>
      <c r="DZ15" s="13">
        <v>-1.8920244069384411E-2</v>
      </c>
      <c r="EA15" s="13">
        <v>2.7338726209839619E-2</v>
      </c>
      <c r="EB15" s="13">
        <v>4.8518573131244913E-2</v>
      </c>
      <c r="EC15" s="13">
        <v>6.6081856047946447E-2</v>
      </c>
      <c r="ED15" s="13">
        <v>-0.1133570559353114</v>
      </c>
      <c r="EE15" s="13">
        <v>-1.6245414536088298E-2</v>
      </c>
      <c r="EF15" s="13">
        <v>6.5700991138842244E-2</v>
      </c>
      <c r="EG15" s="20">
        <f t="shared" si="10"/>
        <v>1.416497496819503E-2</v>
      </c>
      <c r="EH15" s="1">
        <f t="shared" si="11"/>
        <v>8.0298239219091197E-2</v>
      </c>
      <c r="EI15" s="22">
        <f t="shared" si="12"/>
        <v>0.1764045526520992</v>
      </c>
    </row>
    <row r="16" spans="1:139">
      <c r="A16" s="23">
        <v>107</v>
      </c>
      <c r="B16" s="23">
        <v>9</v>
      </c>
      <c r="C16" s="13">
        <v>-2.7383644610379052E-2</v>
      </c>
      <c r="D16" s="13">
        <v>0.40819544444444439</v>
      </c>
      <c r="E16" s="13">
        <v>-2.8301766100853822E-3</v>
      </c>
      <c r="F16" s="13">
        <v>0.1242606666666667</v>
      </c>
      <c r="G16" s="13">
        <v>-7.3696265126923857E-2</v>
      </c>
      <c r="H16" s="13">
        <v>7.2848777777777762E-2</v>
      </c>
      <c r="I16" s="13">
        <v>0.111792</v>
      </c>
      <c r="J16" s="13">
        <v>-6.8693444444444446E-2</v>
      </c>
      <c r="K16" s="13">
        <v>-0.28467055022653209</v>
      </c>
      <c r="L16" s="13">
        <v>9.8865345878687977E-3</v>
      </c>
      <c r="M16" s="13">
        <v>-0.19487577777777779</v>
      </c>
      <c r="N16" s="13">
        <v>0.36698788888888889</v>
      </c>
      <c r="O16" s="13">
        <v>1.562111111111111E-2</v>
      </c>
      <c r="P16" s="13">
        <v>6.1979777777777773E-2</v>
      </c>
      <c r="Q16" s="13">
        <v>9.6619888888888894E-2</v>
      </c>
      <c r="R16" s="13">
        <v>1.918244444444445E-2</v>
      </c>
      <c r="S16" s="13">
        <v>-4.2415111111111112E-2</v>
      </c>
      <c r="T16" s="13">
        <v>-2.322744444444445E-2</v>
      </c>
      <c r="U16" s="13">
        <v>4.8649666666666667E-2</v>
      </c>
      <c r="V16" s="13">
        <v>-0.1043152222222222</v>
      </c>
      <c r="W16" s="13">
        <v>7.8373444444444454E-2</v>
      </c>
      <c r="X16" s="13">
        <v>7.3678333333333373E-2</v>
      </c>
      <c r="Y16" s="13">
        <v>-4.2885555555555559E-3</v>
      </c>
      <c r="Z16" s="13">
        <v>-2.0075777777777779E-2</v>
      </c>
      <c r="AA16" s="13">
        <v>-4.3487635835992113E-2</v>
      </c>
      <c r="AB16" s="13">
        <v>-7.1015999999999996E-2</v>
      </c>
      <c r="AC16" s="13">
        <v>-4.1040111111111117E-2</v>
      </c>
      <c r="AD16" s="13">
        <v>-1.122025849076259E-3</v>
      </c>
      <c r="AE16" s="13">
        <v>5.153399999999999E-2</v>
      </c>
      <c r="AF16" s="13">
        <v>-6.3685842581589158E-2</v>
      </c>
      <c r="AG16" s="13">
        <v>-8.3015555555555516E-3</v>
      </c>
      <c r="AH16" s="13">
        <v>3.1765400449440553E-2</v>
      </c>
      <c r="AI16" s="13">
        <v>9.052311111111111E-2</v>
      </c>
      <c r="AJ16" s="13">
        <v>-1.763E-2</v>
      </c>
      <c r="AK16" s="13">
        <v>-7.9863333333333383E-3</v>
      </c>
      <c r="AL16" s="13">
        <v>4.8688933104523248E-2</v>
      </c>
      <c r="AM16" s="13">
        <v>6.6076730601797973E-2</v>
      </c>
      <c r="AN16" s="13">
        <v>0.1064562000896756</v>
      </c>
      <c r="AO16" s="13">
        <v>6.1424671825912318E-2</v>
      </c>
      <c r="AP16" s="13">
        <v>5.2404444444444451E-3</v>
      </c>
      <c r="AQ16" s="13">
        <v>-3.8466200146068608E-2</v>
      </c>
      <c r="AR16" s="13">
        <v>0.1032911790604924</v>
      </c>
      <c r="AS16" s="13">
        <v>6.5068225473969343E-2</v>
      </c>
      <c r="AT16" s="13">
        <v>4.954715531837002E-2</v>
      </c>
      <c r="AU16" s="13">
        <v>4.1826838254895117E-2</v>
      </c>
      <c r="AV16" s="13">
        <v>-9.0725067800187069E-3</v>
      </c>
      <c r="AW16" s="13">
        <v>3.9252930074650652E-2</v>
      </c>
      <c r="AX16" s="13">
        <v>-6.8555555555555609E-3</v>
      </c>
      <c r="AY16" s="13">
        <v>3.3812589844345937E-2</v>
      </c>
      <c r="AZ16" s="13">
        <v>-0.1049096351787122</v>
      </c>
      <c r="BA16" s="13">
        <v>1.4923105057586089E-2</v>
      </c>
      <c r="BB16" s="13">
        <v>0.10803892415273809</v>
      </c>
      <c r="BC16" s="13">
        <v>6.712146610769186E-2</v>
      </c>
      <c r="BD16" s="13">
        <v>3.5936711545904013E-2</v>
      </c>
      <c r="BE16" s="13">
        <v>5.1410994394474947E-2</v>
      </c>
      <c r="BF16" s="13">
        <v>6.4268054319718215E-2</v>
      </c>
      <c r="BG16" s="13">
        <v>1.347328204795663E-2</v>
      </c>
      <c r="BH16" s="13">
        <v>-1.377561448396186E-2</v>
      </c>
      <c r="BI16" s="13">
        <v>4.1443807763261883E-2</v>
      </c>
      <c r="BJ16" s="13">
        <v>-2.0503816283207601E-2</v>
      </c>
      <c r="BK16" s="13">
        <v>2.9719902951970238E-3</v>
      </c>
      <c r="BL16" s="13">
        <v>7.0623565707523178E-2</v>
      </c>
      <c r="BM16" s="13">
        <v>8.1523875041965066E-2</v>
      </c>
      <c r="BN16" s="13">
        <v>4.7905832604027233E-2</v>
      </c>
      <c r="BO16" s="13">
        <v>2.1890359953657689E-2</v>
      </c>
      <c r="BP16" s="13">
        <v>2.0843183547580579E-2</v>
      </c>
      <c r="BQ16" s="13">
        <v>1.6478016254928601E-2</v>
      </c>
      <c r="BR16" s="13">
        <v>-2.6296848021444389E-2</v>
      </c>
      <c r="BS16" s="13">
        <v>-1.319157314746418E-2</v>
      </c>
      <c r="BT16" s="13">
        <v>8.5483191267799616E-2</v>
      </c>
      <c r="BU16" s="13">
        <v>5.7765110184800447E-2</v>
      </c>
      <c r="BV16" s="13">
        <v>6.0711239446840828E-2</v>
      </c>
      <c r="BW16" s="13">
        <v>-6.5740927426534632E-2</v>
      </c>
      <c r="BX16" s="13">
        <v>3.1559237521130948E-2</v>
      </c>
      <c r="BY16" s="13">
        <v>-5.0563732847242943E-2</v>
      </c>
      <c r="BZ16" s="13">
        <v>0.11152584850164921</v>
      </c>
      <c r="CA16" s="13">
        <v>2.7431000000000001E-2</v>
      </c>
      <c r="CB16" s="13">
        <v>-1.4280449892172949E-3</v>
      </c>
      <c r="CC16" s="13">
        <v>-0.15907251448393439</v>
      </c>
      <c r="CD16" s="13">
        <v>0.15507127162636181</v>
      </c>
      <c r="CE16" s="13">
        <v>-0.13259506079351141</v>
      </c>
      <c r="CF16" s="13">
        <v>0.10520126400975099</v>
      </c>
      <c r="CG16" s="13">
        <v>-5.3785190313301026E-3</v>
      </c>
      <c r="CH16" s="13">
        <v>4.1697414703027062E-2</v>
      </c>
      <c r="CI16" s="13">
        <v>-3.8709881828517527E-2</v>
      </c>
      <c r="CJ16" s="13">
        <v>-4.5523550787666608E-2</v>
      </c>
      <c r="CK16" s="13">
        <v>7.6472983717690388E-2</v>
      </c>
      <c r="CL16" s="13">
        <v>1.5878682334709331E-2</v>
      </c>
      <c r="CM16" s="13">
        <v>8.8988628149511667E-2</v>
      </c>
      <c r="CN16" s="13">
        <v>-3.3057515140949983E-2</v>
      </c>
      <c r="CO16" s="13">
        <v>-0.18245195453982929</v>
      </c>
      <c r="CP16" s="13">
        <v>0.13663168948209131</v>
      </c>
      <c r="CQ16" s="13">
        <v>4.1435605659410409E-2</v>
      </c>
      <c r="CR16" s="13">
        <v>4.829976668331655E-2</v>
      </c>
      <c r="CS16" s="13">
        <v>6.6559159874073834E-2</v>
      </c>
      <c r="CT16" s="13">
        <v>5.0674065008409694E-3</v>
      </c>
      <c r="CU16" s="13">
        <v>-6.343465435897469E-2</v>
      </c>
      <c r="CV16" s="13">
        <v>-1.6751084080720881E-2</v>
      </c>
      <c r="CW16" s="13">
        <v>-9.1941595326216954E-3</v>
      </c>
      <c r="CX16" s="13">
        <v>1.224028475424996E-2</v>
      </c>
      <c r="CY16" s="13">
        <v>-4.9117049116625407E-2</v>
      </c>
      <c r="CZ16" s="13">
        <v>0.1026332591781325</v>
      </c>
      <c r="DA16" s="13">
        <v>-2.9804793967235531E-2</v>
      </c>
      <c r="DB16" s="13">
        <v>-4.2712169780226052E-2</v>
      </c>
      <c r="DC16" s="13">
        <v>4.2942362320500277E-2</v>
      </c>
      <c r="DD16" s="13">
        <v>-7.0070935057357717E-2</v>
      </c>
      <c r="DE16" s="13">
        <v>3.4444372341228768E-2</v>
      </c>
      <c r="DF16" s="13">
        <v>-2.31464332255591E-2</v>
      </c>
      <c r="DG16" s="13">
        <v>1.445294763143863E-2</v>
      </c>
      <c r="DH16" s="13">
        <v>-1.9129343417971109E-2</v>
      </c>
      <c r="DI16" s="13">
        <v>-1.323342571252227E-2</v>
      </c>
      <c r="DJ16" s="13">
        <v>-2.914140608062964E-2</v>
      </c>
      <c r="DK16" s="13">
        <v>0.1335943566255807</v>
      </c>
      <c r="DL16" s="13">
        <v>6.5113036128644886E-2</v>
      </c>
      <c r="DM16" s="13">
        <v>-3.0330949758340948E-2</v>
      </c>
      <c r="DN16" s="13">
        <v>4.2437853359407113E-2</v>
      </c>
      <c r="DO16" s="13">
        <v>5.3221907556143692E-2</v>
      </c>
      <c r="DP16" s="13">
        <v>1.9841948579226051E-2</v>
      </c>
      <c r="DQ16" s="13">
        <v>-8.3033658077016542E-2</v>
      </c>
      <c r="DR16" s="13">
        <v>5.5191251649515209E-2</v>
      </c>
      <c r="DS16" s="13">
        <v>-9.3752064989754288E-2</v>
      </c>
      <c r="DT16" s="13">
        <v>-0.10053412782446559</v>
      </c>
      <c r="DU16" s="13">
        <v>-6.447373376953866E-2</v>
      </c>
      <c r="DV16" s="13">
        <v>0.13695373201779351</v>
      </c>
      <c r="DW16" s="13">
        <v>4.0917729699690833E-2</v>
      </c>
      <c r="DX16" s="13">
        <v>-0.1252847063239774</v>
      </c>
      <c r="DY16" s="13">
        <v>0.11635433491034319</v>
      </c>
      <c r="DZ16" s="13">
        <v>-3.1277079824676451E-2</v>
      </c>
      <c r="EA16" s="13">
        <v>4.6661371555726909E-2</v>
      </c>
      <c r="EB16" s="13">
        <v>7.8610638743133537E-2</v>
      </c>
      <c r="EC16" s="13">
        <v>6.3532066634569728E-2</v>
      </c>
      <c r="ED16" s="13">
        <v>-0.1154167474989211</v>
      </c>
      <c r="EE16" s="13">
        <v>-2.3090711524611399E-2</v>
      </c>
      <c r="EF16" s="13">
        <v>4.2474401493907223E-2</v>
      </c>
      <c r="EG16" s="20">
        <f t="shared" si="10"/>
        <v>1.580276681165348E-2</v>
      </c>
      <c r="EH16" s="1">
        <f t="shared" si="11"/>
        <v>8.5003201606898823E-2</v>
      </c>
      <c r="EI16" s="20">
        <f t="shared" si="12"/>
        <v>0.18590790126628517</v>
      </c>
    </row>
    <row r="17" spans="1:139">
      <c r="A17" s="23">
        <v>120</v>
      </c>
      <c r="B17" s="23">
        <v>8</v>
      </c>
      <c r="C17" s="13">
        <v>-4.1028984252961823E-2</v>
      </c>
      <c r="D17" s="13">
        <v>0.43958837499999998</v>
      </c>
      <c r="E17" s="13">
        <v>7.3790014953013412E-3</v>
      </c>
      <c r="F17" s="13">
        <v>0.14677200000000001</v>
      </c>
      <c r="G17" s="13">
        <v>-7.122276687818177E-2</v>
      </c>
      <c r="H17" s="13">
        <v>0.10499475</v>
      </c>
      <c r="I17" s="13">
        <v>6.7489250000000001E-2</v>
      </c>
      <c r="J17" s="13">
        <v>-0.11529837499999999</v>
      </c>
      <c r="K17" s="13">
        <v>-0.29682655110056239</v>
      </c>
      <c r="L17" s="13">
        <v>9.7108895081580021E-3</v>
      </c>
      <c r="M17" s="13">
        <v>-0.22693987500000001</v>
      </c>
      <c r="N17" s="13">
        <v>0.40510825</v>
      </c>
      <c r="O17" s="13">
        <v>2.4632125000000001E-2</v>
      </c>
      <c r="P17" s="13">
        <v>7.6915624999999987E-2</v>
      </c>
      <c r="Q17" s="13">
        <v>0.106432375</v>
      </c>
      <c r="R17" s="13">
        <v>1.975000000000005E-3</v>
      </c>
      <c r="S17" s="13">
        <v>-5.5131750000000007E-2</v>
      </c>
      <c r="T17" s="13">
        <v>-2.3508375000000001E-2</v>
      </c>
      <c r="U17" s="13">
        <v>5.2288375000000012E-2</v>
      </c>
      <c r="V17" s="13">
        <v>-0.116355125</v>
      </c>
      <c r="W17" s="13">
        <v>7.9142125000000008E-2</v>
      </c>
      <c r="X17" s="13">
        <v>0.10018637499999999</v>
      </c>
      <c r="Y17" s="13">
        <v>1.4991250000000039E-3</v>
      </c>
      <c r="Z17" s="13">
        <v>-2.1608499999999999E-2</v>
      </c>
      <c r="AA17" s="13">
        <v>-3.5209789582199093E-2</v>
      </c>
      <c r="AB17" s="13">
        <v>-5.8334375000000008E-2</v>
      </c>
      <c r="AC17" s="13">
        <v>-4.0799124999999999E-2</v>
      </c>
      <c r="AD17" s="13">
        <v>-2.1912844173640599E-2</v>
      </c>
      <c r="AE17" s="13">
        <v>5.9443249999999989E-2</v>
      </c>
      <c r="AF17" s="13">
        <v>-6.1429310121940139E-2</v>
      </c>
      <c r="AG17" s="13">
        <v>-1.3512499999999981E-3</v>
      </c>
      <c r="AH17" s="13">
        <v>3.5472619172888853E-2</v>
      </c>
      <c r="AI17" s="13">
        <v>0.114865125</v>
      </c>
      <c r="AJ17" s="13">
        <v>-2.2208249999999999E-2</v>
      </c>
      <c r="AK17" s="13">
        <v>-1.3324625E-2</v>
      </c>
      <c r="AL17" s="13">
        <v>5.0724405748556509E-2</v>
      </c>
      <c r="AM17" s="13">
        <v>7.5369367587656971E-2</v>
      </c>
      <c r="AN17" s="13">
        <v>0.1132871203459177</v>
      </c>
      <c r="AO17" s="13">
        <v>1.2632334595724191E-2</v>
      </c>
      <c r="AP17" s="13">
        <v>3.7592499999999991E-3</v>
      </c>
      <c r="AQ17" s="13">
        <v>-6.052713740149903E-2</v>
      </c>
      <c r="AR17" s="13">
        <v>0.11393070989481729</v>
      </c>
      <c r="AS17" s="13">
        <v>5.6323562034475708E-2</v>
      </c>
      <c r="AT17" s="13">
        <v>5.2267806449722218E-2</v>
      </c>
      <c r="AU17" s="13">
        <v>5.4555507286687788E-2</v>
      </c>
      <c r="AV17" s="13">
        <v>-2.120590278226837E-2</v>
      </c>
      <c r="AW17" s="13">
        <v>8.4218880418367916E-3</v>
      </c>
      <c r="AX17" s="13">
        <v>1.0592374999999999E-2</v>
      </c>
      <c r="AY17" s="13">
        <v>2.742369669060089E-2</v>
      </c>
      <c r="AZ17" s="13">
        <v>-0.1251576022601911</v>
      </c>
      <c r="BA17" s="13">
        <v>9.8251791071129642E-3</v>
      </c>
      <c r="BB17" s="13">
        <v>0.1237640631138444</v>
      </c>
      <c r="BC17" s="13">
        <v>8.386319517781364E-2</v>
      </c>
      <c r="BD17" s="13">
        <v>2.235648224620481E-2</v>
      </c>
      <c r="BE17" s="13">
        <v>7.7350242238060404E-2</v>
      </c>
      <c r="BF17" s="13">
        <v>5.5197496608953713E-2</v>
      </c>
      <c r="BG17" s="13">
        <v>-3.5394236088037288E-2</v>
      </c>
      <c r="BH17" s="13">
        <v>1.351946085175304E-2</v>
      </c>
      <c r="BI17" s="13">
        <v>8.7111945439947241E-2</v>
      </c>
      <c r="BJ17" s="13">
        <v>-9.8580642732364818E-3</v>
      </c>
      <c r="BK17" s="13">
        <v>-1.3822952070105509E-2</v>
      </c>
      <c r="BL17" s="13">
        <v>7.7482966799946165E-2</v>
      </c>
      <c r="BM17" s="13">
        <v>7.5997770445859966E-2</v>
      </c>
      <c r="BN17" s="13">
        <v>4.6915525593877988E-2</v>
      </c>
      <c r="BO17" s="13">
        <v>3.5179615416723611E-2</v>
      </c>
      <c r="BP17" s="13">
        <v>3.5995979654480911E-2</v>
      </c>
      <c r="BQ17" s="13">
        <v>1.1376510446451601E-2</v>
      </c>
      <c r="BR17" s="13">
        <v>-9.6463751247498966E-3</v>
      </c>
      <c r="BS17" s="13">
        <v>-4.1034691106065987E-3</v>
      </c>
      <c r="BT17" s="13">
        <v>0.1094163788704233</v>
      </c>
      <c r="BU17" s="13">
        <v>7.1127818750752414E-2</v>
      </c>
      <c r="BV17" s="13">
        <v>7.0210303019628315E-2</v>
      </c>
      <c r="BW17" s="13">
        <v>-8.0431712599265903E-2</v>
      </c>
      <c r="BX17" s="13">
        <v>2.882296461967274E-2</v>
      </c>
      <c r="BY17" s="13">
        <v>-8.4245467628694337E-2</v>
      </c>
      <c r="BZ17" s="13">
        <v>0.12057815588108529</v>
      </c>
      <c r="CA17" s="13">
        <v>2.7196125000000002E-2</v>
      </c>
      <c r="CB17" s="13">
        <v>-1.047770749199251E-2</v>
      </c>
      <c r="CC17" s="13">
        <v>-0.17495797398968091</v>
      </c>
      <c r="CD17" s="13">
        <v>0.17295974121914859</v>
      </c>
      <c r="CE17" s="13">
        <v>-0.17511624550605151</v>
      </c>
      <c r="CF17" s="13">
        <v>9.8746197426198501E-2</v>
      </c>
      <c r="CG17" s="13">
        <v>-1.552710507507719E-2</v>
      </c>
      <c r="CH17" s="13">
        <v>5.8636446607050002E-2</v>
      </c>
      <c r="CI17" s="13">
        <v>-1.4531184989588509E-2</v>
      </c>
      <c r="CJ17" s="13">
        <v>-5.0742321484442049E-2</v>
      </c>
      <c r="CK17" s="13">
        <v>9.1738572657912937E-2</v>
      </c>
      <c r="CL17" s="13">
        <v>-9.426344769031314E-3</v>
      </c>
      <c r="CM17" s="13">
        <v>0.13456934443157431</v>
      </c>
      <c r="CN17" s="13">
        <v>-2.6718061150986971E-2</v>
      </c>
      <c r="CO17" s="13">
        <v>-0.20253862726298949</v>
      </c>
      <c r="CP17" s="13">
        <v>0.1481592691973436</v>
      </c>
      <c r="CQ17" s="13">
        <v>4.1087933183403327E-2</v>
      </c>
      <c r="CR17" s="13">
        <v>5.0676490702223173E-2</v>
      </c>
      <c r="CS17" s="13">
        <v>9.6841631299569769E-2</v>
      </c>
      <c r="CT17" s="13">
        <v>4.9260056389193077E-2</v>
      </c>
      <c r="CU17" s="13">
        <v>-7.440830758325391E-2</v>
      </c>
      <c r="CV17" s="13">
        <v>3.8796079399274282E-3</v>
      </c>
      <c r="CW17" s="13">
        <v>-1.976185390935294E-2</v>
      </c>
      <c r="CX17" s="13">
        <v>1.0772394523947831E-2</v>
      </c>
      <c r="CY17" s="13">
        <v>-4.9383298716090041E-2</v>
      </c>
      <c r="CZ17" s="13">
        <v>0.1242488378476205</v>
      </c>
      <c r="DA17" s="13">
        <v>-4.3895859145134192E-2</v>
      </c>
      <c r="DB17" s="13">
        <v>-3.4883010792467917E-2</v>
      </c>
      <c r="DC17" s="13">
        <v>4.3363468977499313E-2</v>
      </c>
      <c r="DD17" s="13">
        <v>-8.5133933084153957E-2</v>
      </c>
      <c r="DE17" s="13">
        <v>4.3723415783303222E-2</v>
      </c>
      <c r="DF17" s="13">
        <v>-1.123137032665928E-2</v>
      </c>
      <c r="DG17" s="13">
        <v>-1.8392819289084069E-3</v>
      </c>
      <c r="DH17" s="13">
        <v>-3.8726650938012717E-2</v>
      </c>
      <c r="DI17" s="13">
        <v>-5.2932443237824478E-3</v>
      </c>
      <c r="DJ17" s="13">
        <v>-4.5336157540819967E-2</v>
      </c>
      <c r="DK17" s="13">
        <v>0.15603642811654619</v>
      </c>
      <c r="DL17" s="13">
        <v>7.3515600937171063E-2</v>
      </c>
      <c r="DM17" s="13">
        <v>-5.2252910582316028E-2</v>
      </c>
      <c r="DN17" s="13">
        <v>3.5489032714339008E-2</v>
      </c>
      <c r="DO17" s="13">
        <v>5.3451370339903423E-2</v>
      </c>
      <c r="DP17" s="13">
        <v>-1.651850825662354E-2</v>
      </c>
      <c r="DQ17" s="13">
        <v>-0.1077024687966308</v>
      </c>
      <c r="DR17" s="13">
        <v>5.5884814876328279E-2</v>
      </c>
      <c r="DS17" s="13">
        <v>-0.12431615980481089</v>
      </c>
      <c r="DT17" s="13">
        <v>-9.3138949685151573E-2</v>
      </c>
      <c r="DU17" s="13">
        <v>-7.1730706050505327E-2</v>
      </c>
      <c r="DV17" s="13">
        <v>0.11776539811095429</v>
      </c>
      <c r="DW17" s="13">
        <v>4.8681483414150163E-2</v>
      </c>
      <c r="DX17" s="13">
        <v>-0.12953898259647401</v>
      </c>
      <c r="DY17" s="13">
        <v>0.11213845480607409</v>
      </c>
      <c r="DZ17" s="13">
        <v>-3.1828172599786188E-2</v>
      </c>
      <c r="EA17" s="13">
        <v>1.181792386571255E-2</v>
      </c>
      <c r="EB17" s="13">
        <v>8.7100349194739302E-2</v>
      </c>
      <c r="EC17" s="13">
        <v>1.6425217216060651E-2</v>
      </c>
      <c r="ED17" s="13">
        <v>-0.12832444392891271</v>
      </c>
      <c r="EE17" s="13">
        <v>-2.5413360310033831E-2</v>
      </c>
      <c r="EF17" s="13">
        <v>4.7709767009851849E-2</v>
      </c>
      <c r="EG17" s="20">
        <f t="shared" si="10"/>
        <v>1.5250552939215085E-2</v>
      </c>
      <c r="EH17" s="1">
        <f t="shared" si="11"/>
        <v>9.4626491880590968E-2</v>
      </c>
      <c r="EI17" s="22">
        <f t="shared" si="12"/>
        <v>0.16116578598792117</v>
      </c>
    </row>
    <row r="18" spans="1:139">
      <c r="A18" s="23">
        <v>137</v>
      </c>
      <c r="B18" s="23">
        <v>7</v>
      </c>
      <c r="C18" s="13">
        <v>-5.3942228163147227E-2</v>
      </c>
      <c r="D18" s="13">
        <v>0.40188400000000007</v>
      </c>
      <c r="E18" s="13">
        <v>-5.900065709820778E-2</v>
      </c>
      <c r="F18" s="13">
        <v>0.21209085714285711</v>
      </c>
      <c r="G18" s="13">
        <v>-8.0794247020859855E-2</v>
      </c>
      <c r="H18" s="13">
        <v>0.12853999999999999</v>
      </c>
      <c r="I18" s="13">
        <v>5.4952571428571427E-2</v>
      </c>
      <c r="J18" s="13">
        <v>-0.12516085714285721</v>
      </c>
      <c r="K18" s="13">
        <v>-0.35868209850789973</v>
      </c>
      <c r="L18" s="13">
        <v>1.298248684698161E-2</v>
      </c>
      <c r="M18" s="13">
        <v>-0.25351285714285721</v>
      </c>
      <c r="N18" s="13">
        <v>0.46182042857142858</v>
      </c>
      <c r="O18" s="13">
        <v>2.432414285714286E-2</v>
      </c>
      <c r="P18" s="13">
        <v>5.4569714285714277E-2</v>
      </c>
      <c r="Q18" s="13">
        <v>0.1217387142857143</v>
      </c>
      <c r="R18" s="13">
        <v>1.9326571428571419E-2</v>
      </c>
      <c r="S18" s="13">
        <v>-6.9013285714285721E-2</v>
      </c>
      <c r="T18" s="13">
        <v>-5.0295714285714301E-3</v>
      </c>
      <c r="U18" s="13">
        <v>2.8133571428571431E-2</v>
      </c>
      <c r="V18" s="13">
        <v>-0.13125300000000001</v>
      </c>
      <c r="W18" s="13">
        <v>7.7297000000000005E-2</v>
      </c>
      <c r="X18" s="13">
        <v>0.12712328571428569</v>
      </c>
      <c r="Y18" s="13">
        <v>2.4211857142857139E-2</v>
      </c>
      <c r="Z18" s="13">
        <v>-1.690557142857143E-2</v>
      </c>
      <c r="AA18" s="13">
        <v>-4.1705245182724067E-2</v>
      </c>
      <c r="AB18" s="13">
        <v>-6.1713999999999991E-2</v>
      </c>
      <c r="AC18" s="13">
        <v>-7.4719857142857143E-2</v>
      </c>
      <c r="AD18" s="13">
        <v>-2.659559037908019E-2</v>
      </c>
      <c r="AE18" s="13">
        <v>7.7200999999999978E-2</v>
      </c>
      <c r="AF18" s="13">
        <v>-3.187341816062559E-2</v>
      </c>
      <c r="AG18" s="13">
        <v>-8.6178571428571424E-3</v>
      </c>
      <c r="AH18" s="13">
        <v>4.0197460968514703E-2</v>
      </c>
      <c r="AI18" s="13">
        <v>0.11808642857142861</v>
      </c>
      <c r="AJ18" s="13">
        <v>-7.3281428571428664E-3</v>
      </c>
      <c r="AK18" s="13">
        <v>2.7291285714285719E-2</v>
      </c>
      <c r="AL18" s="13">
        <v>4.7527763632257733E-2</v>
      </c>
      <c r="AM18" s="13">
        <v>6.6643405424771207E-2</v>
      </c>
      <c r="AN18" s="13">
        <v>7.9294639955201793E-2</v>
      </c>
      <c r="AO18" s="13">
        <v>5.4275349676927882E-3</v>
      </c>
      <c r="AP18" s="13">
        <v>2.0157142857142869E-3</v>
      </c>
      <c r="AQ18" s="13">
        <v>-7.6230845326449942E-2</v>
      </c>
      <c r="AR18" s="13">
        <v>0.1245455063629442</v>
      </c>
      <c r="AS18" s="13">
        <v>8.5826551553969135E-2</v>
      </c>
      <c r="AT18" s="13">
        <v>4.3325649820578682E-2</v>
      </c>
      <c r="AU18" s="13">
        <v>6.4575644079591543E-2</v>
      </c>
      <c r="AV18" s="13">
        <v>-2.8768755881717199E-2</v>
      </c>
      <c r="AW18" s="13">
        <v>2.4538034241107461E-2</v>
      </c>
      <c r="AX18" s="13">
        <v>3.3604285714285712E-2</v>
      </c>
      <c r="AY18" s="13">
        <v>3.4783278641148073E-2</v>
      </c>
      <c r="AZ18" s="13">
        <v>-0.14840908238889911</v>
      </c>
      <c r="BA18" s="13">
        <v>6.3231092468556214E-4</v>
      </c>
      <c r="BB18" s="13">
        <v>0.13765604215733709</v>
      </c>
      <c r="BC18" s="13">
        <v>8.3201572593320602E-2</v>
      </c>
      <c r="BD18" s="13">
        <v>-2.4016271687300441E-2</v>
      </c>
      <c r="BE18" s="13">
        <v>6.8361213238162841E-2</v>
      </c>
      <c r="BF18" s="13">
        <v>4.5884536299578838E-2</v>
      </c>
      <c r="BG18" s="13">
        <v>-1.680624122620418E-2</v>
      </c>
      <c r="BH18" s="13">
        <v>2.0503853063805449E-2</v>
      </c>
      <c r="BI18" s="13">
        <v>0.1090000069186657</v>
      </c>
      <c r="BJ18" s="13">
        <v>5.9560640504595433E-3</v>
      </c>
      <c r="BK18" s="13">
        <v>-5.8003244170202591E-2</v>
      </c>
      <c r="BL18" s="13">
        <v>8.1157673820204085E-2</v>
      </c>
      <c r="BM18" s="13">
        <v>0.1027739390634396</v>
      </c>
      <c r="BN18" s="13">
        <v>5.2774389623830152E-2</v>
      </c>
      <c r="BO18" s="13">
        <v>2.0227496106374639E-2</v>
      </c>
      <c r="BP18" s="13">
        <v>4.6857540334682007E-2</v>
      </c>
      <c r="BQ18" s="13">
        <v>1.916784109848992E-3</v>
      </c>
      <c r="BR18" s="13">
        <v>-5.7481935839547244E-3</v>
      </c>
      <c r="BS18" s="13">
        <v>-3.9836250971192512E-3</v>
      </c>
      <c r="BT18" s="13">
        <v>0.1152367480358866</v>
      </c>
      <c r="BU18" s="13">
        <v>8.0677444040040805E-2</v>
      </c>
      <c r="BV18" s="13">
        <v>8.0923395277042356E-2</v>
      </c>
      <c r="BW18" s="13">
        <v>-8.531108693319546E-2</v>
      </c>
      <c r="BX18" s="13">
        <v>1.9018474716035669E-2</v>
      </c>
      <c r="BY18" s="13">
        <v>-0.1230749758240248</v>
      </c>
      <c r="BZ18" s="13">
        <v>0.15331998780259809</v>
      </c>
      <c r="CA18" s="13">
        <v>3.3285857142857138E-2</v>
      </c>
      <c r="CB18" s="13">
        <v>-2.4577356612448309E-2</v>
      </c>
      <c r="CC18" s="13">
        <v>-2.817344401940013E-2</v>
      </c>
      <c r="CD18" s="13">
        <v>0.19371681864683071</v>
      </c>
      <c r="CE18" s="13">
        <v>-0.1779263563088774</v>
      </c>
      <c r="CF18" s="13">
        <v>7.1817591700374064E-2</v>
      </c>
      <c r="CG18" s="13">
        <v>-2.8013589394155079E-3</v>
      </c>
      <c r="CH18" s="13">
        <v>0.16265704668723319</v>
      </c>
      <c r="CI18" s="13">
        <v>-3.8869139877689488E-2</v>
      </c>
      <c r="CJ18" s="13">
        <v>-6.2313677824909687E-2</v>
      </c>
      <c r="CK18" s="13">
        <v>9.0667784292283726E-2</v>
      </c>
      <c r="CL18" s="13">
        <v>-3.0989545058193121E-2</v>
      </c>
      <c r="CM18" s="13">
        <v>0.14364854316439371</v>
      </c>
      <c r="CN18" s="13">
        <v>-3.5086253978176607E-2</v>
      </c>
      <c r="CO18" s="13">
        <v>-0.23157387854942929</v>
      </c>
      <c r="CP18" s="13">
        <v>0.16283910894801071</v>
      </c>
      <c r="CQ18" s="13">
        <v>4.7976536408267538E-2</v>
      </c>
      <c r="CR18" s="13">
        <v>5.5156128716592027E-2</v>
      </c>
      <c r="CS18" s="13">
        <v>7.802724673197127E-2</v>
      </c>
      <c r="CT18" s="13">
        <v>9.0515429002249403E-2</v>
      </c>
      <c r="CU18" s="13">
        <v>-7.1648691205109999E-2</v>
      </c>
      <c r="CV18" s="13">
        <v>9.1040282230288663E-2</v>
      </c>
      <c r="CW18" s="13">
        <v>-8.4560855645258066E-3</v>
      </c>
      <c r="CX18" s="13">
        <v>6.1560185833778078E-2</v>
      </c>
      <c r="CY18" s="13">
        <v>-5.135741377478225E-2</v>
      </c>
      <c r="CZ18" s="13">
        <v>0.13284286330177139</v>
      </c>
      <c r="DA18" s="13">
        <v>-4.7380939518693557E-2</v>
      </c>
      <c r="DB18" s="13">
        <v>-4.5735208678759381E-2</v>
      </c>
      <c r="DC18" s="13">
        <v>3.6408781495506221E-2</v>
      </c>
      <c r="DD18" s="13">
        <v>-8.2462353495414184E-2</v>
      </c>
      <c r="DE18" s="13">
        <v>4.9173444891641022E-2</v>
      </c>
      <c r="DF18" s="13">
        <v>-3.5042778782370262E-2</v>
      </c>
      <c r="DG18" s="13">
        <v>-7.619473157627699E-3</v>
      </c>
      <c r="DH18" s="13">
        <v>-2.8038013248649029E-2</v>
      </c>
      <c r="DI18" s="13">
        <v>-1.6114629238026808E-2</v>
      </c>
      <c r="DJ18" s="13">
        <v>-4.5204039785289522E-2</v>
      </c>
      <c r="DK18" s="13">
        <v>0.15851362709242739</v>
      </c>
      <c r="DL18" s="13">
        <v>8.1397742916241134E-2</v>
      </c>
      <c r="DM18" s="13">
        <v>-6.650814073203816E-2</v>
      </c>
      <c r="DN18" s="13">
        <v>-1.6722064078021251E-2</v>
      </c>
      <c r="DO18" s="13">
        <v>4.2104907550630517E-2</v>
      </c>
      <c r="DP18" s="13">
        <v>-2.0604686466865741E-2</v>
      </c>
      <c r="DQ18" s="13">
        <v>-0.1007272783058315</v>
      </c>
      <c r="DR18" s="13">
        <v>7.6840654771961045E-2</v>
      </c>
      <c r="DS18" s="13">
        <v>-0.1477219984517327</v>
      </c>
      <c r="DT18" s="13">
        <v>-0.1160173901109771</v>
      </c>
      <c r="DU18" s="13">
        <v>-9.6895186076904644E-2</v>
      </c>
      <c r="DV18" s="13">
        <v>0.1056406088000619</v>
      </c>
      <c r="DW18" s="13">
        <v>8.1908692284373169E-2</v>
      </c>
      <c r="DX18" s="13">
        <v>-0.1536029774624818</v>
      </c>
      <c r="DY18" s="13">
        <v>9.7428036975949608E-2</v>
      </c>
      <c r="DZ18" s="13">
        <v>-7.5516359296365659E-2</v>
      </c>
      <c r="EA18" s="13">
        <v>-6.3615627439817801E-3</v>
      </c>
      <c r="EB18" s="13">
        <v>9.9846377978320619E-2</v>
      </c>
      <c r="EC18" s="13">
        <v>2.764115425371385E-3</v>
      </c>
      <c r="ED18" s="13">
        <v>-0.11047802186576559</v>
      </c>
      <c r="EE18" s="13">
        <v>-1.385375397450707E-2</v>
      </c>
      <c r="EF18" s="13">
        <v>4.8955017110416547E-2</v>
      </c>
      <c r="EG18" s="20">
        <f t="shared" si="10"/>
        <v>1.6224712115873993E-2</v>
      </c>
      <c r="EH18" s="1">
        <f t="shared" si="11"/>
        <v>0.10335395264740112</v>
      </c>
      <c r="EI18" s="22">
        <f t="shared" si="12"/>
        <v>0.15698201859028726</v>
      </c>
    </row>
    <row r="19" spans="1:139">
      <c r="A19" s="23">
        <v>160</v>
      </c>
      <c r="B19" s="23">
        <v>6</v>
      </c>
      <c r="C19" s="13">
        <v>-7.7959416087486216E-2</v>
      </c>
      <c r="D19" s="13">
        <v>0.4075213333333334</v>
      </c>
      <c r="E19" s="13">
        <v>-5.4898093767412171E-2</v>
      </c>
      <c r="F19" s="13">
        <v>0.2361708333333333</v>
      </c>
      <c r="G19" s="13">
        <v>-9.7512090561600123E-2</v>
      </c>
      <c r="H19" s="13">
        <v>0.17761016666666671</v>
      </c>
      <c r="I19" s="13">
        <v>4.746333333333333E-2</v>
      </c>
      <c r="J19" s="13">
        <v>-0.1562291666666667</v>
      </c>
      <c r="K19" s="13">
        <v>-0.41833785096963422</v>
      </c>
      <c r="L19" s="13">
        <v>4.3048957635166023E-2</v>
      </c>
      <c r="M19" s="13">
        <v>-0.26154166666666667</v>
      </c>
      <c r="N19" s="13">
        <v>0.53237449999999997</v>
      </c>
      <c r="O19" s="13">
        <v>-1.9796999999999999E-2</v>
      </c>
      <c r="P19" s="13">
        <v>2.2785333333333321E-2</v>
      </c>
      <c r="Q19" s="13">
        <v>0.1704643333333333</v>
      </c>
      <c r="R19" s="13">
        <v>4.1943000000000008E-2</v>
      </c>
      <c r="S19" s="13">
        <v>-7.8696166666666678E-2</v>
      </c>
      <c r="T19" s="13">
        <v>-0.1095268333333333</v>
      </c>
      <c r="U19" s="13">
        <v>4.4184166666666663E-2</v>
      </c>
      <c r="V19" s="13">
        <v>-0.1186835</v>
      </c>
      <c r="W19" s="13">
        <v>7.2415833333333346E-2</v>
      </c>
      <c r="X19" s="13">
        <v>0.12292366666666669</v>
      </c>
      <c r="Y19" s="13">
        <v>2.4062166666666669E-2</v>
      </c>
      <c r="Z19" s="13">
        <v>-2.2223E-2</v>
      </c>
      <c r="AA19" s="13">
        <v>-4.1570184538155738E-2</v>
      </c>
      <c r="AB19" s="13">
        <v>-6.0762499999999997E-2</v>
      </c>
      <c r="AC19" s="13">
        <v>-8.3512833333333328E-2</v>
      </c>
      <c r="AD19" s="13">
        <v>-3.5088928587950333E-2</v>
      </c>
      <c r="AE19" s="13">
        <v>0.11523116666666661</v>
      </c>
      <c r="AF19" s="13">
        <v>-3.8785666808899749E-2</v>
      </c>
      <c r="AG19" s="13">
        <v>1.92985E-2</v>
      </c>
      <c r="AH19" s="13">
        <v>5.6557715221703553E-2</v>
      </c>
      <c r="AI19" s="13">
        <v>9.154933333333333E-2</v>
      </c>
      <c r="AJ19" s="13">
        <v>1.2166333333333329E-2</v>
      </c>
      <c r="AK19" s="13">
        <v>4.9060666666666669E-2</v>
      </c>
      <c r="AL19" s="13">
        <v>7.0270945670805551E-2</v>
      </c>
      <c r="AM19" s="13">
        <v>4.3106011811404943E-2</v>
      </c>
      <c r="AN19" s="13">
        <v>8.3568294365682083E-2</v>
      </c>
      <c r="AO19" s="13">
        <v>2.589290304541441E-2</v>
      </c>
      <c r="AP19" s="13">
        <v>9.7129999999999959E-3</v>
      </c>
      <c r="AQ19" s="13">
        <v>-8.8252757060650652E-2</v>
      </c>
      <c r="AR19" s="13">
        <v>0.1535175623128574</v>
      </c>
      <c r="AS19" s="13">
        <v>9.7796955268314459E-2</v>
      </c>
      <c r="AT19" s="13">
        <v>4.9294981765701303E-2</v>
      </c>
      <c r="AU19" s="13">
        <v>7.6428715713654158E-2</v>
      </c>
      <c r="AV19" s="13">
        <v>-5.003302069697789E-2</v>
      </c>
      <c r="AW19" s="13">
        <v>2.2356168154136491E-2</v>
      </c>
      <c r="AX19" s="13">
        <v>6.4064999999999997E-2</v>
      </c>
      <c r="AY19" s="13">
        <v>2.9528970393379841E-2</v>
      </c>
      <c r="AZ19" s="13">
        <v>-0.18687961816817431</v>
      </c>
      <c r="BA19" s="13">
        <v>-3.4363883954073027E-2</v>
      </c>
      <c r="BB19" s="13">
        <v>0.15974619907243159</v>
      </c>
      <c r="BC19" s="13">
        <v>6.4055486346185769E-2</v>
      </c>
      <c r="BD19" s="13">
        <v>-3.2343926300681461E-3</v>
      </c>
      <c r="BE19" s="13">
        <v>5.1131873963666558E-2</v>
      </c>
      <c r="BF19" s="13">
        <v>1.3570974149138619E-2</v>
      </c>
      <c r="BG19" s="13">
        <v>-1.6343658332842171E-2</v>
      </c>
      <c r="BH19" s="13">
        <v>2.0182017014309939E-3</v>
      </c>
      <c r="BI19" s="13">
        <v>0.12779862881921869</v>
      </c>
      <c r="BJ19" s="13">
        <v>2.1707301538579211E-2</v>
      </c>
      <c r="BK19" s="13">
        <v>-5.1749526091992383E-2</v>
      </c>
      <c r="BL19" s="13">
        <v>7.9964658146503109E-2</v>
      </c>
      <c r="BM19" s="13">
        <v>0.1142506002586957</v>
      </c>
      <c r="BN19" s="13">
        <v>6.7252647467271776E-2</v>
      </c>
      <c r="BO19" s="13">
        <v>2.5728961265115379E-2</v>
      </c>
      <c r="BP19" s="13">
        <v>6.2818807534132146E-2</v>
      </c>
      <c r="BQ19" s="13">
        <v>9.9340444543230683E-3</v>
      </c>
      <c r="BR19" s="13">
        <v>6.6752460235200081E-3</v>
      </c>
      <c r="BS19" s="13">
        <v>-2.4256338744482069E-2</v>
      </c>
      <c r="BT19" s="13">
        <v>0.14163267985357339</v>
      </c>
      <c r="BU19" s="13">
        <v>7.5936251234238056E-2</v>
      </c>
      <c r="BV19" s="13">
        <v>9.3655241153346391E-2</v>
      </c>
      <c r="BW19" s="13">
        <v>-0.10896696138364501</v>
      </c>
      <c r="BX19" s="13">
        <v>3.4087785271858247E-2</v>
      </c>
      <c r="BY19" s="13">
        <v>-0.1076497365556482</v>
      </c>
      <c r="BZ19" s="13">
        <v>6.8702124822053873E-2</v>
      </c>
      <c r="CA19" s="13">
        <v>3.5610166666666658E-2</v>
      </c>
      <c r="CB19" s="13">
        <v>-4.804116850824483E-2</v>
      </c>
      <c r="CC19" s="13">
        <v>-2.4723252765827462E-2</v>
      </c>
      <c r="CD19" s="13">
        <v>0.21561919809371791</v>
      </c>
      <c r="CE19" s="13">
        <v>-0.1982658291769592</v>
      </c>
      <c r="CF19" s="13">
        <v>7.9904397206049291E-2</v>
      </c>
      <c r="CG19" s="13">
        <v>-5.0633530014653497E-2</v>
      </c>
      <c r="CH19" s="13">
        <v>0.1528898670499263</v>
      </c>
      <c r="CI19" s="13">
        <v>-3.7066946160195187E-2</v>
      </c>
      <c r="CJ19" s="13">
        <v>-6.194049996603615E-2</v>
      </c>
      <c r="CK19" s="13">
        <v>0.1039677178170982</v>
      </c>
      <c r="CL19" s="13">
        <v>-4.3240279974789908E-2</v>
      </c>
      <c r="CM19" s="13">
        <v>0.17534764158171501</v>
      </c>
      <c r="CN19" s="13">
        <v>-7.6932654667303466E-2</v>
      </c>
      <c r="CO19" s="13">
        <v>-0.27245440462850651</v>
      </c>
      <c r="CP19" s="13">
        <v>0.15903259898233271</v>
      </c>
      <c r="CQ19" s="13">
        <v>-2.7299081545619341E-3</v>
      </c>
      <c r="CR19" s="13">
        <v>4.9694189552402651E-2</v>
      </c>
      <c r="CS19" s="13">
        <v>6.0700850898538133E-2</v>
      </c>
      <c r="CT19" s="13">
        <v>0.1226204266300308</v>
      </c>
      <c r="CU19" s="13">
        <v>-8.3436397113892974E-2</v>
      </c>
      <c r="CV19" s="13">
        <v>0.10197986151640361</v>
      </c>
      <c r="CW19" s="13">
        <v>-2.190180778189859E-2</v>
      </c>
      <c r="CX19" s="13">
        <v>5.7634726368184938E-2</v>
      </c>
      <c r="CY19" s="13">
        <v>-7.092186956436955E-2</v>
      </c>
      <c r="CZ19" s="13">
        <v>0.11285182864146399</v>
      </c>
      <c r="DA19" s="13">
        <v>-5.8223876703236761E-2</v>
      </c>
      <c r="DB19" s="13">
        <v>-3.572089902521567E-2</v>
      </c>
      <c r="DC19" s="13">
        <v>-3.5179399902094073E-2</v>
      </c>
      <c r="DD19" s="13">
        <v>-0.10625733595480071</v>
      </c>
      <c r="DE19" s="13">
        <v>5.4024955382609513E-2</v>
      </c>
      <c r="DF19" s="13">
        <v>-6.969304689302265E-2</v>
      </c>
      <c r="DG19" s="13">
        <v>-1.27464749106491E-2</v>
      </c>
      <c r="DH19" s="13">
        <v>-1.569831294047225E-4</v>
      </c>
      <c r="DI19" s="13">
        <v>3.666424442421171E-3</v>
      </c>
      <c r="DJ19" s="13">
        <v>-4.8514350722976607E-2</v>
      </c>
      <c r="DK19" s="13">
        <v>0.1241445877842076</v>
      </c>
      <c r="DL19" s="13">
        <v>7.0167407799869491E-2</v>
      </c>
      <c r="DM19" s="13">
        <v>-8.1952255033994378E-2</v>
      </c>
      <c r="DN19" s="13">
        <v>2.4751230976385011E-3</v>
      </c>
      <c r="DO19" s="13">
        <v>5.5126563399943852E-2</v>
      </c>
      <c r="DP19" s="13">
        <v>2.783801448299373E-2</v>
      </c>
      <c r="DQ19" s="13">
        <v>-0.1204893793606352</v>
      </c>
      <c r="DR19" s="13">
        <v>7.5962353325048193E-2</v>
      </c>
      <c r="DS19" s="13">
        <v>-0.1779955469539703</v>
      </c>
      <c r="DT19" s="13">
        <v>-0.13312850061934939</v>
      </c>
      <c r="DU19" s="13">
        <v>-0.14283069805444029</v>
      </c>
      <c r="DV19" s="13">
        <v>0.1115247064406045</v>
      </c>
      <c r="DW19" s="13">
        <v>6.0609139340684293E-2</v>
      </c>
      <c r="DX19" s="13">
        <v>-0.1383651342381777</v>
      </c>
      <c r="DY19" s="13">
        <v>7.0109577687923127E-2</v>
      </c>
      <c r="DZ19" s="13">
        <v>-0.1119208288639931</v>
      </c>
      <c r="EA19" s="13">
        <v>-2.807935347566733E-2</v>
      </c>
      <c r="EB19" s="13">
        <v>2.1772770012778581E-2</v>
      </c>
      <c r="EC19" s="13">
        <v>-1.2190043223702179E-2</v>
      </c>
      <c r="ED19" s="13">
        <v>-0.15093531699015689</v>
      </c>
      <c r="EE19" s="13">
        <v>1.2634042940422471E-2</v>
      </c>
      <c r="EF19" s="13">
        <v>1.697795487476916E-2</v>
      </c>
      <c r="EG19" s="20">
        <f t="shared" si="10"/>
        <v>1.1674648425205443E-2</v>
      </c>
      <c r="EH19" s="1">
        <f t="shared" si="11"/>
        <v>0.11487007328828545</v>
      </c>
      <c r="EI19" s="22">
        <f t="shared" si="12"/>
        <v>0.10163350724001004</v>
      </c>
    </row>
    <row r="20" spans="1:139">
      <c r="A20" s="23">
        <v>192</v>
      </c>
      <c r="B20" s="23">
        <v>5</v>
      </c>
      <c r="C20" s="13">
        <v>-0.13932460396499161</v>
      </c>
      <c r="D20" s="13">
        <v>0.38202580000000003</v>
      </c>
      <c r="E20" s="13">
        <v>1.5499988144333969E-2</v>
      </c>
      <c r="F20" s="13">
        <v>0.1824192</v>
      </c>
      <c r="G20" s="13">
        <v>-0.1003659119188639</v>
      </c>
      <c r="H20" s="13">
        <v>0.14393220000000001</v>
      </c>
      <c r="I20" s="13">
        <v>2.7936200000000001E-2</v>
      </c>
      <c r="J20" s="13">
        <v>-0.1332062</v>
      </c>
      <c r="K20" s="13">
        <v>-9.0108654122673978E-2</v>
      </c>
      <c r="L20" s="13">
        <v>9.5708635504535719E-2</v>
      </c>
      <c r="M20" s="13">
        <v>-0.26869399999999999</v>
      </c>
      <c r="N20" s="13">
        <v>0.5000116</v>
      </c>
      <c r="O20" s="13">
        <v>-0.1101138</v>
      </c>
      <c r="P20" s="13">
        <v>4.0029000000000002E-2</v>
      </c>
      <c r="Q20" s="13">
        <v>0.22482659999999999</v>
      </c>
      <c r="R20" s="13">
        <v>6.646959999999999E-2</v>
      </c>
      <c r="S20" s="13">
        <v>-5.7341400000000008E-2</v>
      </c>
      <c r="T20" s="13">
        <v>-0.1008458</v>
      </c>
      <c r="U20" s="13">
        <v>3.2235E-2</v>
      </c>
      <c r="V20" s="13">
        <v>-0.1362882</v>
      </c>
      <c r="W20" s="13">
        <v>9.1084999999999999E-2</v>
      </c>
      <c r="X20" s="13">
        <v>0.15004300000000001</v>
      </c>
      <c r="Y20" s="13">
        <v>-4.8579999999999977E-3</v>
      </c>
      <c r="Z20" s="13">
        <v>2.9158400000000001E-2</v>
      </c>
      <c r="AA20" s="13">
        <v>-2.159455338729711E-2</v>
      </c>
      <c r="AB20" s="13">
        <v>-6.0422999999999998E-2</v>
      </c>
      <c r="AC20" s="13">
        <v>-9.6308199999999997E-2</v>
      </c>
      <c r="AD20" s="13">
        <v>-3.4453902851829692E-2</v>
      </c>
      <c r="AE20" s="13">
        <v>1.7310200000000001E-2</v>
      </c>
      <c r="AF20" s="13">
        <v>-3.9044678387579961E-2</v>
      </c>
      <c r="AG20" s="13">
        <v>-6.2396000000000014E-3</v>
      </c>
      <c r="AH20" s="13">
        <v>9.0178200714782636E-2</v>
      </c>
      <c r="AI20" s="13">
        <v>0.1163372</v>
      </c>
      <c r="AJ20" s="13">
        <v>1.7240599999999991E-2</v>
      </c>
      <c r="AK20" s="13">
        <v>6.6968600000000003E-2</v>
      </c>
      <c r="AL20" s="13">
        <v>7.2893452036976947E-2</v>
      </c>
      <c r="AM20" s="13">
        <v>3.3095980748802607E-2</v>
      </c>
      <c r="AN20" s="13">
        <v>7.5470193518998266E-2</v>
      </c>
      <c r="AO20" s="13">
        <v>4.528508196468839E-2</v>
      </c>
      <c r="AP20" s="13">
        <v>1.26056E-2</v>
      </c>
      <c r="AQ20" s="13">
        <v>2.7452485332951051E-2</v>
      </c>
      <c r="AR20" s="13">
        <v>0.1700490046789242</v>
      </c>
      <c r="AS20" s="13">
        <v>0.112095809682817</v>
      </c>
      <c r="AT20" s="13">
        <v>5.858773760205771E-3</v>
      </c>
      <c r="AU20" s="13">
        <v>7.5692386895125863E-2</v>
      </c>
      <c r="AV20" s="13">
        <v>-5.4625713782478207E-2</v>
      </c>
      <c r="AW20" s="13">
        <v>6.8652681791509596E-3</v>
      </c>
      <c r="AX20" s="13">
        <v>8.5888799999999987E-2</v>
      </c>
      <c r="AY20" s="13">
        <v>3.8674698442909439E-2</v>
      </c>
      <c r="AZ20" s="13">
        <v>-0.21380243117708869</v>
      </c>
      <c r="BA20" s="13">
        <v>-3.6798864860540501E-2</v>
      </c>
      <c r="BB20" s="13">
        <v>0.1676554233765693</v>
      </c>
      <c r="BC20" s="13">
        <v>7.0605567677740205E-2</v>
      </c>
      <c r="BD20" s="13">
        <v>-5.3429813221597323E-2</v>
      </c>
      <c r="BE20" s="13">
        <v>-5.9467971392603326E-3</v>
      </c>
      <c r="BF20" s="13">
        <v>5.6885823313286886E-3</v>
      </c>
      <c r="BG20" s="13">
        <v>-6.9261427086933884E-3</v>
      </c>
      <c r="BH20" s="13">
        <v>-7.1606447114111002E-2</v>
      </c>
      <c r="BI20" s="13">
        <v>0.13174526708517489</v>
      </c>
      <c r="BJ20" s="13">
        <v>2.1629511833186621E-2</v>
      </c>
      <c r="BK20" s="13">
        <v>-5.9233167842827283E-2</v>
      </c>
      <c r="BL20" s="13">
        <v>8.6292231176454737E-2</v>
      </c>
      <c r="BM20" s="13">
        <v>0.1369176613284383</v>
      </c>
      <c r="BN20" s="13">
        <v>0.1185572414453714</v>
      </c>
      <c r="BO20" s="13">
        <v>-3.8461717515979203E-2</v>
      </c>
      <c r="BP20" s="13">
        <v>6.0407520762954983E-2</v>
      </c>
      <c r="BQ20" s="13">
        <v>1.5451706960843021E-2</v>
      </c>
      <c r="BR20" s="13">
        <v>1.207363173047259E-2</v>
      </c>
      <c r="BS20" s="13">
        <v>5.4075061911911179E-3</v>
      </c>
      <c r="BT20" s="13">
        <v>0.14780303317864721</v>
      </c>
      <c r="BU20" s="13">
        <v>9.8754949367706665E-2</v>
      </c>
      <c r="BV20" s="13">
        <v>0.11591833156307201</v>
      </c>
      <c r="BW20" s="13">
        <v>-0.13550325181247611</v>
      </c>
      <c r="BX20" s="13">
        <v>3.069363668324426E-2</v>
      </c>
      <c r="BY20" s="13">
        <v>-0.10523396636930341</v>
      </c>
      <c r="BZ20" s="13">
        <v>9.02714042602836E-2</v>
      </c>
      <c r="CA20" s="13">
        <v>5.0216200000000003E-2</v>
      </c>
      <c r="CB20" s="13">
        <v>-3.8251950010927849E-2</v>
      </c>
      <c r="CC20" s="13">
        <v>-2.6043033783065061E-2</v>
      </c>
      <c r="CD20" s="13">
        <v>0.1810274974905971</v>
      </c>
      <c r="CE20" s="13">
        <v>-0.2439637954697331</v>
      </c>
      <c r="CF20" s="13">
        <v>8.0957937198676569E-2</v>
      </c>
      <c r="CG20" s="13">
        <v>-9.9052888530088784E-2</v>
      </c>
      <c r="CH20" s="13">
        <v>7.1864025597138351E-2</v>
      </c>
      <c r="CI20" s="13">
        <v>-3.0394673769081951E-2</v>
      </c>
      <c r="CJ20" s="13">
        <v>-0.123440319887351</v>
      </c>
      <c r="CK20" s="13">
        <v>9.0978396750106633E-2</v>
      </c>
      <c r="CL20" s="13">
        <v>-9.2184934189128986E-2</v>
      </c>
      <c r="CM20" s="13">
        <v>0.18905116517062071</v>
      </c>
      <c r="CN20" s="13">
        <v>2.215941137048465E-2</v>
      </c>
      <c r="CO20" s="13">
        <v>-0.41597133516901241</v>
      </c>
      <c r="CP20" s="13">
        <v>0.1920312051090273</v>
      </c>
      <c r="CQ20" s="13">
        <v>6.1113579290622234E-3</v>
      </c>
      <c r="CR20" s="13">
        <v>7.3116244505850386E-2</v>
      </c>
      <c r="CS20" s="13">
        <v>8.8364277012261461E-2</v>
      </c>
      <c r="CT20" s="13">
        <v>9.0474037414266281E-2</v>
      </c>
      <c r="CU20" s="13">
        <v>-9.4867658266512403E-2</v>
      </c>
      <c r="CV20" s="13">
        <v>9.2511075695426118E-2</v>
      </c>
      <c r="CW20" s="13">
        <v>9.9530629212826391E-3</v>
      </c>
      <c r="CX20" s="13">
        <v>9.0298550867764463E-2</v>
      </c>
      <c r="CY20" s="13">
        <v>-1.247973266829688E-2</v>
      </c>
      <c r="CZ20" s="13">
        <v>0.15516164514919831</v>
      </c>
      <c r="DA20" s="13">
        <v>-4.7471893155177573E-2</v>
      </c>
      <c r="DB20" s="13">
        <v>-5.6902709757134122E-2</v>
      </c>
      <c r="DC20" s="13">
        <v>-4.9613069235555772E-2</v>
      </c>
      <c r="DD20" s="13">
        <v>-0.14810881433882259</v>
      </c>
      <c r="DE20" s="13">
        <v>-2.674986392092854E-2</v>
      </c>
      <c r="DF20" s="13">
        <v>8.591215324206241E-4</v>
      </c>
      <c r="DG20" s="13">
        <v>-4.2022106203706937E-3</v>
      </c>
      <c r="DH20" s="13">
        <v>-1.097541174252706E-2</v>
      </c>
      <c r="DI20" s="13">
        <v>-2.2876731785052461E-2</v>
      </c>
      <c r="DJ20" s="13">
        <v>-3.9459946268887811E-2</v>
      </c>
      <c r="DK20" s="13">
        <v>8.4953981446054899E-2</v>
      </c>
      <c r="DL20" s="13">
        <v>7.5826636178542531E-2</v>
      </c>
      <c r="DM20" s="13">
        <v>9.2836502794370751E-3</v>
      </c>
      <c r="DN20" s="13">
        <v>5.8019206654199171E-2</v>
      </c>
      <c r="DO20" s="13">
        <v>6.5815801837970381E-2</v>
      </c>
      <c r="DP20" s="13">
        <v>9.8305313908873052E-3</v>
      </c>
      <c r="DQ20" s="13">
        <v>-0.18720731773454069</v>
      </c>
      <c r="DR20" s="13">
        <v>7.8512660028290493E-2</v>
      </c>
      <c r="DS20" s="13">
        <v>-0.20608109757835469</v>
      </c>
      <c r="DT20" s="13">
        <v>-0.13343598462213829</v>
      </c>
      <c r="DU20" s="13">
        <v>-0.1720691072058694</v>
      </c>
      <c r="DV20" s="13">
        <v>0.12934547183885869</v>
      </c>
      <c r="DW20" s="13">
        <v>6.9060203958039607E-2</v>
      </c>
      <c r="DX20" s="13">
        <v>-0.15386632960631469</v>
      </c>
      <c r="DY20" s="13">
        <v>5.3618609351648763E-2</v>
      </c>
      <c r="DZ20" s="13">
        <v>-8.4474578309692155E-2</v>
      </c>
      <c r="EA20" s="13">
        <v>1.4917025427623789E-2</v>
      </c>
      <c r="EB20" s="13">
        <v>3.9067633350965261E-2</v>
      </c>
      <c r="EC20" s="13">
        <v>3.4049581413941779E-2</v>
      </c>
      <c r="ED20" s="13">
        <v>-0.17691886106701021</v>
      </c>
      <c r="EE20" s="13">
        <v>2.3672309273819309E-3</v>
      </c>
      <c r="EF20" s="13">
        <v>2.0281416615907238E-2</v>
      </c>
      <c r="EG20" s="20">
        <f t="shared" si="10"/>
        <v>1.2831772776885429E-2</v>
      </c>
      <c r="EH20" s="1">
        <f t="shared" si="11"/>
        <v>0.11629175930828756</v>
      </c>
      <c r="EI20" s="22">
        <f t="shared" si="12"/>
        <v>0.11034120433992756</v>
      </c>
    </row>
    <row r="21" spans="1:139">
      <c r="A21" s="23">
        <v>241</v>
      </c>
      <c r="B21" s="23">
        <v>4</v>
      </c>
      <c r="C21" s="13">
        <v>-0.19764916434148611</v>
      </c>
      <c r="D21" s="13">
        <v>0.126389</v>
      </c>
      <c r="E21" s="13">
        <v>-2.7935227079184388E-4</v>
      </c>
      <c r="F21" s="13">
        <v>0.20341300000000001</v>
      </c>
      <c r="G21" s="13">
        <v>-7.2961380278514509E-3</v>
      </c>
      <c r="H21" s="13">
        <v>0.162164</v>
      </c>
      <c r="I21" s="13">
        <v>1.4112E-2</v>
      </c>
      <c r="J21" s="13">
        <v>-0.13674149999999999</v>
      </c>
      <c r="K21" s="13">
        <v>-8.8973017354022049E-2</v>
      </c>
      <c r="L21" s="13">
        <v>0.1096796074542299</v>
      </c>
      <c r="M21" s="13">
        <v>-0.19988500000000001</v>
      </c>
      <c r="N21" s="13">
        <v>0.58489049999999998</v>
      </c>
      <c r="O21" s="13">
        <v>-0.13927724999999999</v>
      </c>
      <c r="P21" s="13">
        <v>4.5427749999999989E-2</v>
      </c>
      <c r="Q21" s="13">
        <v>0.27408575000000002</v>
      </c>
      <c r="R21" s="13">
        <v>8.4905250000000002E-2</v>
      </c>
      <c r="S21" s="13">
        <v>-3.6561749999999997E-2</v>
      </c>
      <c r="T21" s="13">
        <v>-0.13111999999999999</v>
      </c>
      <c r="U21" s="13">
        <v>-9.8267499999999952E-3</v>
      </c>
      <c r="V21" s="13">
        <v>-0.13175025000000001</v>
      </c>
      <c r="W21" s="13">
        <v>0.12449875000000001</v>
      </c>
      <c r="X21" s="13">
        <v>0.20780100000000001</v>
      </c>
      <c r="Y21" s="13">
        <v>-1.01475E-2</v>
      </c>
      <c r="Z21" s="13">
        <v>3.9459000000000001E-2</v>
      </c>
      <c r="AA21" s="13">
        <v>1.9491043540093941E-2</v>
      </c>
      <c r="AB21" s="13">
        <v>-6.5286999999999998E-2</v>
      </c>
      <c r="AC21" s="13">
        <v>-0.15954125</v>
      </c>
      <c r="AD21" s="13">
        <v>-4.6697424552745621E-2</v>
      </c>
      <c r="AE21" s="13">
        <v>1.031074999999999E-2</v>
      </c>
      <c r="AF21" s="13">
        <v>-5.3125609886562987E-2</v>
      </c>
      <c r="AG21" s="13">
        <v>-1.0567999999999999E-2</v>
      </c>
      <c r="AH21" s="13">
        <v>0.10758136256479831</v>
      </c>
      <c r="AI21" s="13">
        <v>0.10212425</v>
      </c>
      <c r="AJ21" s="13">
        <v>5.1835000000000006E-3</v>
      </c>
      <c r="AK21" s="13">
        <v>0.1049905</v>
      </c>
      <c r="AL21" s="13">
        <v>6.5379822733110632E-2</v>
      </c>
      <c r="AM21" s="13">
        <v>6.8535807447630548E-2</v>
      </c>
      <c r="AN21" s="13">
        <v>0.11195605606309431</v>
      </c>
      <c r="AO21" s="13">
        <v>4.7726395643726653E-2</v>
      </c>
      <c r="AP21" s="13">
        <v>1.8943749999999999E-2</v>
      </c>
      <c r="AQ21" s="13">
        <v>7.6865507010547632E-2</v>
      </c>
      <c r="AR21" s="13">
        <v>0.20518227823048121</v>
      </c>
      <c r="AS21" s="13">
        <v>6.4455868646629361E-2</v>
      </c>
      <c r="AT21" s="13">
        <v>-2.4929112771550628E-3</v>
      </c>
      <c r="AU21" s="13">
        <v>4.7809631508957028E-2</v>
      </c>
      <c r="AV21" s="13">
        <v>-5.5520780062133721E-2</v>
      </c>
      <c r="AW21" s="13">
        <v>9.7910299540974015E-3</v>
      </c>
      <c r="AX21" s="13">
        <v>6.6008499999999998E-2</v>
      </c>
      <c r="AY21" s="13">
        <v>4.7021290978038012E-2</v>
      </c>
      <c r="AZ21" s="13">
        <v>-0.25491126989713642</v>
      </c>
      <c r="BA21" s="13">
        <v>-7.1032181648085849E-2</v>
      </c>
      <c r="BB21" s="13">
        <v>0.2253461350383382</v>
      </c>
      <c r="BC21" s="13">
        <v>3.8321147725193863E-2</v>
      </c>
      <c r="BD21" s="13">
        <v>-2.1750863370627919E-2</v>
      </c>
      <c r="BE21" s="13">
        <v>6.3505333974014731E-3</v>
      </c>
      <c r="BF21" s="13">
        <v>3.5771001804346838E-3</v>
      </c>
      <c r="BG21" s="13">
        <v>3.6635189216812601E-2</v>
      </c>
      <c r="BH21" s="13">
        <v>-7.6321363138755302E-2</v>
      </c>
      <c r="BI21" s="13">
        <v>0.1659695961783918</v>
      </c>
      <c r="BJ21" s="13">
        <v>2.3579026181717661E-2</v>
      </c>
      <c r="BK21" s="13">
        <v>-6.8449880379534783E-2</v>
      </c>
      <c r="BL21" s="13">
        <v>0.1427210926463498</v>
      </c>
      <c r="BM21" s="13">
        <v>0.15512000392109981</v>
      </c>
      <c r="BN21" s="13">
        <v>6.3647947992248044E-2</v>
      </c>
      <c r="BO21" s="13">
        <v>-6.3857236413680254E-2</v>
      </c>
      <c r="BP21" s="13">
        <v>0.1045091294194143</v>
      </c>
      <c r="BQ21" s="13">
        <v>5.4542230834504879E-2</v>
      </c>
      <c r="BR21" s="13">
        <v>1.232386218386442E-2</v>
      </c>
      <c r="BS21" s="13">
        <v>5.8601727551761719E-3</v>
      </c>
      <c r="BT21" s="13">
        <v>0.13224469397444291</v>
      </c>
      <c r="BU21" s="13">
        <v>0.1354964621985692</v>
      </c>
      <c r="BV21" s="13">
        <v>0.14214300018545339</v>
      </c>
      <c r="BW21" s="13">
        <v>-0.146679196935731</v>
      </c>
      <c r="BX21" s="13">
        <v>-2.9908192844139221E-3</v>
      </c>
      <c r="BY21" s="13">
        <v>-5.0379851218116528E-2</v>
      </c>
      <c r="BZ21" s="13">
        <v>4.7662928720715619E-2</v>
      </c>
      <c r="CA21" s="13">
        <v>9.5060000000000006E-2</v>
      </c>
      <c r="CB21" s="13">
        <v>-6.3421391198258154E-2</v>
      </c>
      <c r="CC21" s="13">
        <v>-4.6693549468963022E-2</v>
      </c>
      <c r="CD21" s="13">
        <v>0.28805606436247322</v>
      </c>
      <c r="CE21" s="13">
        <v>-0.39507594246504552</v>
      </c>
      <c r="CF21" s="13">
        <v>0.13126567680107229</v>
      </c>
      <c r="CG21" s="13">
        <v>-0.14375118915768581</v>
      </c>
      <c r="CH21" s="13">
        <v>8.0100321076211733E-2</v>
      </c>
      <c r="CI21" s="13">
        <v>-8.0499616390982326E-2</v>
      </c>
      <c r="CJ21" s="13">
        <v>-8.5627757016502298E-2</v>
      </c>
      <c r="CK21" s="13">
        <v>0.12705054673013411</v>
      </c>
      <c r="CL21" s="13">
        <v>-0.13389042462296469</v>
      </c>
      <c r="CM21" s="13">
        <v>0.2255029884033713</v>
      </c>
      <c r="CN21" s="13">
        <v>3.05388902037756E-2</v>
      </c>
      <c r="CO21" s="13">
        <v>-0.51486524859759264</v>
      </c>
      <c r="CP21" s="13">
        <v>0.22270006087791269</v>
      </c>
      <c r="CQ21" s="13">
        <v>3.2880917250907721E-3</v>
      </c>
      <c r="CR21" s="13">
        <v>9.0824277979679707E-2</v>
      </c>
      <c r="CS21" s="13">
        <v>6.9646396146771747E-2</v>
      </c>
      <c r="CT21" s="13">
        <v>8.2292872854338978E-2</v>
      </c>
      <c r="CU21" s="13">
        <v>-6.2673560169491313E-2</v>
      </c>
      <c r="CV21" s="13">
        <v>9.8225632021386913E-2</v>
      </c>
      <c r="CW21" s="13">
        <v>6.5005417280988659E-2</v>
      </c>
      <c r="CX21" s="13">
        <v>0.1021221756574071</v>
      </c>
      <c r="CY21" s="13">
        <v>-8.4819164039144704E-3</v>
      </c>
      <c r="CZ21" s="13">
        <v>0.2374513708258302</v>
      </c>
      <c r="DA21" s="13">
        <v>1.192256456731756E-3</v>
      </c>
      <c r="DB21" s="13">
        <v>-5.1624433676154581E-2</v>
      </c>
      <c r="DC21" s="13">
        <v>-4.5047559223290658E-2</v>
      </c>
      <c r="DD21" s="13">
        <v>0.121322688868649</v>
      </c>
      <c r="DE21" s="13">
        <v>1.2238108588318921E-2</v>
      </c>
      <c r="DF21" s="13">
        <v>2.156088069787479E-2</v>
      </c>
      <c r="DG21" s="13">
        <v>7.8463781285332893E-3</v>
      </c>
      <c r="DH21" s="13">
        <v>1.407682021245452E-2</v>
      </c>
      <c r="DI21" s="13">
        <v>3.4407478280179482E-2</v>
      </c>
      <c r="DJ21" s="13">
        <v>-3.7911313190560098E-2</v>
      </c>
      <c r="DK21" s="13">
        <v>0.13950270681890459</v>
      </c>
      <c r="DL21" s="13">
        <v>9.8364938839376553E-2</v>
      </c>
      <c r="DM21" s="13">
        <v>-2.9834119642240212E-2</v>
      </c>
      <c r="DN21" s="13">
        <v>7.1197612493993062E-2</v>
      </c>
      <c r="DO21" s="13">
        <v>8.2445792330679737E-2</v>
      </c>
      <c r="DP21" s="13">
        <v>2.426615509356601E-2</v>
      </c>
      <c r="DQ21" s="13">
        <v>-0.1547411860293357</v>
      </c>
      <c r="DR21" s="13">
        <v>5.0170859037080733E-2</v>
      </c>
      <c r="DS21" s="13">
        <v>-0.20083947383729561</v>
      </c>
      <c r="DT21" s="13">
        <v>-0.17057080268546079</v>
      </c>
      <c r="DU21" s="13">
        <v>-2.8090293996378659E-2</v>
      </c>
      <c r="DV21" s="13">
        <v>0.140275976869878</v>
      </c>
      <c r="DW21" s="13">
        <v>0.12824786866412111</v>
      </c>
      <c r="DX21" s="13">
        <v>-0.18596621403118341</v>
      </c>
      <c r="DY21" s="13">
        <v>2.459599553801604E-2</v>
      </c>
      <c r="DZ21" s="13">
        <v>-5.2844066560288887E-2</v>
      </c>
      <c r="EA21" s="13">
        <v>-2.4865522448428139E-2</v>
      </c>
      <c r="EB21" s="13">
        <v>8.4081461705858979E-3</v>
      </c>
      <c r="EC21" s="13">
        <v>1.403705509804205E-2</v>
      </c>
      <c r="ED21" s="13">
        <v>-5.4498856348180663E-2</v>
      </c>
      <c r="EE21" s="13">
        <v>1.4428852108417999E-2</v>
      </c>
      <c r="EF21" s="13">
        <v>-1.8771264042119089E-2</v>
      </c>
      <c r="EG21" s="20">
        <f t="shared" si="10"/>
        <v>2.074814586944974E-2</v>
      </c>
      <c r="EH21" s="1">
        <f t="shared" si="11"/>
        <v>0.12898435957246038</v>
      </c>
      <c r="EI21" s="22">
        <f t="shared" si="12"/>
        <v>0.16085784306114975</v>
      </c>
    </row>
    <row r="22" spans="1:139">
      <c r="A22" s="23">
        <v>321</v>
      </c>
      <c r="B22" s="23">
        <v>3</v>
      </c>
      <c r="C22" s="13">
        <v>6.4235717628454689E-2</v>
      </c>
      <c r="D22" s="13">
        <v>0.1424293333333333</v>
      </c>
      <c r="E22" s="13">
        <v>-4.1027532000619052E-2</v>
      </c>
      <c r="F22" s="13">
        <v>-0.13986799999999999</v>
      </c>
      <c r="G22" s="13">
        <v>-3.2954824249798613E-2</v>
      </c>
      <c r="H22" s="13">
        <v>0.124178</v>
      </c>
      <c r="I22" s="13">
        <v>1.7439333333333331E-2</v>
      </c>
      <c r="J22" s="13">
        <v>-0.104252</v>
      </c>
      <c r="K22" s="13">
        <v>-0.1532867706545093</v>
      </c>
      <c r="L22" s="13">
        <v>0.17118335942590121</v>
      </c>
      <c r="M22" s="13">
        <v>-0.18466333333333329</v>
      </c>
      <c r="N22" s="13">
        <v>0.75614233333333325</v>
      </c>
      <c r="O22" s="13">
        <v>-6.6442333333333325E-2</v>
      </c>
      <c r="P22" s="13">
        <v>9.0630333333333327E-2</v>
      </c>
      <c r="Q22" s="13">
        <v>0.12727466666666659</v>
      </c>
      <c r="R22" s="13">
        <v>6.6697666666666655E-2</v>
      </c>
      <c r="S22" s="13">
        <v>-3.9232333333333327E-2</v>
      </c>
      <c r="T22" s="13">
        <v>-0.104848</v>
      </c>
      <c r="U22" s="13">
        <v>5.2484333333333327E-2</v>
      </c>
      <c r="V22" s="13">
        <v>-0.17562366666666671</v>
      </c>
      <c r="W22" s="13">
        <v>0.15804799999999999</v>
      </c>
      <c r="X22" s="13">
        <v>0.25720199999999999</v>
      </c>
      <c r="Y22" s="13">
        <v>-6.9857333333333327E-2</v>
      </c>
      <c r="Z22" s="13">
        <v>2.3868E-2</v>
      </c>
      <c r="AA22" s="13">
        <v>7.0480168868567589E-3</v>
      </c>
      <c r="AB22" s="13">
        <v>-3.8273333333333333E-2</v>
      </c>
      <c r="AC22" s="13">
        <v>-0.1772113333333333</v>
      </c>
      <c r="AD22" s="13">
        <v>-1.2467302670572489E-2</v>
      </c>
      <c r="AE22" s="13">
        <v>-8.5149000000000002E-2</v>
      </c>
      <c r="AF22" s="13">
        <v>-4.718231615802413E-2</v>
      </c>
      <c r="AG22" s="13">
        <v>-4.5970333333333342E-2</v>
      </c>
      <c r="AH22" s="13">
        <v>0.10586595942047269</v>
      </c>
      <c r="AI22" s="13">
        <v>0.1110046666666667</v>
      </c>
      <c r="AJ22" s="13">
        <v>1.308133333333333E-2</v>
      </c>
      <c r="AK22" s="13">
        <v>-6.8266666666666656E-2</v>
      </c>
      <c r="AL22" s="13">
        <v>4.0340966806900407E-2</v>
      </c>
      <c r="AM22" s="13">
        <v>8.4088903467703563E-2</v>
      </c>
      <c r="AN22" s="13">
        <v>0.1111328096635593</v>
      </c>
      <c r="AO22" s="13">
        <v>7.4717373393705613E-2</v>
      </c>
      <c r="AP22" s="13">
        <v>2.0493333333333329E-2</v>
      </c>
      <c r="AQ22" s="13">
        <v>7.9426117478593142E-2</v>
      </c>
      <c r="AR22" s="13">
        <v>0.25053267815838243</v>
      </c>
      <c r="AS22" s="13">
        <v>8.2810438898549957E-2</v>
      </c>
      <c r="AT22" s="13">
        <v>-2.513636184002634E-2</v>
      </c>
      <c r="AU22" s="13">
        <v>3.3500451910869901E-2</v>
      </c>
      <c r="AV22" s="13">
        <v>-5.9813176675879959E-2</v>
      </c>
      <c r="AW22" s="13">
        <v>-3.014938920700894E-2</v>
      </c>
      <c r="AX22" s="13">
        <v>-0.1077576666666667</v>
      </c>
      <c r="AY22" s="13">
        <v>7.1733385334230598E-2</v>
      </c>
      <c r="AZ22" s="13">
        <v>-0.1549037783211521</v>
      </c>
      <c r="BA22" s="13">
        <v>-4.5598425167461952E-2</v>
      </c>
      <c r="BB22" s="13">
        <v>0.30192994454042299</v>
      </c>
      <c r="BC22" s="13">
        <v>-0.13083693812295519</v>
      </c>
      <c r="BD22" s="13">
        <v>-2.2174181465828179E-2</v>
      </c>
      <c r="BE22" s="13">
        <v>2.221618339448047E-2</v>
      </c>
      <c r="BF22" s="13">
        <v>1.363881733831962E-2</v>
      </c>
      <c r="BG22" s="13">
        <v>4.6279512168386029E-2</v>
      </c>
      <c r="BH22" s="13">
        <v>-0.12796054233813189</v>
      </c>
      <c r="BI22" s="13">
        <v>0.111088719409907</v>
      </c>
      <c r="BJ22" s="13">
        <v>5.4996415150720922E-2</v>
      </c>
      <c r="BK22" s="13">
        <v>-4.1839635933665138E-2</v>
      </c>
      <c r="BL22" s="13">
        <v>0.16178033907103531</v>
      </c>
      <c r="BM22" s="13">
        <v>0.19179703945604709</v>
      </c>
      <c r="BN22" s="13">
        <v>-1.5327552023042271E-2</v>
      </c>
      <c r="BO22" s="13">
        <v>-5.0484429112750417E-2</v>
      </c>
      <c r="BP22" s="13">
        <v>7.4835550155106345E-2</v>
      </c>
      <c r="BQ22" s="13">
        <v>2.7830097398312589E-2</v>
      </c>
      <c r="BR22" s="13">
        <v>2.081360946645289E-2</v>
      </c>
      <c r="BS22" s="13">
        <v>-1.637278237679916E-2</v>
      </c>
      <c r="BT22" s="13">
        <v>0.13053070333654609</v>
      </c>
      <c r="BU22" s="13">
        <v>0.21294876613801031</v>
      </c>
      <c r="BV22" s="13">
        <v>0.1585439723976089</v>
      </c>
      <c r="BW22" s="13">
        <v>-0.1746684979276073</v>
      </c>
      <c r="BX22" s="13">
        <v>3.6637445691972373E-2</v>
      </c>
      <c r="BY22" s="13">
        <v>-4.7467864027346263E-3</v>
      </c>
      <c r="BZ22" s="13">
        <v>4.725773586289217E-2</v>
      </c>
      <c r="CA22" s="13">
        <v>0.14408033333333331</v>
      </c>
      <c r="CB22" s="13">
        <v>-0.14899327824592659</v>
      </c>
      <c r="CC22" s="13">
        <v>-1.498570343815637E-2</v>
      </c>
      <c r="CD22" s="13">
        <v>0.33387803671272293</v>
      </c>
      <c r="CE22" s="13">
        <v>-0.39338733910427809</v>
      </c>
      <c r="CF22" s="13">
        <v>0.18879978576027739</v>
      </c>
      <c r="CG22" s="13">
        <v>-0.20326309220258709</v>
      </c>
      <c r="CH22" s="13">
        <v>0.1159187712794482</v>
      </c>
      <c r="CI22" s="13">
        <v>-0.1177797462783592</v>
      </c>
      <c r="CJ22" s="13">
        <v>-0.1033795050895627</v>
      </c>
      <c r="CK22" s="13">
        <v>3.6163342604682402E-2</v>
      </c>
      <c r="CL22" s="13">
        <v>-0.2406517986250408</v>
      </c>
      <c r="CM22" s="13">
        <v>0.32043200365782532</v>
      </c>
      <c r="CN22" s="13">
        <v>-8.5467718209073992E-3</v>
      </c>
      <c r="CO22" s="13">
        <v>-0.64995646824915565</v>
      </c>
      <c r="CP22" s="13">
        <v>0.25940855696940252</v>
      </c>
      <c r="CQ22" s="13">
        <v>-1.233377932566462E-2</v>
      </c>
      <c r="CR22" s="13">
        <v>0.16185042130139199</v>
      </c>
      <c r="CS22" s="13">
        <v>-1.5202183521422779E-2</v>
      </c>
      <c r="CT22" s="13">
        <v>5.8232521355985362E-2</v>
      </c>
      <c r="CU22" s="13">
        <v>-0.1202317119640979</v>
      </c>
      <c r="CV22" s="13">
        <v>0.1122336952070542</v>
      </c>
      <c r="CW22" s="13">
        <v>3.6451253326165209E-2</v>
      </c>
      <c r="CX22" s="13">
        <v>3.749593267848913E-3</v>
      </c>
      <c r="CY22" s="13">
        <v>-7.9888257735091419E-3</v>
      </c>
      <c r="CZ22" s="13">
        <v>0.26292048459923911</v>
      </c>
      <c r="DA22" s="13">
        <v>-3.9917538819241108E-3</v>
      </c>
      <c r="DB22" s="13">
        <v>-5.8383506828492103E-2</v>
      </c>
      <c r="DC22" s="13">
        <v>-2.0724784444157599E-2</v>
      </c>
      <c r="DD22" s="13">
        <v>0.1478941025728035</v>
      </c>
      <c r="DE22" s="13">
        <v>-5.4917579819501461E-3</v>
      </c>
      <c r="DF22" s="13">
        <v>1.7031775273553061E-2</v>
      </c>
      <c r="DG22" s="13">
        <v>3.1985043080887662E-2</v>
      </c>
      <c r="DH22" s="13">
        <v>1.3945346183503959E-2</v>
      </c>
      <c r="DI22" s="13">
        <v>6.356099926224941E-2</v>
      </c>
      <c r="DJ22" s="13">
        <v>-5.0246005833095859E-2</v>
      </c>
      <c r="DK22" s="13">
        <v>0.1791347138228401</v>
      </c>
      <c r="DL22" s="13">
        <v>0.1249416477373831</v>
      </c>
      <c r="DM22" s="13">
        <v>-6.3466051038033502E-2</v>
      </c>
      <c r="DN22" s="13">
        <v>4.6763328204007498E-2</v>
      </c>
      <c r="DO22" s="13">
        <v>0.12343750131163821</v>
      </c>
      <c r="DP22" s="13">
        <v>1.022725785290381E-2</v>
      </c>
      <c r="DQ22" s="13">
        <v>-0.13103100381943991</v>
      </c>
      <c r="DR22" s="13">
        <v>-6.0925526153180337E-3</v>
      </c>
      <c r="DS22" s="13">
        <v>-0.19705092156235929</v>
      </c>
      <c r="DT22" s="13">
        <v>-5.8357008996765318E-2</v>
      </c>
      <c r="DU22" s="13">
        <v>-5.7495390836838987E-2</v>
      </c>
      <c r="DV22" s="13">
        <v>0.12570511767817799</v>
      </c>
      <c r="DW22" s="13">
        <v>7.838972370699715E-2</v>
      </c>
      <c r="DX22" s="13">
        <v>-0.22244260844829469</v>
      </c>
      <c r="DY22" s="13">
        <v>-8.1471166255399959E-3</v>
      </c>
      <c r="DZ22" s="13">
        <v>-0.10374798094555759</v>
      </c>
      <c r="EA22" s="13">
        <v>-7.0548648839358755E-2</v>
      </c>
      <c r="EB22" s="13">
        <v>-8.0596727535317977E-2</v>
      </c>
      <c r="EC22" s="13">
        <v>2.1495101575638179E-2</v>
      </c>
      <c r="ED22" s="13">
        <v>-7.7413567057607463E-2</v>
      </c>
      <c r="EE22" s="13">
        <v>3.344630381221339E-2</v>
      </c>
      <c r="EF22" s="13">
        <v>-3.4790246372172352E-2</v>
      </c>
      <c r="EG22" s="20">
        <f t="shared" si="10"/>
        <v>1.4341244260829208E-2</v>
      </c>
      <c r="EH22" s="1">
        <f t="shared" si="11"/>
        <v>0.14809586004340486</v>
      </c>
      <c r="EI22" s="22">
        <f t="shared" si="12"/>
        <v>9.6837577070864683E-2</v>
      </c>
    </row>
    <row r="23" spans="1:139">
      <c r="A23" s="23">
        <v>482</v>
      </c>
      <c r="B23" s="23">
        <v>2</v>
      </c>
      <c r="C23" s="13">
        <v>-3.4987009286289193E-2</v>
      </c>
      <c r="D23" s="13">
        <v>0.25409399999999999</v>
      </c>
      <c r="E23" s="13">
        <v>-8.094117257067221E-2</v>
      </c>
      <c r="F23" s="13">
        <v>-3.7419999999999949E-3</v>
      </c>
      <c r="G23" s="13">
        <v>-5.2224173846498377E-2</v>
      </c>
      <c r="H23" s="13">
        <v>-1.81885E-2</v>
      </c>
      <c r="I23" s="13">
        <v>-3.6385500000000001E-2</v>
      </c>
      <c r="J23" s="13">
        <v>-0.11487550000000001</v>
      </c>
      <c r="K23" s="13">
        <v>-0.20448947647223359</v>
      </c>
      <c r="L23" s="13">
        <v>5.4043529775598627E-2</v>
      </c>
      <c r="M23" s="13">
        <v>-0.14728949999999999</v>
      </c>
      <c r="N23" s="13">
        <v>0.97590100000000002</v>
      </c>
      <c r="O23" s="13">
        <v>-0.1229</v>
      </c>
      <c r="P23" s="13">
        <v>5.4681500000000001E-2</v>
      </c>
      <c r="Q23" s="13">
        <v>0.29117749999999998</v>
      </c>
      <c r="R23" s="13">
        <v>6.2820000000000001E-2</v>
      </c>
      <c r="S23" s="13">
        <v>-7.257050000000001E-2</v>
      </c>
      <c r="T23" s="13">
        <v>-8.4677000000000002E-2</v>
      </c>
      <c r="U23" s="13">
        <v>5.9236499999999997E-2</v>
      </c>
      <c r="V23" s="13">
        <v>-0.2324755</v>
      </c>
      <c r="W23" s="13">
        <v>0.25954700000000003</v>
      </c>
      <c r="X23" s="13">
        <v>0.19455600000000001</v>
      </c>
      <c r="Y23" s="13">
        <v>-6.7954499999999987E-2</v>
      </c>
      <c r="Z23" s="13">
        <v>4.1052000000000012E-2</v>
      </c>
      <c r="AA23" s="13">
        <v>6.6062919694702682E-3</v>
      </c>
      <c r="AB23" s="13">
        <v>-4.7747999999999999E-2</v>
      </c>
      <c r="AC23" s="13">
        <v>-0.23400850000000001</v>
      </c>
      <c r="AD23" s="13">
        <v>-1.5010900357047399E-2</v>
      </c>
      <c r="AE23" s="13">
        <v>-0.221717</v>
      </c>
      <c r="AF23" s="13">
        <v>-6.6906260089751285E-2</v>
      </c>
      <c r="AG23" s="13">
        <v>-2.0555000000000091E-3</v>
      </c>
      <c r="AH23" s="13">
        <v>8.417158452318324E-2</v>
      </c>
      <c r="AI23" s="13">
        <v>0.209152</v>
      </c>
      <c r="AJ23" s="13">
        <v>2.3587E-2</v>
      </c>
      <c r="AK23" s="13">
        <v>1.856E-2</v>
      </c>
      <c r="AL23" s="13">
        <v>0.1314317131925356</v>
      </c>
      <c r="AM23" s="13">
        <v>7.769489004865255E-3</v>
      </c>
      <c r="AN23" s="13">
        <v>0.24231469935730071</v>
      </c>
      <c r="AO23" s="13">
        <v>-5.3369521914240978E-3</v>
      </c>
      <c r="AP23" s="13">
        <v>-0.16526650000000001</v>
      </c>
      <c r="AQ23" s="13">
        <v>8.9424992259610633E-2</v>
      </c>
      <c r="AR23" s="13">
        <v>0.33674404384506768</v>
      </c>
      <c r="AS23" s="13">
        <v>-1.470688799737762E-2</v>
      </c>
      <c r="AT23" s="13">
        <v>-4.1427721813649641E-2</v>
      </c>
      <c r="AU23" s="13">
        <v>3.3145526128504327E-2</v>
      </c>
      <c r="AV23" s="13">
        <v>-2.7638994197374041E-2</v>
      </c>
      <c r="AW23" s="13">
        <v>-5.202690983840276E-2</v>
      </c>
      <c r="AX23" s="13">
        <v>6.5139000000000002E-2</v>
      </c>
      <c r="AY23" s="13">
        <v>0.17023398084058211</v>
      </c>
      <c r="AZ23" s="13">
        <v>-6.3753617401060211E-2</v>
      </c>
      <c r="BA23" s="13">
        <v>9.6467800801007808E-3</v>
      </c>
      <c r="BB23" s="13">
        <v>-5.1049484102885123E-2</v>
      </c>
      <c r="BC23" s="13">
        <v>-0.30082824917306578</v>
      </c>
      <c r="BD23" s="13">
        <v>9.4830881346450333E-2</v>
      </c>
      <c r="BE23" s="13">
        <v>-7.1430762397296579E-2</v>
      </c>
      <c r="BF23" s="13">
        <v>-2.284699060468626E-2</v>
      </c>
      <c r="BG23" s="13">
        <v>7.4761471196752541E-2</v>
      </c>
      <c r="BH23" s="13">
        <v>-0.2034839813552872</v>
      </c>
      <c r="BI23" s="13">
        <v>0.1911120793231991</v>
      </c>
      <c r="BJ23" s="13">
        <v>0.1040033152679269</v>
      </c>
      <c r="BK23" s="13">
        <v>2.0341083364774871E-3</v>
      </c>
      <c r="BL23" s="13">
        <v>0.14953429625023959</v>
      </c>
      <c r="BM23" s="13">
        <v>0.18918068678715391</v>
      </c>
      <c r="BN23" s="13">
        <v>-6.9471707588132049E-3</v>
      </c>
      <c r="BO23" s="13">
        <v>3.6524941745999073E-2</v>
      </c>
      <c r="BP23" s="13">
        <v>9.8266399211456468E-2</v>
      </c>
      <c r="BQ23" s="13">
        <v>7.2047901435266168E-2</v>
      </c>
      <c r="BR23" s="13">
        <v>1.7844321463962809E-2</v>
      </c>
      <c r="BS23" s="13">
        <v>-7.3275388657911791E-2</v>
      </c>
      <c r="BT23" s="13">
        <v>0.14364980602599711</v>
      </c>
      <c r="BU23" s="13">
        <v>0.20568773584594591</v>
      </c>
      <c r="BV23" s="13">
        <v>0.11346756836018849</v>
      </c>
      <c r="BW23" s="13">
        <v>-0.20215233327569121</v>
      </c>
      <c r="BX23" s="13">
        <v>-8.2131197272531514E-3</v>
      </c>
      <c r="BY23" s="13">
        <v>-1.020569269434762E-2</v>
      </c>
      <c r="BZ23" s="13">
        <v>7.6697624318448621E-3</v>
      </c>
      <c r="CA23" s="13">
        <v>0.20637549999999999</v>
      </c>
      <c r="CB23" s="13">
        <v>-0.21761420299243989</v>
      </c>
      <c r="CC23" s="13">
        <v>0.2249586274956801</v>
      </c>
      <c r="CD23" s="13">
        <v>0.19167645501478511</v>
      </c>
      <c r="CE23" s="13">
        <v>-0.1166246067964614</v>
      </c>
      <c r="CF23" s="13">
        <v>0.15713490979116501</v>
      </c>
      <c r="CG23" s="13">
        <v>-0.3932437879236767</v>
      </c>
      <c r="CH23" s="13">
        <v>0.18019644892142839</v>
      </c>
      <c r="CI23" s="13">
        <v>-0.30989941712809688</v>
      </c>
      <c r="CJ23" s="13">
        <v>-1.9875367550410569E-2</v>
      </c>
      <c r="CK23" s="13">
        <v>9.6116994727961536E-2</v>
      </c>
      <c r="CL23" s="13">
        <v>-0.40866101266741839</v>
      </c>
      <c r="CM23" s="13">
        <v>0.3867329465229094</v>
      </c>
      <c r="CN23" s="13">
        <v>-5.3005178369803271E-2</v>
      </c>
      <c r="CO23" s="13">
        <v>-0.90892328736561978</v>
      </c>
      <c r="CP23" s="13">
        <v>0.31136074316275669</v>
      </c>
      <c r="CQ23" s="13">
        <v>-9.1837444998058917E-3</v>
      </c>
      <c r="CR23" s="13">
        <v>1.159780382107861E-2</v>
      </c>
      <c r="CS23" s="13">
        <v>-3.697421899127859E-2</v>
      </c>
      <c r="CT23" s="13">
        <v>4.5662541711253862E-2</v>
      </c>
      <c r="CU23" s="13">
        <v>-2.1056595713287041E-2</v>
      </c>
      <c r="CV23" s="13">
        <v>-2.2245137488805671E-2</v>
      </c>
      <c r="CW23" s="13">
        <v>0.1009013318024186</v>
      </c>
      <c r="CX23" s="13">
        <v>-8.8716994096526336E-2</v>
      </c>
      <c r="CY23" s="13">
        <v>2.20465307533785E-2</v>
      </c>
      <c r="CZ23" s="13">
        <v>0.18199879385735121</v>
      </c>
      <c r="DA23" s="13">
        <v>-3.0982136225910391E-2</v>
      </c>
      <c r="DB23" s="13">
        <v>-1.5955156866996431E-2</v>
      </c>
      <c r="DC23" s="13">
        <v>0.1191904860704142</v>
      </c>
      <c r="DD23" s="13">
        <v>0.21341104440699671</v>
      </c>
      <c r="DE23" s="13">
        <v>-9.3952259516448811E-3</v>
      </c>
      <c r="DF23" s="13">
        <v>6.194212704490535E-2</v>
      </c>
      <c r="DG23" s="13">
        <v>3.8270011874717E-2</v>
      </c>
      <c r="DH23" s="13">
        <v>5.5413447308742453E-2</v>
      </c>
      <c r="DI23" s="13">
        <v>5.3479596916020812E-2</v>
      </c>
      <c r="DJ23" s="13">
        <v>-8.7058008172347823E-2</v>
      </c>
      <c r="DK23" s="13">
        <v>0.27783321655884308</v>
      </c>
      <c r="DL23" s="13">
        <v>0.21610105954027359</v>
      </c>
      <c r="DM23" s="13">
        <v>-1.949730491936592E-2</v>
      </c>
      <c r="DN23" s="13">
        <v>6.4971960439702253E-3</v>
      </c>
      <c r="DO23" s="13">
        <v>0.16409130373383399</v>
      </c>
      <c r="DP23" s="13">
        <v>4.7088232655722921E-2</v>
      </c>
      <c r="DQ23" s="13">
        <v>-0.17021099650353791</v>
      </c>
      <c r="DR23" s="13">
        <v>-8.9886002731306744E-2</v>
      </c>
      <c r="DS23" s="13">
        <v>-0.28809657691904628</v>
      </c>
      <c r="DT23" s="13">
        <v>-0.12395522319619889</v>
      </c>
      <c r="DU23" s="13">
        <v>3.4287185254997438E-2</v>
      </c>
      <c r="DV23" s="13">
        <v>0.27627160832943959</v>
      </c>
      <c r="DW23" s="13">
        <v>0.14122823258283859</v>
      </c>
      <c r="DX23" s="13">
        <v>-0.31349320637896622</v>
      </c>
      <c r="DY23" s="13">
        <v>0.16987682865225409</v>
      </c>
      <c r="DZ23" s="13">
        <v>-0.10287301862651251</v>
      </c>
      <c r="EA23" s="13">
        <v>-2.3448907613119421E-2</v>
      </c>
      <c r="EB23" s="13">
        <v>-6.2753439710675096E-2</v>
      </c>
      <c r="EC23" s="13">
        <v>-3.6584316325813361E-2</v>
      </c>
      <c r="ED23" s="13">
        <v>-9.1425904619781034E-2</v>
      </c>
      <c r="EE23" s="13">
        <v>5.9050683888240307E-2</v>
      </c>
      <c r="EF23" s="13">
        <v>-4.7782278591659677E-2</v>
      </c>
      <c r="EG23" s="20">
        <f t="shared" si="10"/>
        <v>1.4367796945556182E-2</v>
      </c>
      <c r="EH23" s="1">
        <f t="shared" si="11"/>
        <v>0.18659525749864825</v>
      </c>
      <c r="EI23" s="22">
        <f t="shared" si="12"/>
        <v>7.6999796983909241E-2</v>
      </c>
    </row>
    <row r="24" spans="1:139">
      <c r="A24" s="23">
        <v>964</v>
      </c>
      <c r="B24" s="23">
        <v>1</v>
      </c>
      <c r="C24" s="13">
        <v>0.162993136931085</v>
      </c>
      <c r="D24" s="13">
        <v>0.10061</v>
      </c>
      <c r="E24" s="13">
        <v>7.1400330169296908E-2</v>
      </c>
      <c r="F24" s="13">
        <v>7.5326000000000004E-2</v>
      </c>
      <c r="G24" s="13">
        <v>0.2257600230575724</v>
      </c>
      <c r="H24" s="13">
        <v>3.5856000000000013E-2</v>
      </c>
      <c r="I24" s="13">
        <v>1.6930000000000001E-2</v>
      </c>
      <c r="J24" s="13">
        <v>-0.11546099999999999</v>
      </c>
      <c r="K24" s="13">
        <v>-2.1515278354960109E-2</v>
      </c>
      <c r="L24" s="13">
        <v>9.5623250508682117E-2</v>
      </c>
      <c r="M24" s="13">
        <v>-0.21778600000000001</v>
      </c>
      <c r="N24" s="13">
        <v>1.7690319999999999</v>
      </c>
      <c r="O24" s="13">
        <v>-0.24428</v>
      </c>
      <c r="P24" s="13">
        <v>1.736000000000001E-3</v>
      </c>
      <c r="Q24" s="13">
        <v>-2.8400000000000018E-3</v>
      </c>
      <c r="R24" s="13">
        <v>-2.7827000000000001E-2</v>
      </c>
      <c r="S24" s="13">
        <v>-1.1050000000000001E-2</v>
      </c>
      <c r="T24" s="13">
        <v>-0.28782000000000002</v>
      </c>
      <c r="U24" s="13">
        <v>0.28585300000000002</v>
      </c>
      <c r="V24" s="13">
        <v>-9.8680000000000004E-2</v>
      </c>
      <c r="W24" s="13">
        <v>-0.16456200000000001</v>
      </c>
      <c r="X24" s="13">
        <v>-8.9899999999999702E-4</v>
      </c>
      <c r="Y24" s="13">
        <v>-0.120319</v>
      </c>
      <c r="Z24" s="13">
        <v>-2.4395E-2</v>
      </c>
      <c r="AA24" s="13">
        <v>1.354776823757727E-2</v>
      </c>
      <c r="AB24" s="13">
        <v>-0.184249</v>
      </c>
      <c r="AC24" s="13">
        <v>-0.24617</v>
      </c>
      <c r="AD24" s="13">
        <v>-7.8218388926296623E-3</v>
      </c>
      <c r="AE24" s="13">
        <v>-0.17527100000000001</v>
      </c>
      <c r="AF24" s="13">
        <v>-2.2522010034790499E-2</v>
      </c>
      <c r="AG24" s="13">
        <v>0.105901</v>
      </c>
      <c r="AH24" s="13">
        <v>5.6697360067789589E-2</v>
      </c>
      <c r="AI24" s="13">
        <v>0.31041400000000002</v>
      </c>
      <c r="AJ24" s="13">
        <v>8.5434999999999997E-2</v>
      </c>
      <c r="AK24" s="13">
        <v>1.4400000000000001E-3</v>
      </c>
      <c r="AL24" s="13">
        <v>-5.4676935490635382E-2</v>
      </c>
      <c r="AM24" s="13">
        <v>-1.89192814205267E-2</v>
      </c>
      <c r="AN24" s="13">
        <v>0.22118946514543131</v>
      </c>
      <c r="AO24" s="13">
        <v>6.6090111828990022E-2</v>
      </c>
      <c r="AP24" s="13">
        <v>-0.16448499999999999</v>
      </c>
      <c r="AQ24" s="13">
        <v>4.7076972834245667E-2</v>
      </c>
      <c r="AR24" s="13">
        <v>9.6392566076069844E-3</v>
      </c>
      <c r="AS24" s="13">
        <v>-2.7956077266590069E-2</v>
      </c>
      <c r="AT24" s="13">
        <v>3.045920748470865E-2</v>
      </c>
      <c r="AU24" s="13">
        <v>4.4095319865224331E-2</v>
      </c>
      <c r="AV24" s="13">
        <v>-8.7151952186895892E-2</v>
      </c>
      <c r="AW24" s="13">
        <v>4.9875415110391882E-3</v>
      </c>
      <c r="AX24" s="13">
        <v>-2.5558000000000001E-2</v>
      </c>
      <c r="AY24" s="13">
        <v>0.16812729388488939</v>
      </c>
      <c r="AZ24" s="13">
        <v>3.7867073599665187E-2</v>
      </c>
      <c r="BA24" s="13">
        <v>-5.3794732084633153E-2</v>
      </c>
      <c r="BB24" s="13">
        <v>-8.6159033395334803E-2</v>
      </c>
      <c r="BC24" s="13">
        <v>-0.8032160130443774</v>
      </c>
      <c r="BD24" s="13">
        <v>0.18559521924643521</v>
      </c>
      <c r="BE24" s="13">
        <v>-4.606435403168687E-2</v>
      </c>
      <c r="BF24" s="13">
        <v>8.765133605409231E-2</v>
      </c>
      <c r="BG24" s="13">
        <v>2.6835965866310919E-2</v>
      </c>
      <c r="BH24" s="13">
        <v>-0.38625533691353497</v>
      </c>
      <c r="BI24" s="13">
        <v>0.2236291060700471</v>
      </c>
      <c r="BJ24" s="13">
        <v>3.3483157548845829E-3</v>
      </c>
      <c r="BK24" s="13">
        <v>4.0235468942862278E-3</v>
      </c>
      <c r="BL24" s="13">
        <v>0.31716429392471662</v>
      </c>
      <c r="BM24" s="13">
        <v>1.1473019117737151E-2</v>
      </c>
      <c r="BN24" s="13">
        <v>6.849341845574783E-3</v>
      </c>
      <c r="BO24" s="13">
        <v>-0.16110969109564191</v>
      </c>
      <c r="BP24" s="13">
        <v>0.1233511811293219</v>
      </c>
      <c r="BQ24" s="13">
        <v>-6.4169633330115036E-2</v>
      </c>
      <c r="BR24" s="13">
        <v>4.2356223303417713E-2</v>
      </c>
      <c r="BS24" s="13">
        <v>-1.284717484456964E-3</v>
      </c>
      <c r="BT24" s="13">
        <v>0.1162706960541873</v>
      </c>
      <c r="BU24" s="13">
        <v>0.22832663155994071</v>
      </c>
      <c r="BV24" s="13">
        <v>0.1077284538879829</v>
      </c>
      <c r="BW24" s="13">
        <v>-6.1835883635593128E-2</v>
      </c>
      <c r="BX24" s="13">
        <v>-0.1329600557104578</v>
      </c>
      <c r="BY24" s="13">
        <v>0.10974566916741731</v>
      </c>
      <c r="BZ24" s="13">
        <v>0.25889289884999689</v>
      </c>
      <c r="CA24" s="13">
        <v>0.10002800000000001</v>
      </c>
      <c r="CB24" s="13">
        <v>0.20876197428786911</v>
      </c>
      <c r="CC24" s="13">
        <v>0.43985451226693362</v>
      </c>
      <c r="CD24" s="13">
        <v>0.14430631074219491</v>
      </c>
      <c r="CE24" s="13">
        <v>-0.21012143523608839</v>
      </c>
      <c r="CF24" s="13">
        <v>0.2217213622453883</v>
      </c>
      <c r="CG24" s="13">
        <v>-0.32381797901906062</v>
      </c>
      <c r="CH24" s="13">
        <v>0.35427729684250298</v>
      </c>
      <c r="CI24" s="13">
        <v>0.3284518207092646</v>
      </c>
      <c r="CJ24" s="13">
        <v>1.310948541941956E-2</v>
      </c>
      <c r="CK24" s="13">
        <v>9.3530079315696568E-2</v>
      </c>
      <c r="CL24" s="13">
        <v>0.1417553333725407</v>
      </c>
      <c r="CM24" s="13">
        <v>0.54958710995910021</v>
      </c>
      <c r="CN24" s="13">
        <v>-0.1077387664572132</v>
      </c>
      <c r="CO24" s="13">
        <v>-0.77665321833623113</v>
      </c>
      <c r="CP24" s="13">
        <v>0.1603442048148421</v>
      </c>
      <c r="CQ24" s="13">
        <v>0.1146871738632968</v>
      </c>
      <c r="CR24" s="13">
        <v>6.1084838239556717E-2</v>
      </c>
      <c r="CS24" s="13">
        <v>-8.5895232746805786E-2</v>
      </c>
      <c r="CT24" s="13">
        <v>9.6419008147395818E-2</v>
      </c>
      <c r="CU24" s="13">
        <v>-7.2751347656710041E-2</v>
      </c>
      <c r="CV24" s="13">
        <v>1.5064047539375311E-2</v>
      </c>
      <c r="CW24" s="13">
        <v>0.17511716607200739</v>
      </c>
      <c r="CX24" s="13">
        <v>5.5207193708687041E-2</v>
      </c>
      <c r="CY24" s="13">
        <v>-8.0066904636818925E-2</v>
      </c>
      <c r="CZ24" s="13">
        <v>0.11220662844456721</v>
      </c>
      <c r="DA24" s="13">
        <v>2.451120416275485E-2</v>
      </c>
      <c r="DB24" s="13">
        <v>-0.19546067251265431</v>
      </c>
      <c r="DC24" s="13">
        <v>0.19117575817053481</v>
      </c>
      <c r="DD24" s="13">
        <v>0.15338138073910601</v>
      </c>
      <c r="DE24" s="13">
        <v>-0.17606275750953501</v>
      </c>
      <c r="DF24" s="13">
        <v>-0.1046649760205613</v>
      </c>
      <c r="DG24" s="13">
        <v>5.9105834124344087E-2</v>
      </c>
      <c r="DH24" s="13">
        <v>8.4652506536621926E-4</v>
      </c>
      <c r="DI24" s="13">
        <v>0.1418754589382695</v>
      </c>
      <c r="DJ24" s="13">
        <v>-0.13248861050923971</v>
      </c>
      <c r="DK24" s="13">
        <v>0.33950921063044381</v>
      </c>
      <c r="DL24" s="13">
        <v>0.21310442628588119</v>
      </c>
      <c r="DM24" s="13">
        <v>-0.14143952722687489</v>
      </c>
      <c r="DN24" s="13">
        <v>0.23333457077469619</v>
      </c>
      <c r="DO24" s="13">
        <v>0.18544080263268789</v>
      </c>
      <c r="DP24" s="13">
        <v>0.1143734254860139</v>
      </c>
      <c r="DQ24" s="13">
        <v>-0.13297735123596999</v>
      </c>
      <c r="DR24" s="13">
        <v>-2.0515630212029241E-2</v>
      </c>
      <c r="DS24" s="13">
        <v>-0.21626154103284559</v>
      </c>
      <c r="DT24" s="13">
        <v>-3.8362866170129663E-2</v>
      </c>
      <c r="DU24" s="13">
        <v>-4.7638587273757492E-2</v>
      </c>
      <c r="DV24" s="13">
        <v>0.1582246986438143</v>
      </c>
      <c r="DW24" s="13">
        <v>0.10885708989133031</v>
      </c>
      <c r="DX24" s="13">
        <v>-0.31159312779250392</v>
      </c>
      <c r="DY24" s="13">
        <v>0.34380428679820851</v>
      </c>
      <c r="DZ24" s="13">
        <v>-5.0469182403116652E-2</v>
      </c>
      <c r="EA24" s="13">
        <v>7.7350922227335792E-2</v>
      </c>
      <c r="EB24" s="13">
        <v>-2.9582176365294029E-2</v>
      </c>
      <c r="EC24" s="13">
        <v>-1.4309918770678909E-2</v>
      </c>
      <c r="ED24" s="13">
        <v>-5.6172845298362112E-2</v>
      </c>
      <c r="EE24" s="13">
        <v>0.1134294391912188</v>
      </c>
      <c r="EF24" s="13">
        <v>6.7276677043968364E-2</v>
      </c>
      <c r="EG24" s="20">
        <f t="shared" si="10"/>
        <v>3.2345782003443478E-2</v>
      </c>
      <c r="EH24" s="1">
        <f t="shared" si="11"/>
        <v>0.23923648687826088</v>
      </c>
      <c r="EI24" s="22">
        <f t="shared" si="12"/>
        <v>0.13520421749004832</v>
      </c>
    </row>
    <row r="25" spans="1:139">
      <c r="A25" s="23"/>
      <c r="B25" s="23"/>
    </row>
    <row r="26" spans="1:139">
      <c r="A26" s="23" t="s">
        <v>144</v>
      </c>
      <c r="B26" s="23" t="s">
        <v>145</v>
      </c>
      <c r="C26" s="8">
        <v>-1.7446770539390338E-2</v>
      </c>
      <c r="D26" s="8">
        <v>2.070106053181563E-2</v>
      </c>
      <c r="E26" s="8">
        <v>2.3982129254766709E-2</v>
      </c>
      <c r="F26" s="8">
        <v>-6.557578972823077E-3</v>
      </c>
      <c r="G26" s="8">
        <v>3.1845129800519692E-2</v>
      </c>
      <c r="H26" s="8">
        <v>3.4348532736990518E-2</v>
      </c>
      <c r="I26" s="8">
        <v>-8.2549327813252367E-3</v>
      </c>
      <c r="J26" s="8">
        <v>1.2843524394052759E-2</v>
      </c>
      <c r="K26" s="8">
        <v>-5.1018524626790823E-2</v>
      </c>
      <c r="L26" s="8">
        <v>8.7394274103658827E-4</v>
      </c>
      <c r="M26" s="8">
        <v>2.3389575505495919E-2</v>
      </c>
      <c r="N26" s="8">
        <v>1.2988972200332851E-2</v>
      </c>
      <c r="O26" s="8">
        <v>5.8545887256348812E-3</v>
      </c>
      <c r="P26" s="8">
        <v>2.7413206571790558E-2</v>
      </c>
      <c r="Q26" s="8">
        <v>-3.7129361176928542E-3</v>
      </c>
      <c r="R26" s="8">
        <v>2.4076614047823328E-2</v>
      </c>
      <c r="S26" s="8">
        <v>-1.219002529903996E-2</v>
      </c>
      <c r="T26" s="8">
        <v>-3.9749578159589592E-2</v>
      </c>
      <c r="U26" s="8">
        <v>-7.3155449831649552E-2</v>
      </c>
      <c r="V26" s="8">
        <v>-5.8260229910114661E-2</v>
      </c>
      <c r="W26" s="8">
        <v>7.7279756550837221E-4</v>
      </c>
      <c r="X26" s="8">
        <v>4.459152113521897E-2</v>
      </c>
      <c r="Y26" s="8">
        <v>-2.7699680050213091E-2</v>
      </c>
      <c r="Z26" s="8">
        <v>2.0950059497436462E-3</v>
      </c>
      <c r="AA26" s="8">
        <v>-2.340055099256411E-2</v>
      </c>
      <c r="AB26" s="8">
        <v>3.2129371097322189E-2</v>
      </c>
      <c r="AC26" s="8">
        <v>3.890327309406643E-2</v>
      </c>
      <c r="AD26" s="8">
        <v>-4.286538217110427E-2</v>
      </c>
      <c r="AE26" s="8">
        <v>1.8647194550152159E-2</v>
      </c>
      <c r="AF26" s="8">
        <v>1.5229768322528949E-2</v>
      </c>
      <c r="AG26" s="8">
        <v>3.6016603778892417E-2</v>
      </c>
      <c r="AH26" s="8">
        <v>9.3546113853161701E-3</v>
      </c>
      <c r="AI26" s="8">
        <v>1.0748251336838139E-2</v>
      </c>
      <c r="AJ26" s="8">
        <v>1.335775405308097E-2</v>
      </c>
      <c r="AK26" s="8">
        <v>-5.3327473290953921E-3</v>
      </c>
      <c r="AL26" s="8">
        <v>1.383135807261675E-3</v>
      </c>
      <c r="AM26" s="8">
        <v>2.079592842007446E-2</v>
      </c>
      <c r="AN26" s="8">
        <v>3.1517702220390638E-2</v>
      </c>
      <c r="AO26" s="8">
        <v>6.2417165333294418E-3</v>
      </c>
      <c r="AP26" s="8">
        <v>6.1452616535713897E-3</v>
      </c>
      <c r="AQ26" s="8">
        <v>1.694635767669651E-2</v>
      </c>
      <c r="AR26" s="8">
        <v>3.4682830454308228E-2</v>
      </c>
      <c r="AS26" s="8">
        <v>3.0985886171969678E-3</v>
      </c>
      <c r="AT26" s="8">
        <v>1.508134714348611E-2</v>
      </c>
      <c r="AU26" s="8">
        <v>-1.9251209229863991E-2</v>
      </c>
      <c r="AV26" s="8">
        <v>3.8711513387631437E-2</v>
      </c>
      <c r="AW26" s="8">
        <v>-2.1856951135736599E-2</v>
      </c>
      <c r="AX26" s="8">
        <v>7.7743007097896798E-3</v>
      </c>
      <c r="AY26" s="8">
        <v>4.2397246695325942E-2</v>
      </c>
      <c r="AZ26" s="8">
        <v>-2.630897486115975E-2</v>
      </c>
      <c r="BA26" s="8">
        <v>9.5717493087162323E-3</v>
      </c>
      <c r="BB26" s="8">
        <v>-2.424974126627483E-2</v>
      </c>
      <c r="BC26" s="8">
        <v>2.0163374143915822E-2</v>
      </c>
      <c r="BD26" s="8">
        <v>-3.5049987821160239E-3</v>
      </c>
      <c r="BE26" s="8">
        <v>2.0151935098542271E-2</v>
      </c>
      <c r="BF26" s="8">
        <v>5.8133623077027128E-4</v>
      </c>
      <c r="BG26" s="8">
        <v>-5.2197009532526043E-3</v>
      </c>
      <c r="BH26" s="8">
        <v>-0.11587176140213</v>
      </c>
      <c r="BI26" s="8">
        <v>8.7252256924373536E-3</v>
      </c>
      <c r="BJ26" s="8">
        <v>-1.6377260977822151E-2</v>
      </c>
      <c r="BK26" s="8">
        <v>2.0840371600260421E-2</v>
      </c>
      <c r="BL26" s="8">
        <v>4.4975872102114713E-2</v>
      </c>
      <c r="BM26" s="8">
        <v>2.3954306081863871E-2</v>
      </c>
      <c r="BN26" s="8">
        <v>3.0239101391442601E-2</v>
      </c>
      <c r="BO26" s="8">
        <v>-4.372588759108751E-2</v>
      </c>
      <c r="BP26" s="8">
        <v>2.1889469568198618E-2</v>
      </c>
      <c r="BQ26" s="8">
        <v>8.6274302635084028E-3</v>
      </c>
      <c r="BR26" s="8">
        <v>-1.9192953994658781E-2</v>
      </c>
      <c r="BS26" s="8">
        <v>1.973512988813305E-2</v>
      </c>
      <c r="BT26" s="8">
        <v>4.7694337483699438E-2</v>
      </c>
      <c r="BU26" s="8">
        <v>1.145481680658339E-2</v>
      </c>
      <c r="BV26" s="8">
        <v>4.3228620735213191E-2</v>
      </c>
      <c r="BW26" s="8">
        <v>-4.2747430436922793E-2</v>
      </c>
      <c r="BX26" s="8">
        <v>-1.781129242779457E-2</v>
      </c>
      <c r="BY26" s="8">
        <v>-0.1511530968690756</v>
      </c>
      <c r="BZ26" s="8">
        <v>0.12422400361957529</v>
      </c>
      <c r="CA26" s="8">
        <v>-4.5572538445296431E-3</v>
      </c>
      <c r="CB26" s="8">
        <v>6.0211240204911178E-2</v>
      </c>
      <c r="CC26" s="8">
        <v>8.5992033482502284E-2</v>
      </c>
      <c r="CD26" s="8">
        <v>-5.8084795823660634E-3</v>
      </c>
      <c r="CE26" s="8">
        <v>-6.0413469889680736E-3</v>
      </c>
      <c r="CF26" s="8">
        <v>2.4523243722520739E-3</v>
      </c>
      <c r="CG26" s="8">
        <v>8.963625193702289E-2</v>
      </c>
      <c r="CH26" s="8">
        <v>7.099273252675789E-2</v>
      </c>
      <c r="CI26" s="8">
        <v>2.7170642901783448E-2</v>
      </c>
      <c r="CJ26" s="8">
        <v>5.2468428425330033E-2</v>
      </c>
      <c r="CK26" s="8">
        <v>2.9480660943049509E-2</v>
      </c>
      <c r="CL26" s="8">
        <v>6.6825081060201283E-2</v>
      </c>
      <c r="CM26" s="8">
        <v>-2.8772229019816971E-2</v>
      </c>
      <c r="CN26" s="8">
        <v>3.9462515901637851E-2</v>
      </c>
      <c r="CO26" s="8">
        <v>-2.9031086977359909E-2</v>
      </c>
      <c r="CP26" s="8">
        <v>1.3983882519467901E-2</v>
      </c>
      <c r="CQ26" s="8">
        <v>-3.2276964959333833E-2</v>
      </c>
      <c r="CR26" s="8">
        <v>3.1035766128940231E-3</v>
      </c>
      <c r="CS26" s="8">
        <v>2.5591855767083171E-2</v>
      </c>
      <c r="CT26" s="8">
        <v>4.4391886287193302E-2</v>
      </c>
      <c r="CU26" s="8">
        <v>-3.0338958549577438E-2</v>
      </c>
      <c r="CV26" s="8">
        <v>-1.2579764545717069E-3</v>
      </c>
      <c r="CW26" s="8">
        <v>2.336356455857952E-3</v>
      </c>
      <c r="CX26" s="8">
        <v>-6.4264144925906069E-2</v>
      </c>
      <c r="CY26" s="8">
        <v>1.2909779458992439E-2</v>
      </c>
      <c r="CZ26" s="8">
        <v>-0.12547709467085871</v>
      </c>
      <c r="DA26" s="8">
        <v>1.1690682939792569E-2</v>
      </c>
      <c r="DB26" s="8">
        <v>6.3378437007417512E-3</v>
      </c>
      <c r="DC26" s="8">
        <v>-0.1173053564693855</v>
      </c>
      <c r="DD26" s="8">
        <v>-3.6010872049446613E-2</v>
      </c>
      <c r="DE26" s="8">
        <v>0.1389113040722679</v>
      </c>
      <c r="DF26" s="8">
        <v>-5.1143506226105737E-2</v>
      </c>
      <c r="DG26" s="8">
        <v>7.6731447181969059E-2</v>
      </c>
      <c r="DH26" s="8">
        <v>1.550878219700816E-2</v>
      </c>
      <c r="DI26" s="8">
        <v>2.3223773674755831E-2</v>
      </c>
      <c r="DJ26" s="8">
        <v>-1.8372876361227891E-2</v>
      </c>
      <c r="DK26" s="8">
        <v>6.2199014085099431E-2</v>
      </c>
      <c r="DL26" s="8">
        <v>2.0098304486957191E-2</v>
      </c>
      <c r="DM26" s="8">
        <v>1.349893974806809E-2</v>
      </c>
      <c r="DN26" s="8">
        <v>-3.025221272842088E-2</v>
      </c>
      <c r="DO26" s="8">
        <v>-1.7022835708053841E-2</v>
      </c>
      <c r="DP26" s="8">
        <v>-2.1788523272461981E-2</v>
      </c>
      <c r="DQ26" s="8">
        <v>8.5745624585137223E-2</v>
      </c>
      <c r="DR26" s="8">
        <v>2.8106743604973752E-2</v>
      </c>
      <c r="DS26" s="8">
        <v>-2.3031598073594501E-3</v>
      </c>
      <c r="DT26" s="8">
        <v>5.8471198131487503E-2</v>
      </c>
      <c r="DU26" s="8">
        <v>6.7658949048647651E-2</v>
      </c>
      <c r="DV26" s="8">
        <v>5.0207706404322644E-3</v>
      </c>
      <c r="DW26" s="8">
        <v>3.7416183675207063E-2</v>
      </c>
      <c r="DX26" s="8">
        <v>8.4111003746042121E-2</v>
      </c>
      <c r="DY26" s="8">
        <v>-3.6832398544012837E-2</v>
      </c>
      <c r="DZ26" s="8">
        <v>3.0917028169369942E-3</v>
      </c>
      <c r="EA26" s="8">
        <v>-1.957628214294549E-3</v>
      </c>
      <c r="EB26" s="8">
        <v>2.6459103603519739E-2</v>
      </c>
      <c r="EC26" s="8">
        <v>-2.4752538760690269E-2</v>
      </c>
      <c r="ED26" s="8">
        <v>3.4115490982559941E-2</v>
      </c>
      <c r="EE26" s="8">
        <v>2.1061973989032982E-2</v>
      </c>
      <c r="EF26" s="8">
        <v>-2.0277392706005919E-2</v>
      </c>
      <c r="EG26" s="8">
        <f>AVERAGE(C26:EF26)</f>
        <v>7.3485376145559517E-3</v>
      </c>
      <c r="EH26" s="8">
        <f>STDEV(C26:EF26)</f>
        <v>4.2276369775976368E-2</v>
      </c>
      <c r="EI26" s="8">
        <f>EG26/EH26</f>
        <v>0.17382139605401439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6"/>
  <sheetViews>
    <sheetView topLeftCell="DZ6" zoomScale="200" zoomScaleNormal="90" workbookViewId="0">
      <selection activeCell="EE11" sqref="EE11:EF11"/>
    </sheetView>
  </sheetViews>
  <sheetFormatPr baseColWidth="10" defaultColWidth="8.83203125" defaultRowHeight="15"/>
  <cols>
    <col min="138" max="138" width="8.6640625" style="12" customWidth="1"/>
  </cols>
  <sheetData>
    <row r="1" spans="1:138" s="1" customFormat="1">
      <c r="A1" s="2" t="s">
        <v>0</v>
      </c>
    </row>
    <row r="2" spans="1:138" s="1" customFormat="1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8" s="1" customFormat="1">
      <c r="B3" s="2" t="s">
        <v>136</v>
      </c>
      <c r="C3" s="13">
        <v>3.1330205500125892E-2</v>
      </c>
      <c r="D3" s="13">
        <v>-1.7543647438287732E-2</v>
      </c>
      <c r="E3" s="13">
        <v>2.9643896967172619E-2</v>
      </c>
      <c r="F3" s="13">
        <v>2.8182985261082649E-2</v>
      </c>
      <c r="G3" s="13">
        <v>4.1800491511821747E-2</v>
      </c>
      <c r="H3" s="13">
        <v>1.7699908465147018E-2</v>
      </c>
      <c r="I3" s="13">
        <v>1.256205607205629E-2</v>
      </c>
      <c r="J3" s="13">
        <v>1.2357430532574649E-3</v>
      </c>
      <c r="K3" s="13">
        <v>3.5791270434856408E-2</v>
      </c>
      <c r="L3" s="13">
        <v>6.6725820302963257E-2</v>
      </c>
      <c r="M3" s="13">
        <v>1.32761662825942E-2</v>
      </c>
      <c r="N3" s="13">
        <v>-1.340599730610847E-3</v>
      </c>
      <c r="O3" s="13">
        <v>-3.9153536781668663E-3</v>
      </c>
      <c r="P3" s="13">
        <v>2.3424895480275151E-2</v>
      </c>
      <c r="Q3" s="13">
        <v>2.038630656898022E-2</v>
      </c>
      <c r="R3" s="13">
        <v>1.957200467586517E-2</v>
      </c>
      <c r="S3" s="13">
        <v>2.2870888933539391E-2</v>
      </c>
      <c r="T3" s="13">
        <v>4.3855453841388234E-3</v>
      </c>
      <c r="U3" s="13">
        <v>-8.5439961403608322E-3</v>
      </c>
      <c r="V3" s="13">
        <v>-8.516303263604641E-3</v>
      </c>
      <c r="W3" s="13">
        <v>-1.7971992492675781E-2</v>
      </c>
      <c r="X3" s="13">
        <v>-1.1634783819317819E-2</v>
      </c>
      <c r="Y3" s="13">
        <v>-2.656730450689793E-2</v>
      </c>
      <c r="Z3" s="13">
        <v>-2.7729809284210209E-2</v>
      </c>
      <c r="AA3" s="13">
        <v>7.4403420090675354E-2</v>
      </c>
      <c r="AB3" s="13">
        <v>-2.764703705906868E-2</v>
      </c>
      <c r="AC3" s="13">
        <v>-2.7917437255382541E-2</v>
      </c>
      <c r="AD3" s="13">
        <v>-3.129136934876442E-2</v>
      </c>
      <c r="AE3" s="13">
        <v>-2.063364535570145E-2</v>
      </c>
      <c r="AF3" s="13">
        <v>-3.5181421786546707E-2</v>
      </c>
      <c r="AG3" s="13">
        <v>-1.2474990449845791E-2</v>
      </c>
      <c r="AH3" s="13">
        <v>-2.2227592766284939E-2</v>
      </c>
      <c r="AI3" s="13">
        <v>2.8354397043585781E-2</v>
      </c>
      <c r="AJ3" s="13">
        <v>1.7696382477879521E-2</v>
      </c>
      <c r="AK3" s="13">
        <v>-1.5488248318433759E-3</v>
      </c>
      <c r="AL3" s="13">
        <v>6.0541510581970208E-2</v>
      </c>
      <c r="AM3" s="13">
        <v>4.2939703911542892E-2</v>
      </c>
      <c r="AN3" s="13">
        <v>4.6451166272163391E-2</v>
      </c>
      <c r="AO3" s="13">
        <v>4.6414647251367569E-2</v>
      </c>
      <c r="AP3" s="13">
        <v>2.7322841808199879E-2</v>
      </c>
      <c r="AQ3" s="13">
        <v>4.9711406230926507E-2</v>
      </c>
      <c r="AR3" s="13">
        <v>4.072609543800354E-2</v>
      </c>
      <c r="AS3" s="13">
        <v>3.7940710783004761E-2</v>
      </c>
      <c r="AT3" s="13">
        <v>4.3215282261371613E-2</v>
      </c>
      <c r="AU3" s="13">
        <v>3.5848293453454971E-2</v>
      </c>
      <c r="AV3" s="13">
        <v>4.8106551170349121E-2</v>
      </c>
      <c r="AW3" s="13">
        <v>0.25755825638771063</v>
      </c>
      <c r="AX3" s="13">
        <v>2.3971892893314362E-2</v>
      </c>
      <c r="AY3" s="13">
        <v>5.6368216872215271E-2</v>
      </c>
      <c r="AZ3" s="13">
        <v>4.440823569893837E-2</v>
      </c>
      <c r="BA3" s="13">
        <v>4.0217362344264977E-2</v>
      </c>
      <c r="BB3" s="13">
        <v>3.9215490221977227E-2</v>
      </c>
      <c r="BC3" s="13">
        <v>5.1480397582054138E-2</v>
      </c>
      <c r="BD3" s="13">
        <v>4.9942176789045327E-2</v>
      </c>
      <c r="BE3" s="13">
        <v>4.9302525818347931E-2</v>
      </c>
      <c r="BF3" s="13">
        <v>5.0215017050504678E-2</v>
      </c>
      <c r="BG3" s="13">
        <v>4.4806387275457382E-2</v>
      </c>
      <c r="BH3" s="13">
        <v>7.2218522429466248E-2</v>
      </c>
      <c r="BI3" s="13">
        <v>5.3198006004095078E-2</v>
      </c>
      <c r="BJ3" s="13">
        <v>5.0947383046150208E-2</v>
      </c>
      <c r="BK3" s="13">
        <v>4.6847827732563019E-2</v>
      </c>
      <c r="BL3" s="13">
        <v>5.1777664572000497E-2</v>
      </c>
      <c r="BM3" s="13">
        <v>4.5751150697469711E-2</v>
      </c>
      <c r="BN3" s="13">
        <v>5.1456984132528312E-2</v>
      </c>
      <c r="BO3" s="13">
        <v>5.444614589214325E-2</v>
      </c>
      <c r="BP3" s="13">
        <v>5.1880281418561942E-2</v>
      </c>
      <c r="BQ3" s="13">
        <v>4.9081109464168549E-2</v>
      </c>
      <c r="BR3" s="13">
        <v>3.0115354806184769E-2</v>
      </c>
      <c r="BS3" s="13">
        <v>4.8800110816955573E-2</v>
      </c>
      <c r="BT3" s="13">
        <v>4.8635218292474747E-2</v>
      </c>
      <c r="BU3" s="13">
        <v>4.5633736997842789E-2</v>
      </c>
      <c r="BV3" s="13">
        <v>4.947228729724884E-2</v>
      </c>
      <c r="BW3" s="13">
        <v>4.4601880013942719E-2</v>
      </c>
      <c r="BX3" s="13">
        <v>4.56710085272789E-2</v>
      </c>
      <c r="BY3" s="13">
        <v>3.6897704005241387E-2</v>
      </c>
      <c r="BZ3" s="13">
        <v>0.21394279599189761</v>
      </c>
      <c r="CA3" s="13">
        <v>2.7052136138081551E-2</v>
      </c>
      <c r="CB3" s="13">
        <v>4.6074997633695602E-2</v>
      </c>
      <c r="CC3" s="13">
        <v>7.2226598858833313E-2</v>
      </c>
      <c r="CD3" s="13">
        <v>3.4700907766819E-2</v>
      </c>
      <c r="CE3" s="13">
        <v>3.6362294107675552E-2</v>
      </c>
      <c r="CF3" s="13">
        <v>4.7756139189004898E-2</v>
      </c>
      <c r="CG3" s="13">
        <v>3.6376580595970147E-2</v>
      </c>
      <c r="CH3" s="13">
        <v>4.3285507708787918E-2</v>
      </c>
      <c r="CI3" s="13">
        <v>4.2804375290870673E-2</v>
      </c>
      <c r="CJ3" s="13">
        <v>4.3789677321910858E-2</v>
      </c>
      <c r="CK3" s="13">
        <v>4.193609207868576E-2</v>
      </c>
      <c r="CL3" s="13">
        <v>4.5073911547660828E-2</v>
      </c>
      <c r="CM3" s="13">
        <v>5.7426575571298599E-2</v>
      </c>
      <c r="CN3" s="13">
        <v>4.8870686441659927E-2</v>
      </c>
      <c r="CO3" s="13">
        <v>4.6467091888189323E-2</v>
      </c>
      <c r="CP3" s="13">
        <v>4.5427285134792328E-2</v>
      </c>
      <c r="CQ3" s="13">
        <v>4.3254118412733078E-2</v>
      </c>
      <c r="CR3" s="13">
        <v>4.2831581085920327E-2</v>
      </c>
      <c r="CS3" s="13">
        <v>4.1360333561897278E-2</v>
      </c>
      <c r="CT3" s="13">
        <v>2.374728582799435E-2</v>
      </c>
      <c r="CU3" s="13">
        <v>3.9278171956539147E-2</v>
      </c>
      <c r="CV3" s="13">
        <v>4.09957654774189E-2</v>
      </c>
      <c r="CW3" s="13">
        <v>3.6699786782264709E-2</v>
      </c>
      <c r="CX3" s="13">
        <v>3.8764949887990952E-2</v>
      </c>
      <c r="CY3" s="13">
        <v>3.7805531173944473E-2</v>
      </c>
      <c r="CZ3" s="13">
        <v>4.325726255774498E-2</v>
      </c>
      <c r="DA3" s="13">
        <v>4.4850636273622513E-2</v>
      </c>
      <c r="DB3" s="13">
        <v>4.3851811438798897E-2</v>
      </c>
      <c r="DC3" s="13">
        <v>4.9191009253263467E-2</v>
      </c>
      <c r="DD3" s="13">
        <v>4.212004691362381E-2</v>
      </c>
      <c r="DE3" s="13">
        <v>4.7127000987529748E-2</v>
      </c>
      <c r="DF3" s="13">
        <v>3.8079626858234412E-2</v>
      </c>
      <c r="DG3" s="13">
        <v>3.8307089358568192E-2</v>
      </c>
      <c r="DH3" s="13">
        <v>3.9209745824337013E-2</v>
      </c>
      <c r="DI3" s="13">
        <v>5.0754562020301819E-2</v>
      </c>
      <c r="DJ3" s="13">
        <v>4.9327295273542397E-2</v>
      </c>
      <c r="DK3" s="13">
        <v>4.6511236578226089E-2</v>
      </c>
      <c r="DL3" s="13">
        <v>4.22775037586689E-2</v>
      </c>
      <c r="DM3" s="13">
        <v>3.2305262982845313E-2</v>
      </c>
      <c r="DN3" s="13">
        <v>4.6072427183389657E-2</v>
      </c>
      <c r="DO3" s="13">
        <v>4.8485249280929572E-2</v>
      </c>
      <c r="DP3" s="13">
        <v>4.6022161841392517E-2</v>
      </c>
      <c r="DQ3" s="13">
        <v>4.4537413865327842E-2</v>
      </c>
      <c r="DR3" s="13">
        <v>4.4425271451473243E-2</v>
      </c>
      <c r="DS3" s="13">
        <v>4.2646575719118118E-2</v>
      </c>
      <c r="DT3" s="13">
        <v>4.6090584248304367E-2</v>
      </c>
      <c r="DU3" s="13">
        <v>4.3128091841936111E-2</v>
      </c>
      <c r="DV3" s="13">
        <v>4.1349083185195923E-2</v>
      </c>
      <c r="DW3" s="13">
        <v>4.0377732366323471E-2</v>
      </c>
      <c r="DX3" s="13">
        <v>4.6240631490945823E-2</v>
      </c>
      <c r="DY3" s="13">
        <v>4.529276117682457E-2</v>
      </c>
      <c r="DZ3" s="13">
        <v>3.8002155721187592E-2</v>
      </c>
      <c r="EA3" s="13">
        <v>4.3337244540452957E-2</v>
      </c>
      <c r="EB3" s="13">
        <v>3.5762075334787369E-2</v>
      </c>
      <c r="EC3" s="13">
        <v>3.0851878225803379E-2</v>
      </c>
      <c r="ED3" s="13">
        <v>4.0065716952085488E-2</v>
      </c>
      <c r="EE3" s="13">
        <v>4.3372519314289093E-2</v>
      </c>
      <c r="EF3" s="13">
        <v>4.6325836330652237E-2</v>
      </c>
    </row>
    <row r="4" spans="1:138" s="1" customFormat="1">
      <c r="B4" s="2" t="s">
        <v>137</v>
      </c>
      <c r="C4" s="13">
        <v>-2.2946899756789211E-2</v>
      </c>
      <c r="D4" s="13">
        <v>-3.2528996467590332E-2</v>
      </c>
      <c r="E4" s="13">
        <v>-2.231709286570549E-2</v>
      </c>
      <c r="F4" s="13">
        <v>-3.0678801238536831E-2</v>
      </c>
      <c r="G4" s="13">
        <v>-3.2594364136457443E-2</v>
      </c>
      <c r="H4" s="13">
        <v>-2.7283268049359322E-2</v>
      </c>
      <c r="I4" s="13">
        <v>-3.6774773150682449E-2</v>
      </c>
      <c r="J4" s="13">
        <v>-3.694760799407959E-2</v>
      </c>
      <c r="K4" s="13">
        <v>-3.4350186586379998E-2</v>
      </c>
      <c r="L4" s="13">
        <v>-3.5141970962286002E-2</v>
      </c>
      <c r="M4" s="13">
        <v>-3.6390375345945358E-2</v>
      </c>
      <c r="N4" s="13">
        <v>-2.7910143136978149E-2</v>
      </c>
      <c r="O4" s="13">
        <v>-3.4657396376132972E-2</v>
      </c>
      <c r="P4" s="13">
        <v>-3.7157066166400909E-2</v>
      </c>
      <c r="Q4" s="13">
        <v>-3.2246530055999763E-2</v>
      </c>
      <c r="R4" s="13">
        <v>-3.2251663506031043E-2</v>
      </c>
      <c r="S4" s="13">
        <v>-2.9913196340203289E-2</v>
      </c>
      <c r="T4" s="13">
        <v>-2.9206940904259682E-2</v>
      </c>
      <c r="U4" s="13">
        <v>-2.8744202107191089E-2</v>
      </c>
      <c r="V4" s="13">
        <v>-2.8017682954668999E-2</v>
      </c>
      <c r="W4" s="13">
        <v>-2.7434077113866809E-2</v>
      </c>
      <c r="X4" s="13">
        <v>-2.876461856067181E-2</v>
      </c>
      <c r="Y4" s="13">
        <v>-3.1099813058972359E-2</v>
      </c>
      <c r="Z4" s="13">
        <v>-3.0133392661809921E-2</v>
      </c>
      <c r="AA4" s="13">
        <v>-2.9746487736701969E-2</v>
      </c>
      <c r="AB4" s="13">
        <v>-2.964571118354797E-2</v>
      </c>
      <c r="AC4" s="13">
        <v>-2.9567878693342209E-2</v>
      </c>
      <c r="AD4" s="13">
        <v>-2.8945522382855419E-2</v>
      </c>
      <c r="AE4" s="13">
        <v>-2.8935028240084652E-2</v>
      </c>
      <c r="AF4" s="13">
        <v>-2.8917042538523671E-2</v>
      </c>
      <c r="AG4" s="13">
        <v>-2.828941494226456E-2</v>
      </c>
      <c r="AH4" s="13">
        <v>-1.883991435170174E-2</v>
      </c>
      <c r="AI4" s="13">
        <v>-4.0709320455789573E-2</v>
      </c>
      <c r="AJ4" s="13">
        <v>-3.4136712551116943E-2</v>
      </c>
      <c r="AK4" s="13">
        <v>-2.7761854231357571E-2</v>
      </c>
      <c r="AL4" s="13">
        <v>-2.6954172179102901E-2</v>
      </c>
      <c r="AM4" s="13">
        <v>-2.9749177396297451E-2</v>
      </c>
      <c r="AN4" s="13">
        <v>-2.958561293780804E-2</v>
      </c>
      <c r="AO4" s="13">
        <v>-3.5846035927534103E-2</v>
      </c>
      <c r="AP4" s="13">
        <v>-3.5248521715402603E-2</v>
      </c>
      <c r="AQ4" s="13">
        <v>-2.2184915840625759E-2</v>
      </c>
      <c r="AR4" s="13">
        <v>-2.593911811709404E-2</v>
      </c>
      <c r="AS4" s="13">
        <v>-2.9777109622955319E-2</v>
      </c>
      <c r="AT4" s="13">
        <v>-2.5417083874344829E-2</v>
      </c>
      <c r="AU4" s="13">
        <v>-3.08467410504818E-2</v>
      </c>
      <c r="AV4" s="13">
        <v>-3.2425623387098312E-2</v>
      </c>
      <c r="AW4" s="13">
        <v>-2.665197849273682E-2</v>
      </c>
      <c r="AX4" s="13">
        <v>-2.6401566341519359E-2</v>
      </c>
      <c r="AY4" s="13">
        <v>-3.4196376800537109E-2</v>
      </c>
      <c r="AZ4" s="13">
        <v>-2.7192108333110809E-2</v>
      </c>
      <c r="BA4" s="13">
        <v>-3.141489252448082E-2</v>
      </c>
      <c r="BB4" s="13">
        <v>-3.3737760037183762E-2</v>
      </c>
      <c r="BC4" s="13">
        <v>-3.037294372916222E-2</v>
      </c>
      <c r="BD4" s="13">
        <v>-3.122984804213047E-2</v>
      </c>
      <c r="BE4" s="13">
        <v>-3.2925654202699661E-2</v>
      </c>
      <c r="BF4" s="13">
        <v>-3.0702147632837299E-2</v>
      </c>
      <c r="BG4" s="13">
        <v>-3.2038435339927673E-2</v>
      </c>
      <c r="BH4" s="13">
        <v>-2.992494776844978E-2</v>
      </c>
      <c r="BI4" s="13">
        <v>-3.1321626156568527E-2</v>
      </c>
      <c r="BJ4" s="13">
        <v>-3.0535932630300518E-2</v>
      </c>
      <c r="BK4" s="13">
        <v>-3.2727848738431931E-2</v>
      </c>
      <c r="BL4" s="13">
        <v>-3.1020708382129669E-2</v>
      </c>
      <c r="BM4" s="13">
        <v>-3.1905554234981537E-2</v>
      </c>
      <c r="BN4" s="13">
        <v>-1.146291196346283E-2</v>
      </c>
      <c r="BO4" s="13">
        <v>-2.2440502420067791E-2</v>
      </c>
      <c r="BP4" s="13">
        <v>-2.6134863495826721E-2</v>
      </c>
      <c r="BQ4" s="13">
        <v>-3.2739493995904922E-2</v>
      </c>
      <c r="BR4" s="13">
        <v>-1.1072360910475251E-2</v>
      </c>
      <c r="BS4" s="13">
        <v>-3.3545445650815957E-2</v>
      </c>
      <c r="BT4" s="13">
        <v>-2.5867762044072151E-2</v>
      </c>
      <c r="BU4" s="13">
        <v>-3.5770893096923828E-2</v>
      </c>
      <c r="BV4" s="13">
        <v>-3.3611096441745758E-2</v>
      </c>
      <c r="BW4" s="13">
        <v>-2.3763570934534069E-2</v>
      </c>
      <c r="BX4" s="13">
        <v>-3.2385952770709991E-2</v>
      </c>
      <c r="BY4" s="13">
        <v>-3.174808993935585E-2</v>
      </c>
      <c r="BZ4" s="13">
        <v>-3.5722728818655007E-2</v>
      </c>
      <c r="CA4" s="13">
        <v>-3.2349672168493271E-2</v>
      </c>
      <c r="CB4" s="13">
        <v>-2.4401739239692691E-2</v>
      </c>
      <c r="CC4" s="13">
        <v>-2.9154768213629719E-2</v>
      </c>
      <c r="CD4" s="13">
        <v>-2.6064924895763401E-2</v>
      </c>
      <c r="CE4" s="13">
        <v>-3.1504537910223007E-2</v>
      </c>
      <c r="CF4" s="13">
        <v>-3.0558105558156971E-2</v>
      </c>
      <c r="CG4" s="13">
        <v>-3.0557489022612572E-2</v>
      </c>
      <c r="CH4" s="13">
        <v>-3.119574673473835E-2</v>
      </c>
      <c r="CI4" s="13">
        <v>-3.099741600453854E-2</v>
      </c>
      <c r="CJ4" s="13">
        <v>-3.2932452857494347E-2</v>
      </c>
      <c r="CK4" s="13">
        <v>-3.1934447586536407E-2</v>
      </c>
      <c r="CL4" s="13">
        <v>-3.1415339559316642E-2</v>
      </c>
      <c r="CM4" s="13">
        <v>-3.0473604798316959E-2</v>
      </c>
      <c r="CN4" s="13">
        <v>-3.1549032777547843E-2</v>
      </c>
      <c r="CO4" s="13">
        <v>-3.048702701926231E-2</v>
      </c>
      <c r="CP4" s="13">
        <v>-3.008273430168629E-2</v>
      </c>
      <c r="CQ4" s="13">
        <v>-3.185567632317543E-2</v>
      </c>
      <c r="CR4" s="13">
        <v>-2.9665300622582439E-2</v>
      </c>
      <c r="CS4" s="13">
        <v>-3.06941531598568E-2</v>
      </c>
      <c r="CT4" s="13">
        <v>-2.3139951750636101E-2</v>
      </c>
      <c r="CU4" s="13">
        <v>-2.7379043400287632E-2</v>
      </c>
      <c r="CV4" s="13">
        <v>-2.8476610779762272E-2</v>
      </c>
      <c r="CW4" s="13">
        <v>-3.2229896634817123E-2</v>
      </c>
      <c r="CX4" s="13">
        <v>-2.7671042829751968E-2</v>
      </c>
      <c r="CY4" s="13">
        <v>-2.780521847307682E-2</v>
      </c>
      <c r="CZ4" s="13">
        <v>-2.5955270975828171E-2</v>
      </c>
      <c r="DA4" s="13">
        <v>-2.869330532848835E-2</v>
      </c>
      <c r="DB4" s="13">
        <v>-3.3299807459115982E-2</v>
      </c>
      <c r="DC4" s="13">
        <v>-3.2515127211809158E-2</v>
      </c>
      <c r="DD4" s="13">
        <v>-3.2184645533561707E-2</v>
      </c>
      <c r="DE4" s="13">
        <v>-2.9689539223909382E-2</v>
      </c>
      <c r="DF4" s="13">
        <v>-3.0039757490158081E-2</v>
      </c>
      <c r="DG4" s="13">
        <v>-2.7630811557173729E-2</v>
      </c>
      <c r="DH4" s="13">
        <v>-2.948114275932312E-2</v>
      </c>
      <c r="DI4" s="13">
        <v>-2.9837131500244141E-2</v>
      </c>
      <c r="DJ4" s="13">
        <v>-3.0152346938848499E-2</v>
      </c>
      <c r="DK4" s="13">
        <v>-2.9910968616604802E-2</v>
      </c>
      <c r="DL4" s="13">
        <v>-3.0357034876942631E-2</v>
      </c>
      <c r="DM4" s="13">
        <v>-2.8307907283306118E-2</v>
      </c>
      <c r="DN4" s="13">
        <v>-2.7425747364759449E-2</v>
      </c>
      <c r="DO4" s="13">
        <v>-2.8660286217927929E-2</v>
      </c>
      <c r="DP4" s="13">
        <v>-2.6614684611558911E-2</v>
      </c>
      <c r="DQ4" s="13">
        <v>-2.7624152600765228E-2</v>
      </c>
      <c r="DR4" s="13">
        <v>-2.8681257739663121E-2</v>
      </c>
      <c r="DS4" s="13">
        <v>-2.8064034879207611E-2</v>
      </c>
      <c r="DT4" s="13">
        <v>-2.8476167470216751E-2</v>
      </c>
      <c r="DU4" s="13">
        <v>-2.8130983933806419E-2</v>
      </c>
      <c r="DV4" s="13">
        <v>-2.8065690770745281E-2</v>
      </c>
      <c r="DW4" s="13">
        <v>-2.618366107344627E-2</v>
      </c>
      <c r="DX4" s="13">
        <v>-2.7583243325352669E-2</v>
      </c>
      <c r="DY4" s="13">
        <v>-2.974858321249485E-2</v>
      </c>
      <c r="DZ4" s="13">
        <v>-2.467053942382336E-2</v>
      </c>
      <c r="EA4" s="13">
        <v>-2.6180332526564602E-2</v>
      </c>
      <c r="EB4" s="13">
        <v>-2.6299703866243359E-2</v>
      </c>
      <c r="EC4" s="13">
        <v>-2.7548244222998619E-2</v>
      </c>
      <c r="ED4" s="13">
        <v>-2.391510829329491E-2</v>
      </c>
      <c r="EE4" s="13">
        <v>-3.1682092696428299E-2</v>
      </c>
      <c r="EF4" s="13">
        <v>-2.8993211686611179E-2</v>
      </c>
    </row>
    <row r="5" spans="1:138" s="1" customFormat="1">
      <c r="B5" s="2" t="s">
        <v>138</v>
      </c>
      <c r="C5" s="13">
        <v>-1.7830728320404889E-3</v>
      </c>
      <c r="D5" s="13">
        <v>-5.807969719171524E-3</v>
      </c>
      <c r="E5" s="13">
        <v>-5.4487348534166813E-3</v>
      </c>
      <c r="F5" s="13">
        <v>-5.0667491741478443E-3</v>
      </c>
      <c r="G5" s="13">
        <v>-7.0356116630136967E-3</v>
      </c>
      <c r="H5" s="13">
        <v>-5.7321330532431602E-3</v>
      </c>
      <c r="I5" s="13">
        <v>-4.5550367794930926E-3</v>
      </c>
      <c r="J5" s="13">
        <v>-6.6406917758285999E-3</v>
      </c>
      <c r="K5" s="13">
        <v>-7.1166539564728737E-3</v>
      </c>
      <c r="L5" s="13">
        <v>-5.1224259659647942E-3</v>
      </c>
      <c r="M5" s="13">
        <v>-6.61063427105546E-3</v>
      </c>
      <c r="N5" s="13">
        <v>5.8811819180846214E-3</v>
      </c>
      <c r="O5" s="13">
        <v>2.1359868347644809E-2</v>
      </c>
      <c r="P5" s="13">
        <v>1.4080207329243419E-3</v>
      </c>
      <c r="Q5" s="13">
        <v>2.8066970407962799E-3</v>
      </c>
      <c r="R5" s="13">
        <v>-6.5349945798516273E-3</v>
      </c>
      <c r="S5" s="13">
        <v>-3.3381129615008831E-3</v>
      </c>
      <c r="T5" s="13">
        <v>4.9602827057242393E-3</v>
      </c>
      <c r="U5" s="13">
        <v>3.3406838774681091E-3</v>
      </c>
      <c r="V5" s="13">
        <v>6.140547338873148E-4</v>
      </c>
      <c r="W5" s="13">
        <v>9.1809040168300271E-4</v>
      </c>
      <c r="X5" s="13">
        <v>-4.8206630162894726E-3</v>
      </c>
      <c r="Y5" s="13">
        <v>-9.6054915338754654E-3</v>
      </c>
      <c r="Z5" s="13">
        <v>-3.1937819439917798E-3</v>
      </c>
      <c r="AA5" s="13">
        <v>-1.071048714220524E-2</v>
      </c>
      <c r="AB5" s="13">
        <v>-8.0073485150933266E-3</v>
      </c>
      <c r="AC5" s="13">
        <v>-9.7105018794536591E-3</v>
      </c>
      <c r="AD5" s="13">
        <v>-1.193892490118742E-2</v>
      </c>
      <c r="AE5" s="13">
        <v>-9.1045163571834564E-3</v>
      </c>
      <c r="AF5" s="13">
        <v>-5.2170734852552414E-3</v>
      </c>
      <c r="AG5" s="13">
        <v>-6.7129302769899368E-3</v>
      </c>
      <c r="AH5" s="13">
        <v>-4.2343703098595142E-3</v>
      </c>
      <c r="AI5" s="13">
        <v>-3.7024291232228279E-3</v>
      </c>
      <c r="AJ5" s="13">
        <v>-3.4234239719808102E-3</v>
      </c>
      <c r="AK5" s="13">
        <v>-5.0286529585719109E-3</v>
      </c>
      <c r="AL5" s="13">
        <v>-5.3550507873296738E-3</v>
      </c>
      <c r="AM5" s="13">
        <v>-6.9953757338225842E-3</v>
      </c>
      <c r="AN5" s="13">
        <v>-1.9440042087808249E-3</v>
      </c>
      <c r="AO5" s="13">
        <v>-5.7561695575714111E-3</v>
      </c>
      <c r="AP5" s="13">
        <v>-5.5434941314160824E-3</v>
      </c>
      <c r="AQ5" s="13">
        <v>-8.768024854362011E-4</v>
      </c>
      <c r="AR5" s="13">
        <v>-3.7110829725861549E-3</v>
      </c>
      <c r="AS5" s="13">
        <v>-1.8258683849126101E-3</v>
      </c>
      <c r="AT5" s="13">
        <v>1.723302528262138E-2</v>
      </c>
      <c r="AU5" s="13">
        <v>-6.8042157217860222E-3</v>
      </c>
      <c r="AV5" s="13">
        <v>1.040650904178619E-2</v>
      </c>
      <c r="AW5" s="13">
        <v>-1.1680858209729189E-2</v>
      </c>
      <c r="AX5" s="13">
        <v>-1.109044998884201E-2</v>
      </c>
      <c r="AY5" s="13">
        <v>-7.5637380359694362E-4</v>
      </c>
      <c r="AZ5" s="13">
        <v>1.07489638030529E-2</v>
      </c>
      <c r="BA5" s="13">
        <v>-1.3510514982044699E-3</v>
      </c>
      <c r="BB5" s="13">
        <v>-7.5233145616948596E-3</v>
      </c>
      <c r="BC5" s="13">
        <v>1.9595171324908729E-3</v>
      </c>
      <c r="BD5" s="13">
        <v>-1.7605321481823921E-2</v>
      </c>
      <c r="BE5" s="13">
        <v>-5.7958187535405159E-3</v>
      </c>
      <c r="BF5" s="13">
        <v>6.0290488181635737E-4</v>
      </c>
      <c r="BG5" s="13">
        <v>-7.3045212775468826E-3</v>
      </c>
      <c r="BH5" s="13">
        <v>-4.3621701188385487E-3</v>
      </c>
      <c r="BI5" s="13">
        <v>6.2929122941568494E-4</v>
      </c>
      <c r="BJ5" s="13">
        <v>1.5743880067020649E-4</v>
      </c>
      <c r="BK5" s="13">
        <v>-8.4008211269974709E-3</v>
      </c>
      <c r="BL5" s="13">
        <v>-1.1468764860183001E-3</v>
      </c>
      <c r="BM5" s="13">
        <v>-2.949054585769773E-3</v>
      </c>
      <c r="BN5" s="13">
        <v>-6.1059690779075027E-4</v>
      </c>
      <c r="BO5" s="13">
        <v>-4.5644012279808521E-3</v>
      </c>
      <c r="BP5" s="13">
        <v>3.4177984343841672E-4</v>
      </c>
      <c r="BQ5" s="13">
        <v>1.0708648478612299E-3</v>
      </c>
      <c r="BR5" s="13">
        <v>4.8396759666502481E-4</v>
      </c>
      <c r="BS5" s="13">
        <v>-7.7918096212670207E-4</v>
      </c>
      <c r="BT5" s="13">
        <v>5.7771807769313455E-4</v>
      </c>
      <c r="BU5" s="13">
        <v>-4.3007326312363148E-3</v>
      </c>
      <c r="BV5" s="13">
        <v>-1.3925109524279831E-3</v>
      </c>
      <c r="BW5" s="13">
        <v>-3.6537761334329839E-3</v>
      </c>
      <c r="BX5" s="13">
        <v>-1.9937008619308472E-3</v>
      </c>
      <c r="BY5" s="13">
        <v>-2.6817773468792439E-3</v>
      </c>
      <c r="BZ5" s="13">
        <v>2.2256071679294109E-3</v>
      </c>
      <c r="CA5" s="13">
        <v>-1.7740057781338692E-2</v>
      </c>
      <c r="CB5" s="13">
        <v>-1.854742132127285E-2</v>
      </c>
      <c r="CC5" s="13">
        <v>-8.9547159150242805E-3</v>
      </c>
      <c r="CD5" s="13">
        <v>-6.0267932713031769E-3</v>
      </c>
      <c r="CE5" s="13">
        <v>4.5224521309137336E-3</v>
      </c>
      <c r="CF5" s="13">
        <v>-4.9523431807756424E-3</v>
      </c>
      <c r="CG5" s="13">
        <v>-1.120204571634531E-3</v>
      </c>
      <c r="CH5" s="13">
        <v>-3.2324404455721378E-3</v>
      </c>
      <c r="CI5" s="13">
        <v>-5.5289170704782009E-3</v>
      </c>
      <c r="CJ5" s="13">
        <v>4.4923755340278149E-3</v>
      </c>
      <c r="CK5" s="13">
        <v>-6.095989141613245E-3</v>
      </c>
      <c r="CL5" s="13">
        <v>-8.0949869006872177E-3</v>
      </c>
      <c r="CM5" s="13">
        <v>5.0488505512475967E-3</v>
      </c>
      <c r="CN5" s="13">
        <v>-1.788548310287297E-3</v>
      </c>
      <c r="CO5" s="13">
        <v>2.7636219747364521E-3</v>
      </c>
      <c r="CP5" s="13">
        <v>-3.583973273634911E-3</v>
      </c>
      <c r="CQ5" s="13">
        <v>-4.7339932061731824E-3</v>
      </c>
      <c r="CR5" s="13">
        <v>1.54245609883219E-3</v>
      </c>
      <c r="CS5" s="13">
        <v>-6.9501805119216442E-3</v>
      </c>
      <c r="CT5" s="13">
        <v>-6.800045957788825E-4</v>
      </c>
      <c r="CU5" s="13">
        <v>-3.5899188369512558E-3</v>
      </c>
      <c r="CV5" s="13">
        <v>-9.6032914007082582E-4</v>
      </c>
      <c r="CW5" s="13">
        <v>-3.6334127653390169E-3</v>
      </c>
      <c r="CX5" s="13">
        <v>-1.5083478065207601E-3</v>
      </c>
      <c r="CY5" s="13">
        <v>-2.2476767189800739E-3</v>
      </c>
      <c r="CZ5" s="13">
        <v>-1.561234821565449E-4</v>
      </c>
      <c r="DA5" s="13">
        <v>-1.49183627218008E-3</v>
      </c>
      <c r="DB5" s="13">
        <v>-3.169323550537229E-3</v>
      </c>
      <c r="DC5" s="13">
        <v>-3.9032646454870701E-3</v>
      </c>
      <c r="DD5" s="13">
        <v>-4.5191487297415733E-3</v>
      </c>
      <c r="DE5" s="13">
        <v>-5.4920930415391922E-3</v>
      </c>
      <c r="DF5" s="13">
        <v>-1.9542425870895389E-2</v>
      </c>
      <c r="DG5" s="13">
        <v>-5.0942343659698963E-3</v>
      </c>
      <c r="DH5" s="13">
        <v>-4.3465639464557171E-3</v>
      </c>
      <c r="DI5" s="13">
        <v>-1.3278067111968991E-2</v>
      </c>
      <c r="DJ5" s="13">
        <v>2.4301805533468719E-3</v>
      </c>
      <c r="DK5" s="13">
        <v>-8.2946429029107094E-3</v>
      </c>
      <c r="DL5" s="13">
        <v>-4.3598045594990253E-3</v>
      </c>
      <c r="DM5" s="13">
        <v>-1.441237283870578E-3</v>
      </c>
      <c r="DN5" s="13">
        <v>-3.749192226678133E-3</v>
      </c>
      <c r="DO5" s="13">
        <v>1.835820032283664E-3</v>
      </c>
      <c r="DP5" s="13">
        <v>-4.5633451081812382E-3</v>
      </c>
      <c r="DQ5" s="13">
        <v>-4.5281355269253254E-3</v>
      </c>
      <c r="DR5" s="13">
        <v>-7.0934956893324852E-3</v>
      </c>
      <c r="DS5" s="13">
        <v>-3.5971722099930048E-3</v>
      </c>
      <c r="DT5" s="13">
        <v>-1.070812228135765E-3</v>
      </c>
      <c r="DU5" s="13">
        <v>-5.7690823450684547E-3</v>
      </c>
      <c r="DV5" s="13">
        <v>-3.1534233130514622E-3</v>
      </c>
      <c r="DW5" s="13">
        <v>-6.9596427492797366E-3</v>
      </c>
      <c r="DX5" s="13">
        <v>-6.651862058788538E-3</v>
      </c>
      <c r="DY5" s="13">
        <v>-3.220914863049984E-3</v>
      </c>
      <c r="DZ5" s="13">
        <v>-1.9205159042030571E-3</v>
      </c>
      <c r="EA5" s="13">
        <v>-2.516824752092361E-3</v>
      </c>
      <c r="EB5" s="13">
        <v>-4.4912919402122498E-3</v>
      </c>
      <c r="EC5" s="13">
        <v>-4.5820055529475212E-3</v>
      </c>
      <c r="ED5" s="13">
        <v>-6.5560955554246902E-3</v>
      </c>
      <c r="EE5" s="13">
        <v>-5.9297331608831882E-3</v>
      </c>
      <c r="EF5" s="13">
        <v>-6.2290588393807411E-3</v>
      </c>
    </row>
    <row r="6" spans="1:138" s="1" customFormat="1">
      <c r="A6" s="2" t="s">
        <v>139</v>
      </c>
      <c r="C6" s="13">
        <f t="array" ref="C6">MATCH(MAX(ABS(C3:C5)),ABS(C3:C5),0)</f>
        <v>1</v>
      </c>
      <c r="D6" s="13">
        <f t="array" ref="D6">MATCH(MAX(ABS(D3:D5)),ABS(D3:D5),0)</f>
        <v>2</v>
      </c>
      <c r="E6" s="13">
        <f t="array" ref="E6">MATCH(MAX(ABS(E3:E5)),ABS(E3:E5),0)</f>
        <v>1</v>
      </c>
      <c r="F6" s="13">
        <f t="array" ref="F6">MATCH(MAX(ABS(F3:F5)),ABS(F3:F5),0)</f>
        <v>2</v>
      </c>
      <c r="G6" s="13">
        <f t="array" ref="G6">MATCH(MAX(ABS(G3:G5)),ABS(G3:G5),0)</f>
        <v>1</v>
      </c>
      <c r="H6" s="13">
        <f t="array" ref="H6">MATCH(MAX(ABS(H3:H5)),ABS(H3:H5),0)</f>
        <v>2</v>
      </c>
      <c r="I6" s="13">
        <f t="array" ref="I6">MATCH(MAX(ABS(I3:I5)),ABS(I3:I5),0)</f>
        <v>2</v>
      </c>
      <c r="J6" s="13">
        <f t="array" ref="J6">MATCH(MAX(ABS(J3:J5)),ABS(J3:J5),0)</f>
        <v>2</v>
      </c>
      <c r="K6" s="13">
        <f t="array" ref="K6">MATCH(MAX(ABS(K3:K5)),ABS(K3:K5),0)</f>
        <v>1</v>
      </c>
      <c r="L6" s="13">
        <f t="array" ref="L6">MATCH(MAX(ABS(L3:L5)),ABS(L3:L5),0)</f>
        <v>1</v>
      </c>
      <c r="M6" s="13">
        <f t="array" ref="M6">MATCH(MAX(ABS(M3:M5)),ABS(M3:M5),0)</f>
        <v>2</v>
      </c>
      <c r="N6" s="13">
        <f t="array" ref="N6">MATCH(MAX(ABS(N3:N5)),ABS(N3:N5),0)</f>
        <v>2</v>
      </c>
      <c r="O6" s="13">
        <f t="array" ref="O6">MATCH(MAX(ABS(O3:O5)),ABS(O3:O5),0)</f>
        <v>2</v>
      </c>
      <c r="P6" s="13">
        <f t="array" ref="P6">MATCH(MAX(ABS(P3:P5)),ABS(P3:P5),0)</f>
        <v>2</v>
      </c>
      <c r="Q6" s="13">
        <f t="array" ref="Q6">MATCH(MAX(ABS(Q3:Q5)),ABS(Q3:Q5),0)</f>
        <v>2</v>
      </c>
      <c r="R6" s="13">
        <f t="array" ref="R6">MATCH(MAX(ABS(R3:R5)),ABS(R3:R5),0)</f>
        <v>2</v>
      </c>
      <c r="S6" s="13">
        <f t="array" ref="S6">MATCH(MAX(ABS(S3:S5)),ABS(S3:S5),0)</f>
        <v>2</v>
      </c>
      <c r="T6" s="13">
        <f t="array" ref="T6">MATCH(MAX(ABS(T3:T5)),ABS(T3:T5),0)</f>
        <v>2</v>
      </c>
      <c r="U6" s="13">
        <f t="array" ref="U6">MATCH(MAX(ABS(U3:U5)),ABS(U3:U5),0)</f>
        <v>2</v>
      </c>
      <c r="V6" s="13">
        <f t="array" ref="V6">MATCH(MAX(ABS(V3:V5)),ABS(V3:V5),0)</f>
        <v>2</v>
      </c>
      <c r="W6" s="13">
        <f t="array" ref="W6">MATCH(MAX(ABS(W3:W5)),ABS(W3:W5),0)</f>
        <v>2</v>
      </c>
      <c r="X6" s="13">
        <f t="array" ref="X6">MATCH(MAX(ABS(X3:X5)),ABS(X3:X5),0)</f>
        <v>2</v>
      </c>
      <c r="Y6" s="13">
        <f t="array" ref="Y6">MATCH(MAX(ABS(Y3:Y5)),ABS(Y3:Y5),0)</f>
        <v>2</v>
      </c>
      <c r="Z6" s="13">
        <f t="array" ref="Z6">MATCH(MAX(ABS(Z3:Z5)),ABS(Z3:Z5),0)</f>
        <v>2</v>
      </c>
      <c r="AA6" s="13">
        <f t="array" ref="AA6">MATCH(MAX(ABS(AA3:AA5)),ABS(AA3:AA5),0)</f>
        <v>1</v>
      </c>
      <c r="AB6" s="13">
        <f t="array" ref="AB6">MATCH(MAX(ABS(AB3:AB5)),ABS(AB3:AB5),0)</f>
        <v>2</v>
      </c>
      <c r="AC6" s="13">
        <f t="array" ref="AC6">MATCH(MAX(ABS(AC3:AC5)),ABS(AC3:AC5),0)</f>
        <v>2</v>
      </c>
      <c r="AD6" s="13">
        <f t="array" ref="AD6">MATCH(MAX(ABS(AD3:AD5)),ABS(AD3:AD5),0)</f>
        <v>1</v>
      </c>
      <c r="AE6" s="13">
        <f t="array" ref="AE6">MATCH(MAX(ABS(AE3:AE5)),ABS(AE3:AE5),0)</f>
        <v>2</v>
      </c>
      <c r="AF6" s="13">
        <f t="array" ref="AF6">MATCH(MAX(ABS(AF3:AF5)),ABS(AF3:AF5),0)</f>
        <v>1</v>
      </c>
      <c r="AG6" s="13">
        <f t="array" ref="AG6">MATCH(MAX(ABS(AG3:AG5)),ABS(AG3:AG5),0)</f>
        <v>2</v>
      </c>
      <c r="AH6" s="13">
        <f t="array" ref="AH6">MATCH(MAX(ABS(AH3:AH5)),ABS(AH3:AH5),0)</f>
        <v>1</v>
      </c>
      <c r="AI6" s="13">
        <f t="array" ref="AI6">MATCH(MAX(ABS(AI3:AI5)),ABS(AI3:AI5),0)</f>
        <v>2</v>
      </c>
      <c r="AJ6" s="13">
        <f t="array" ref="AJ6">MATCH(MAX(ABS(AJ3:AJ5)),ABS(AJ3:AJ5),0)</f>
        <v>2</v>
      </c>
      <c r="AK6" s="13">
        <f t="array" ref="AK6">MATCH(MAX(ABS(AK3:AK5)),ABS(AK3:AK5),0)</f>
        <v>2</v>
      </c>
      <c r="AL6" s="13">
        <f t="array" ref="AL6">MATCH(MAX(ABS(AL3:AL5)),ABS(AL3:AL5),0)</f>
        <v>1</v>
      </c>
      <c r="AM6" s="13">
        <f t="array" ref="AM6">MATCH(MAX(ABS(AM3:AM5)),ABS(AM3:AM5),0)</f>
        <v>1</v>
      </c>
      <c r="AN6" s="13">
        <f t="array" ref="AN6">MATCH(MAX(ABS(AN3:AN5)),ABS(AN3:AN5),0)</f>
        <v>1</v>
      </c>
      <c r="AO6" s="13">
        <f t="array" ref="AO6">MATCH(MAX(ABS(AO3:AO5)),ABS(AO3:AO5),0)</f>
        <v>1</v>
      </c>
      <c r="AP6" s="13">
        <f t="array" ref="AP6">MATCH(MAX(ABS(AP3:AP5)),ABS(AP3:AP5),0)</f>
        <v>2</v>
      </c>
      <c r="AQ6" s="13">
        <f t="array" ref="AQ6">MATCH(MAX(ABS(AQ3:AQ5)),ABS(AQ3:AQ5),0)</f>
        <v>1</v>
      </c>
      <c r="AR6" s="13">
        <f t="array" ref="AR6">MATCH(MAX(ABS(AR3:AR5)),ABS(AR3:AR5),0)</f>
        <v>1</v>
      </c>
      <c r="AS6" s="13">
        <f t="array" ref="AS6">MATCH(MAX(ABS(AS3:AS5)),ABS(AS3:AS5),0)</f>
        <v>1</v>
      </c>
      <c r="AT6" s="13">
        <f t="array" ref="AT6">MATCH(MAX(ABS(AT3:AT5)),ABS(AT3:AT5),0)</f>
        <v>1</v>
      </c>
      <c r="AU6" s="13">
        <f t="array" ref="AU6">MATCH(MAX(ABS(AU3:AU5)),ABS(AU3:AU5),0)</f>
        <v>1</v>
      </c>
      <c r="AV6" s="13">
        <f t="array" ref="AV6">MATCH(MAX(ABS(AV3:AV5)),ABS(AV3:AV5),0)</f>
        <v>1</v>
      </c>
      <c r="AW6" s="13">
        <f t="array" ref="AW6">MATCH(MAX(ABS(AW3:AW5)),ABS(AW3:AW5),0)</f>
        <v>1</v>
      </c>
      <c r="AX6" s="13">
        <f t="array" ref="AX6">MATCH(MAX(ABS(AX3:AX5)),ABS(AX3:AX5),0)</f>
        <v>2</v>
      </c>
      <c r="AY6" s="13">
        <f t="array" ref="AY6">MATCH(MAX(ABS(AY3:AY5)),ABS(AY3:AY5),0)</f>
        <v>1</v>
      </c>
      <c r="AZ6" s="13">
        <f t="array" ref="AZ6">MATCH(MAX(ABS(AZ3:AZ5)),ABS(AZ3:AZ5),0)</f>
        <v>1</v>
      </c>
      <c r="BA6" s="13">
        <f t="array" ref="BA6">MATCH(MAX(ABS(BA3:BA5)),ABS(BA3:BA5),0)</f>
        <v>1</v>
      </c>
      <c r="BB6" s="13">
        <f t="array" ref="BB6">MATCH(MAX(ABS(BB3:BB5)),ABS(BB3:BB5),0)</f>
        <v>1</v>
      </c>
      <c r="BC6" s="13">
        <f t="array" ref="BC6">MATCH(MAX(ABS(BC3:BC5)),ABS(BC3:BC5),0)</f>
        <v>1</v>
      </c>
      <c r="BD6" s="13">
        <f t="array" ref="BD6">MATCH(MAX(ABS(BD3:BD5)),ABS(BD3:BD5),0)</f>
        <v>1</v>
      </c>
      <c r="BE6" s="13">
        <f t="array" ref="BE6">MATCH(MAX(ABS(BE3:BE5)),ABS(BE3:BE5),0)</f>
        <v>1</v>
      </c>
      <c r="BF6" s="13">
        <f t="array" ref="BF6">MATCH(MAX(ABS(BF3:BF5)),ABS(BF3:BF5),0)</f>
        <v>1</v>
      </c>
      <c r="BG6" s="13">
        <f t="array" ref="BG6">MATCH(MAX(ABS(BG3:BG5)),ABS(BG3:BG5),0)</f>
        <v>1</v>
      </c>
      <c r="BH6" s="13">
        <f t="array" ref="BH6">MATCH(MAX(ABS(BH3:BH5)),ABS(BH3:BH5),0)</f>
        <v>1</v>
      </c>
      <c r="BI6" s="13">
        <f t="array" ref="BI6">MATCH(MAX(ABS(BI3:BI5)),ABS(BI3:BI5),0)</f>
        <v>1</v>
      </c>
      <c r="BJ6" s="13">
        <f t="array" ref="BJ6">MATCH(MAX(ABS(BJ3:BJ5)),ABS(BJ3:BJ5),0)</f>
        <v>1</v>
      </c>
      <c r="BK6" s="13">
        <f t="array" ref="BK6">MATCH(MAX(ABS(BK3:BK5)),ABS(BK3:BK5),0)</f>
        <v>1</v>
      </c>
      <c r="BL6" s="13">
        <f t="array" ref="BL6">MATCH(MAX(ABS(BL3:BL5)),ABS(BL3:BL5),0)</f>
        <v>1</v>
      </c>
      <c r="BM6" s="13">
        <f t="array" ref="BM6">MATCH(MAX(ABS(BM3:BM5)),ABS(BM3:BM5),0)</f>
        <v>1</v>
      </c>
      <c r="BN6" s="13">
        <f t="array" ref="BN6">MATCH(MAX(ABS(BN3:BN5)),ABS(BN3:BN5),0)</f>
        <v>1</v>
      </c>
      <c r="BO6" s="13">
        <f t="array" ref="BO6">MATCH(MAX(ABS(BO3:BO5)),ABS(BO3:BO5),0)</f>
        <v>1</v>
      </c>
      <c r="BP6" s="13">
        <f t="array" ref="BP6">MATCH(MAX(ABS(BP3:BP5)),ABS(BP3:BP5),0)</f>
        <v>1</v>
      </c>
      <c r="BQ6" s="13">
        <f t="array" ref="BQ6">MATCH(MAX(ABS(BQ3:BQ5)),ABS(BQ3:BQ5),0)</f>
        <v>1</v>
      </c>
      <c r="BR6" s="13">
        <f t="array" ref="BR6">MATCH(MAX(ABS(BR3:BR5)),ABS(BR3:BR5),0)</f>
        <v>1</v>
      </c>
      <c r="BS6" s="13">
        <f t="array" ref="BS6">MATCH(MAX(ABS(BS3:BS5)),ABS(BS3:BS5),0)</f>
        <v>1</v>
      </c>
      <c r="BT6" s="13">
        <f t="array" ref="BT6">MATCH(MAX(ABS(BT3:BT5)),ABS(BT3:BT5),0)</f>
        <v>1</v>
      </c>
      <c r="BU6" s="13">
        <f t="array" ref="BU6">MATCH(MAX(ABS(BU3:BU5)),ABS(BU3:BU5),0)</f>
        <v>1</v>
      </c>
      <c r="BV6" s="13">
        <f t="array" ref="BV6">MATCH(MAX(ABS(BV3:BV5)),ABS(BV3:BV5),0)</f>
        <v>1</v>
      </c>
      <c r="BW6" s="13">
        <f t="array" ref="BW6">MATCH(MAX(ABS(BW3:BW5)),ABS(BW3:BW5),0)</f>
        <v>1</v>
      </c>
      <c r="BX6" s="13">
        <f t="array" ref="BX6">MATCH(MAX(ABS(BX3:BX5)),ABS(BX3:BX5),0)</f>
        <v>1</v>
      </c>
      <c r="BY6" s="13">
        <f t="array" ref="BY6">MATCH(MAX(ABS(BY3:BY5)),ABS(BY3:BY5),0)</f>
        <v>1</v>
      </c>
      <c r="BZ6" s="13">
        <f t="array" ref="BZ6">MATCH(MAX(ABS(BZ3:BZ5)),ABS(BZ3:BZ5),0)</f>
        <v>1</v>
      </c>
      <c r="CA6" s="13">
        <f t="array" ref="CA6">MATCH(MAX(ABS(CA3:CA5)),ABS(CA3:CA5),0)</f>
        <v>2</v>
      </c>
      <c r="CB6" s="13">
        <f t="array" ref="CB6">MATCH(MAX(ABS(CB3:CB5)),ABS(CB3:CB5),0)</f>
        <v>1</v>
      </c>
      <c r="CC6" s="13">
        <f t="array" ref="CC6">MATCH(MAX(ABS(CC3:CC5)),ABS(CC3:CC5),0)</f>
        <v>1</v>
      </c>
      <c r="CD6" s="13">
        <f t="array" ref="CD6">MATCH(MAX(ABS(CD3:CD5)),ABS(CD3:CD5),0)</f>
        <v>1</v>
      </c>
      <c r="CE6" s="13">
        <f t="array" ref="CE6">MATCH(MAX(ABS(CE3:CE5)),ABS(CE3:CE5),0)</f>
        <v>1</v>
      </c>
      <c r="CF6" s="13">
        <f t="array" ref="CF6">MATCH(MAX(ABS(CF3:CF5)),ABS(CF3:CF5),0)</f>
        <v>1</v>
      </c>
      <c r="CG6" s="13">
        <f t="array" ref="CG6">MATCH(MAX(ABS(CG3:CG5)),ABS(CG3:CG5),0)</f>
        <v>1</v>
      </c>
      <c r="CH6" s="13">
        <f t="array" ref="CH6">MATCH(MAX(ABS(CH3:CH5)),ABS(CH3:CH5),0)</f>
        <v>1</v>
      </c>
      <c r="CI6" s="13">
        <f t="array" ref="CI6">MATCH(MAX(ABS(CI3:CI5)),ABS(CI3:CI5),0)</f>
        <v>1</v>
      </c>
      <c r="CJ6" s="13">
        <f t="array" ref="CJ6">MATCH(MAX(ABS(CJ3:CJ5)),ABS(CJ3:CJ5),0)</f>
        <v>1</v>
      </c>
      <c r="CK6" s="13">
        <f t="array" ref="CK6">MATCH(MAX(ABS(CK3:CK5)),ABS(CK3:CK5),0)</f>
        <v>1</v>
      </c>
      <c r="CL6" s="13">
        <f t="array" ref="CL6">MATCH(MAX(ABS(CL3:CL5)),ABS(CL3:CL5),0)</f>
        <v>1</v>
      </c>
      <c r="CM6" s="13">
        <f t="array" ref="CM6">MATCH(MAX(ABS(CM3:CM5)),ABS(CM3:CM5),0)</f>
        <v>1</v>
      </c>
      <c r="CN6" s="13">
        <f t="array" ref="CN6">MATCH(MAX(ABS(CN3:CN5)),ABS(CN3:CN5),0)</f>
        <v>1</v>
      </c>
      <c r="CO6" s="13">
        <f t="array" ref="CO6">MATCH(MAX(ABS(CO3:CO5)),ABS(CO3:CO5),0)</f>
        <v>1</v>
      </c>
      <c r="CP6" s="13">
        <f t="array" ref="CP6">MATCH(MAX(ABS(CP3:CP5)),ABS(CP3:CP5),0)</f>
        <v>1</v>
      </c>
      <c r="CQ6" s="13">
        <f t="array" ref="CQ6">MATCH(MAX(ABS(CQ3:CQ5)),ABS(CQ3:CQ5),0)</f>
        <v>1</v>
      </c>
      <c r="CR6" s="13">
        <f t="array" ref="CR6">MATCH(MAX(ABS(CR3:CR5)),ABS(CR3:CR5),0)</f>
        <v>1</v>
      </c>
      <c r="CS6" s="13">
        <f t="array" ref="CS6">MATCH(MAX(ABS(CS3:CS5)),ABS(CS3:CS5),0)</f>
        <v>1</v>
      </c>
      <c r="CT6" s="13">
        <f t="array" ref="CT6">MATCH(MAX(ABS(CT3:CT5)),ABS(CT3:CT5),0)</f>
        <v>1</v>
      </c>
      <c r="CU6" s="13">
        <f t="array" ref="CU6">MATCH(MAX(ABS(CU3:CU5)),ABS(CU3:CU5),0)</f>
        <v>1</v>
      </c>
      <c r="CV6" s="13">
        <f t="array" ref="CV6">MATCH(MAX(ABS(CV3:CV5)),ABS(CV3:CV5),0)</f>
        <v>1</v>
      </c>
      <c r="CW6" s="13">
        <f t="array" ref="CW6">MATCH(MAX(ABS(CW3:CW5)),ABS(CW3:CW5),0)</f>
        <v>1</v>
      </c>
      <c r="CX6" s="13">
        <f t="array" ref="CX6">MATCH(MAX(ABS(CX3:CX5)),ABS(CX3:CX5),0)</f>
        <v>1</v>
      </c>
      <c r="CY6" s="13">
        <f t="array" ref="CY6">MATCH(MAX(ABS(CY3:CY5)),ABS(CY3:CY5),0)</f>
        <v>1</v>
      </c>
      <c r="CZ6" s="13">
        <f t="array" ref="CZ6">MATCH(MAX(ABS(CZ3:CZ5)),ABS(CZ3:CZ5),0)</f>
        <v>1</v>
      </c>
      <c r="DA6" s="13">
        <f t="array" ref="DA6">MATCH(MAX(ABS(DA3:DA5)),ABS(DA3:DA5),0)</f>
        <v>1</v>
      </c>
      <c r="DB6" s="13">
        <f t="array" ref="DB6">MATCH(MAX(ABS(DB3:DB5)),ABS(DB3:DB5),0)</f>
        <v>1</v>
      </c>
      <c r="DC6" s="13">
        <f t="array" ref="DC6">MATCH(MAX(ABS(DC3:DC5)),ABS(DC3:DC5),0)</f>
        <v>1</v>
      </c>
      <c r="DD6" s="13">
        <f t="array" ref="DD6">MATCH(MAX(ABS(DD3:DD5)),ABS(DD3:DD5),0)</f>
        <v>1</v>
      </c>
      <c r="DE6" s="13">
        <f t="array" ref="DE6">MATCH(MAX(ABS(DE3:DE5)),ABS(DE3:DE5),0)</f>
        <v>1</v>
      </c>
      <c r="DF6" s="13">
        <f t="array" ref="DF6">MATCH(MAX(ABS(DF3:DF5)),ABS(DF3:DF5),0)</f>
        <v>1</v>
      </c>
      <c r="DG6" s="13">
        <f t="array" ref="DG6">MATCH(MAX(ABS(DG3:DG5)),ABS(DG3:DG5),0)</f>
        <v>1</v>
      </c>
      <c r="DH6" s="13">
        <f t="array" ref="DH6">MATCH(MAX(ABS(DH3:DH5)),ABS(DH3:DH5),0)</f>
        <v>1</v>
      </c>
      <c r="DI6" s="13">
        <f t="array" ref="DI6">MATCH(MAX(ABS(DI3:DI5)),ABS(DI3:DI5),0)</f>
        <v>1</v>
      </c>
      <c r="DJ6" s="13">
        <f t="array" ref="DJ6">MATCH(MAX(ABS(DJ3:DJ5)),ABS(DJ3:DJ5),0)</f>
        <v>1</v>
      </c>
      <c r="DK6" s="13">
        <f t="array" ref="DK6">MATCH(MAX(ABS(DK3:DK5)),ABS(DK3:DK5),0)</f>
        <v>1</v>
      </c>
      <c r="DL6" s="13">
        <f t="array" ref="DL6">MATCH(MAX(ABS(DL3:DL5)),ABS(DL3:DL5),0)</f>
        <v>1</v>
      </c>
      <c r="DM6" s="13">
        <f t="array" ref="DM6">MATCH(MAX(ABS(DM3:DM5)),ABS(DM3:DM5),0)</f>
        <v>1</v>
      </c>
      <c r="DN6" s="13">
        <f t="array" ref="DN6">MATCH(MAX(ABS(DN3:DN5)),ABS(DN3:DN5),0)</f>
        <v>1</v>
      </c>
      <c r="DO6" s="13">
        <f t="array" ref="DO6">MATCH(MAX(ABS(DO3:DO5)),ABS(DO3:DO5),0)</f>
        <v>1</v>
      </c>
      <c r="DP6" s="13">
        <f t="array" ref="DP6">MATCH(MAX(ABS(DP3:DP5)),ABS(DP3:DP5),0)</f>
        <v>1</v>
      </c>
      <c r="DQ6" s="13">
        <f t="array" ref="DQ6">MATCH(MAX(ABS(DQ3:DQ5)),ABS(DQ3:DQ5),0)</f>
        <v>1</v>
      </c>
      <c r="DR6" s="13">
        <f t="array" ref="DR6">MATCH(MAX(ABS(DR3:DR5)),ABS(DR3:DR5),0)</f>
        <v>1</v>
      </c>
      <c r="DS6" s="13">
        <f t="array" ref="DS6">MATCH(MAX(ABS(DS3:DS5)),ABS(DS3:DS5),0)</f>
        <v>1</v>
      </c>
      <c r="DT6" s="13">
        <f t="array" ref="DT6">MATCH(MAX(ABS(DT3:DT5)),ABS(DT3:DT5),0)</f>
        <v>1</v>
      </c>
      <c r="DU6" s="13">
        <f t="array" ref="DU6">MATCH(MAX(ABS(DU3:DU5)),ABS(DU3:DU5),0)</f>
        <v>1</v>
      </c>
      <c r="DV6" s="13">
        <f t="array" ref="DV6">MATCH(MAX(ABS(DV3:DV5)),ABS(DV3:DV5),0)</f>
        <v>1</v>
      </c>
      <c r="DW6" s="13">
        <f t="array" ref="DW6">MATCH(MAX(ABS(DW3:DW5)),ABS(DW3:DW5),0)</f>
        <v>1</v>
      </c>
      <c r="DX6" s="13">
        <f t="array" ref="DX6">MATCH(MAX(ABS(DX3:DX5)),ABS(DX3:DX5),0)</f>
        <v>1</v>
      </c>
      <c r="DY6" s="13">
        <f t="array" ref="DY6">MATCH(MAX(ABS(DY3:DY5)),ABS(DY3:DY5),0)</f>
        <v>1</v>
      </c>
      <c r="DZ6" s="13">
        <f t="array" ref="DZ6">MATCH(MAX(ABS(DZ3:DZ5)),ABS(DZ3:DZ5),0)</f>
        <v>1</v>
      </c>
      <c r="EA6" s="13">
        <f t="array" ref="EA6">MATCH(MAX(ABS(EA3:EA5)),ABS(EA3:EA5),0)</f>
        <v>1</v>
      </c>
      <c r="EB6" s="13">
        <f t="array" ref="EB6">MATCH(MAX(ABS(EB3:EB5)),ABS(EB3:EB5),0)</f>
        <v>1</v>
      </c>
      <c r="EC6" s="13">
        <f t="array" ref="EC6">MATCH(MAX(ABS(EC3:EC5)),ABS(EC3:EC5),0)</f>
        <v>1</v>
      </c>
      <c r="ED6" s="13">
        <f t="array" ref="ED6">MATCH(MAX(ABS(ED3:ED5)),ABS(ED3:ED5),0)</f>
        <v>1</v>
      </c>
      <c r="EE6" s="13">
        <f t="array" ref="EE6">MATCH(MAX(ABS(EE3:EE5)),ABS(EE3:EE5),0)</f>
        <v>1</v>
      </c>
      <c r="EF6" s="13">
        <f t="array" ref="EF6">MATCH(MAX(ABS(EF3:EF5)),ABS(EF3:EF5),0)</f>
        <v>1</v>
      </c>
    </row>
    <row r="7" spans="1:138">
      <c r="C7" s="14" t="str">
        <f t="shared" ref="C7:AH7" si="0">IF(C6=1,"bm",IF(C6=2,"size",IF(C6=3,"mom")))</f>
        <v>bm</v>
      </c>
      <c r="D7" s="14" t="str">
        <f t="shared" si="0"/>
        <v>size</v>
      </c>
      <c r="E7" s="14" t="str">
        <f t="shared" si="0"/>
        <v>bm</v>
      </c>
      <c r="F7" s="14" t="str">
        <f t="shared" si="0"/>
        <v>size</v>
      </c>
      <c r="G7" s="14" t="str">
        <f t="shared" si="0"/>
        <v>bm</v>
      </c>
      <c r="H7" s="14" t="str">
        <f t="shared" si="0"/>
        <v>size</v>
      </c>
      <c r="I7" s="14" t="str">
        <f t="shared" si="0"/>
        <v>size</v>
      </c>
      <c r="J7" s="14" t="str">
        <f t="shared" si="0"/>
        <v>size</v>
      </c>
      <c r="K7" s="14" t="str">
        <f t="shared" si="0"/>
        <v>bm</v>
      </c>
      <c r="L7" s="14" t="str">
        <f t="shared" si="0"/>
        <v>bm</v>
      </c>
      <c r="M7" s="14" t="str">
        <f t="shared" si="0"/>
        <v>size</v>
      </c>
      <c r="N7" s="14" t="str">
        <f t="shared" si="0"/>
        <v>size</v>
      </c>
      <c r="O7" s="14" t="str">
        <f t="shared" si="0"/>
        <v>size</v>
      </c>
      <c r="P7" s="14" t="str">
        <f t="shared" si="0"/>
        <v>size</v>
      </c>
      <c r="Q7" s="14" t="str">
        <f t="shared" si="0"/>
        <v>size</v>
      </c>
      <c r="R7" s="14" t="str">
        <f t="shared" si="0"/>
        <v>size</v>
      </c>
      <c r="S7" s="14" t="str">
        <f t="shared" si="0"/>
        <v>size</v>
      </c>
      <c r="T7" s="14" t="str">
        <f t="shared" si="0"/>
        <v>size</v>
      </c>
      <c r="U7" s="14" t="str">
        <f t="shared" si="0"/>
        <v>size</v>
      </c>
      <c r="V7" s="14" t="str">
        <f t="shared" si="0"/>
        <v>size</v>
      </c>
      <c r="W7" s="14" t="str">
        <f t="shared" si="0"/>
        <v>size</v>
      </c>
      <c r="X7" s="14" t="str">
        <f t="shared" si="0"/>
        <v>size</v>
      </c>
      <c r="Y7" s="14" t="str">
        <f t="shared" si="0"/>
        <v>size</v>
      </c>
      <c r="Z7" s="14" t="str">
        <f t="shared" si="0"/>
        <v>size</v>
      </c>
      <c r="AA7" s="14" t="str">
        <f t="shared" si="0"/>
        <v>bm</v>
      </c>
      <c r="AB7" s="14" t="str">
        <f t="shared" si="0"/>
        <v>size</v>
      </c>
      <c r="AC7" s="14" t="str">
        <f t="shared" si="0"/>
        <v>size</v>
      </c>
      <c r="AD7" s="14" t="str">
        <f t="shared" si="0"/>
        <v>bm</v>
      </c>
      <c r="AE7" s="14" t="str">
        <f t="shared" si="0"/>
        <v>size</v>
      </c>
      <c r="AF7" s="14" t="str">
        <f t="shared" si="0"/>
        <v>bm</v>
      </c>
      <c r="AG7" s="14" t="str">
        <f t="shared" si="0"/>
        <v>size</v>
      </c>
      <c r="AH7" s="14" t="str">
        <f t="shared" si="0"/>
        <v>bm</v>
      </c>
      <c r="AI7" s="14" t="str">
        <f t="shared" ref="AI7:BN7" si="1">IF(AI6=1,"bm",IF(AI6=2,"size",IF(AI6=3,"mom")))</f>
        <v>size</v>
      </c>
      <c r="AJ7" s="14" t="str">
        <f t="shared" si="1"/>
        <v>size</v>
      </c>
      <c r="AK7" s="14" t="str">
        <f t="shared" si="1"/>
        <v>size</v>
      </c>
      <c r="AL7" s="14" t="str">
        <f t="shared" si="1"/>
        <v>bm</v>
      </c>
      <c r="AM7" s="14" t="str">
        <f t="shared" si="1"/>
        <v>bm</v>
      </c>
      <c r="AN7" s="14" t="str">
        <f t="shared" si="1"/>
        <v>bm</v>
      </c>
      <c r="AO7" s="14" t="str">
        <f t="shared" si="1"/>
        <v>bm</v>
      </c>
      <c r="AP7" s="14" t="str">
        <f t="shared" si="1"/>
        <v>size</v>
      </c>
      <c r="AQ7" s="14" t="str">
        <f t="shared" si="1"/>
        <v>bm</v>
      </c>
      <c r="AR7" s="14" t="str">
        <f t="shared" si="1"/>
        <v>bm</v>
      </c>
      <c r="AS7" s="14" t="str">
        <f t="shared" si="1"/>
        <v>bm</v>
      </c>
      <c r="AT7" s="14" t="str">
        <f t="shared" si="1"/>
        <v>bm</v>
      </c>
      <c r="AU7" s="14" t="str">
        <f t="shared" si="1"/>
        <v>bm</v>
      </c>
      <c r="AV7" s="14" t="str">
        <f t="shared" si="1"/>
        <v>bm</v>
      </c>
      <c r="AW7" s="14" t="str">
        <f t="shared" si="1"/>
        <v>bm</v>
      </c>
      <c r="AX7" s="14" t="str">
        <f t="shared" si="1"/>
        <v>size</v>
      </c>
      <c r="AY7" s="14" t="str">
        <f t="shared" si="1"/>
        <v>bm</v>
      </c>
      <c r="AZ7" s="14" t="str">
        <f t="shared" si="1"/>
        <v>bm</v>
      </c>
      <c r="BA7" s="14" t="str">
        <f t="shared" si="1"/>
        <v>bm</v>
      </c>
      <c r="BB7" s="14" t="str">
        <f t="shared" si="1"/>
        <v>bm</v>
      </c>
      <c r="BC7" s="14" t="str">
        <f t="shared" si="1"/>
        <v>bm</v>
      </c>
      <c r="BD7" s="14" t="str">
        <f t="shared" si="1"/>
        <v>bm</v>
      </c>
      <c r="BE7" s="14" t="str">
        <f t="shared" si="1"/>
        <v>bm</v>
      </c>
      <c r="BF7" s="14" t="str">
        <f t="shared" si="1"/>
        <v>bm</v>
      </c>
      <c r="BG7" s="14" t="str">
        <f t="shared" si="1"/>
        <v>bm</v>
      </c>
      <c r="BH7" s="14" t="str">
        <f t="shared" si="1"/>
        <v>bm</v>
      </c>
      <c r="BI7" s="14" t="str">
        <f t="shared" si="1"/>
        <v>bm</v>
      </c>
      <c r="BJ7" s="14" t="str">
        <f t="shared" si="1"/>
        <v>bm</v>
      </c>
      <c r="BK7" s="14" t="str">
        <f t="shared" si="1"/>
        <v>bm</v>
      </c>
      <c r="BL7" s="14" t="str">
        <f t="shared" si="1"/>
        <v>bm</v>
      </c>
      <c r="BM7" s="14" t="str">
        <f t="shared" si="1"/>
        <v>bm</v>
      </c>
      <c r="BN7" s="14" t="str">
        <f t="shared" si="1"/>
        <v>bm</v>
      </c>
      <c r="BO7" s="14" t="str">
        <f t="shared" ref="BO7:CT7" si="2">IF(BO6=1,"bm",IF(BO6=2,"size",IF(BO6=3,"mom")))</f>
        <v>bm</v>
      </c>
      <c r="BP7" s="14" t="str">
        <f t="shared" si="2"/>
        <v>bm</v>
      </c>
      <c r="BQ7" s="14" t="str">
        <f t="shared" si="2"/>
        <v>bm</v>
      </c>
      <c r="BR7" s="14" t="str">
        <f t="shared" si="2"/>
        <v>bm</v>
      </c>
      <c r="BS7" s="14" t="str">
        <f t="shared" si="2"/>
        <v>bm</v>
      </c>
      <c r="BT7" s="14" t="str">
        <f t="shared" si="2"/>
        <v>bm</v>
      </c>
      <c r="BU7" s="14" t="str">
        <f t="shared" si="2"/>
        <v>bm</v>
      </c>
      <c r="BV7" s="14" t="str">
        <f t="shared" si="2"/>
        <v>bm</v>
      </c>
      <c r="BW7" s="14" t="str">
        <f t="shared" si="2"/>
        <v>bm</v>
      </c>
      <c r="BX7" s="14" t="str">
        <f t="shared" si="2"/>
        <v>bm</v>
      </c>
      <c r="BY7" s="14" t="str">
        <f t="shared" si="2"/>
        <v>bm</v>
      </c>
      <c r="BZ7" s="14" t="str">
        <f t="shared" si="2"/>
        <v>bm</v>
      </c>
      <c r="CA7" s="14" t="str">
        <f t="shared" si="2"/>
        <v>size</v>
      </c>
      <c r="CB7" s="14" t="str">
        <f t="shared" si="2"/>
        <v>bm</v>
      </c>
      <c r="CC7" s="14" t="str">
        <f t="shared" si="2"/>
        <v>bm</v>
      </c>
      <c r="CD7" s="14" t="str">
        <f t="shared" si="2"/>
        <v>bm</v>
      </c>
      <c r="CE7" s="14" t="str">
        <f t="shared" si="2"/>
        <v>bm</v>
      </c>
      <c r="CF7" s="14" t="str">
        <f t="shared" si="2"/>
        <v>bm</v>
      </c>
      <c r="CG7" s="14" t="str">
        <f t="shared" si="2"/>
        <v>bm</v>
      </c>
      <c r="CH7" s="14" t="str">
        <f t="shared" si="2"/>
        <v>bm</v>
      </c>
      <c r="CI7" s="14" t="str">
        <f t="shared" si="2"/>
        <v>bm</v>
      </c>
      <c r="CJ7" s="14" t="str">
        <f t="shared" si="2"/>
        <v>bm</v>
      </c>
      <c r="CK7" s="14" t="str">
        <f t="shared" si="2"/>
        <v>bm</v>
      </c>
      <c r="CL7" s="14" t="str">
        <f t="shared" si="2"/>
        <v>bm</v>
      </c>
      <c r="CM7" s="14" t="str">
        <f t="shared" si="2"/>
        <v>bm</v>
      </c>
      <c r="CN7" s="14" t="str">
        <f t="shared" si="2"/>
        <v>bm</v>
      </c>
      <c r="CO7" s="14" t="str">
        <f t="shared" si="2"/>
        <v>bm</v>
      </c>
      <c r="CP7" s="14" t="str">
        <f t="shared" si="2"/>
        <v>bm</v>
      </c>
      <c r="CQ7" s="14" t="str">
        <f t="shared" si="2"/>
        <v>bm</v>
      </c>
      <c r="CR7" s="14" t="str">
        <f t="shared" si="2"/>
        <v>bm</v>
      </c>
      <c r="CS7" s="14" t="str">
        <f t="shared" si="2"/>
        <v>bm</v>
      </c>
      <c r="CT7" s="14" t="str">
        <f t="shared" si="2"/>
        <v>bm</v>
      </c>
      <c r="CU7" s="14" t="str">
        <f t="shared" ref="CU7:DZ7" si="3">IF(CU6=1,"bm",IF(CU6=2,"size",IF(CU6=3,"mom")))</f>
        <v>bm</v>
      </c>
      <c r="CV7" s="14" t="str">
        <f t="shared" si="3"/>
        <v>bm</v>
      </c>
      <c r="CW7" s="14" t="str">
        <f t="shared" si="3"/>
        <v>bm</v>
      </c>
      <c r="CX7" s="14" t="str">
        <f t="shared" si="3"/>
        <v>bm</v>
      </c>
      <c r="CY7" s="14" t="str">
        <f t="shared" si="3"/>
        <v>bm</v>
      </c>
      <c r="CZ7" s="14" t="str">
        <f t="shared" si="3"/>
        <v>bm</v>
      </c>
      <c r="DA7" s="14" t="str">
        <f t="shared" si="3"/>
        <v>bm</v>
      </c>
      <c r="DB7" s="14" t="str">
        <f t="shared" si="3"/>
        <v>bm</v>
      </c>
      <c r="DC7" s="14" t="str">
        <f t="shared" si="3"/>
        <v>bm</v>
      </c>
      <c r="DD7" s="14" t="str">
        <f t="shared" si="3"/>
        <v>bm</v>
      </c>
      <c r="DE7" s="14" t="str">
        <f t="shared" si="3"/>
        <v>bm</v>
      </c>
      <c r="DF7" s="14" t="str">
        <f t="shared" si="3"/>
        <v>bm</v>
      </c>
      <c r="DG7" s="14" t="str">
        <f t="shared" si="3"/>
        <v>bm</v>
      </c>
      <c r="DH7" s="14" t="str">
        <f t="shared" si="3"/>
        <v>bm</v>
      </c>
      <c r="DI7" s="14" t="str">
        <f t="shared" si="3"/>
        <v>bm</v>
      </c>
      <c r="DJ7" s="14" t="str">
        <f t="shared" si="3"/>
        <v>bm</v>
      </c>
      <c r="DK7" s="14" t="str">
        <f t="shared" si="3"/>
        <v>bm</v>
      </c>
      <c r="DL7" s="14" t="str">
        <f t="shared" si="3"/>
        <v>bm</v>
      </c>
      <c r="DM7" s="14" t="str">
        <f t="shared" si="3"/>
        <v>bm</v>
      </c>
      <c r="DN7" s="14" t="str">
        <f t="shared" si="3"/>
        <v>bm</v>
      </c>
      <c r="DO7" s="14" t="str">
        <f t="shared" si="3"/>
        <v>bm</v>
      </c>
      <c r="DP7" s="14" t="str">
        <f t="shared" si="3"/>
        <v>bm</v>
      </c>
      <c r="DQ7" s="14" t="str">
        <f t="shared" si="3"/>
        <v>bm</v>
      </c>
      <c r="DR7" s="14" t="str">
        <f t="shared" si="3"/>
        <v>bm</v>
      </c>
      <c r="DS7" s="14" t="str">
        <f t="shared" si="3"/>
        <v>bm</v>
      </c>
      <c r="DT7" s="14" t="str">
        <f t="shared" si="3"/>
        <v>bm</v>
      </c>
      <c r="DU7" s="14" t="str">
        <f t="shared" si="3"/>
        <v>bm</v>
      </c>
      <c r="DV7" s="14" t="str">
        <f t="shared" si="3"/>
        <v>bm</v>
      </c>
      <c r="DW7" s="14" t="str">
        <f t="shared" si="3"/>
        <v>bm</v>
      </c>
      <c r="DX7" s="14" t="str">
        <f t="shared" si="3"/>
        <v>bm</v>
      </c>
      <c r="DY7" s="14" t="str">
        <f t="shared" si="3"/>
        <v>bm</v>
      </c>
      <c r="DZ7" s="14" t="str">
        <f t="shared" si="3"/>
        <v>bm</v>
      </c>
      <c r="EA7" s="14" t="str">
        <f t="shared" ref="EA7:EF7" si="4">IF(EA6=1,"bm",IF(EA6=2,"size",IF(EA6=3,"mom")))</f>
        <v>bm</v>
      </c>
      <c r="EB7" s="14" t="str">
        <f t="shared" si="4"/>
        <v>bm</v>
      </c>
      <c r="EC7" s="14" t="str">
        <f t="shared" si="4"/>
        <v>bm</v>
      </c>
      <c r="ED7" s="14" t="str">
        <f t="shared" si="4"/>
        <v>bm</v>
      </c>
      <c r="EE7" s="14" t="str">
        <f t="shared" si="4"/>
        <v>bm</v>
      </c>
      <c r="EF7" s="14" t="str">
        <f t="shared" si="4"/>
        <v>bm</v>
      </c>
    </row>
    <row r="8" spans="1:138">
      <c r="C8" s="13">
        <f t="shared" ref="C8:AH8" si="5">IF(C6=1,C3,IF(C6=2,C4,IF(C6=3,C5)))</f>
        <v>3.1330205500125892E-2</v>
      </c>
      <c r="D8" s="13">
        <f t="shared" si="5"/>
        <v>-3.2528996467590332E-2</v>
      </c>
      <c r="E8" s="13">
        <f t="shared" si="5"/>
        <v>2.9643896967172619E-2</v>
      </c>
      <c r="F8" s="13">
        <f t="shared" si="5"/>
        <v>-3.0678801238536831E-2</v>
      </c>
      <c r="G8" s="13">
        <f t="shared" si="5"/>
        <v>4.1800491511821747E-2</v>
      </c>
      <c r="H8" s="13">
        <f t="shared" si="5"/>
        <v>-2.7283268049359322E-2</v>
      </c>
      <c r="I8" s="13">
        <f t="shared" si="5"/>
        <v>-3.6774773150682449E-2</v>
      </c>
      <c r="J8" s="13">
        <f t="shared" si="5"/>
        <v>-3.694760799407959E-2</v>
      </c>
      <c r="K8" s="13">
        <f t="shared" si="5"/>
        <v>3.5791270434856408E-2</v>
      </c>
      <c r="L8" s="13">
        <f t="shared" si="5"/>
        <v>6.6725820302963257E-2</v>
      </c>
      <c r="M8" s="13">
        <f t="shared" si="5"/>
        <v>-3.6390375345945358E-2</v>
      </c>
      <c r="N8" s="13">
        <f t="shared" si="5"/>
        <v>-2.7910143136978149E-2</v>
      </c>
      <c r="O8" s="13">
        <f t="shared" si="5"/>
        <v>-3.4657396376132972E-2</v>
      </c>
      <c r="P8" s="13">
        <f t="shared" si="5"/>
        <v>-3.7157066166400909E-2</v>
      </c>
      <c r="Q8" s="13">
        <f t="shared" si="5"/>
        <v>-3.2246530055999763E-2</v>
      </c>
      <c r="R8" s="13">
        <f t="shared" si="5"/>
        <v>-3.2251663506031043E-2</v>
      </c>
      <c r="S8" s="13">
        <f t="shared" si="5"/>
        <v>-2.9913196340203289E-2</v>
      </c>
      <c r="T8" s="13">
        <f t="shared" si="5"/>
        <v>-2.9206940904259682E-2</v>
      </c>
      <c r="U8" s="13">
        <f t="shared" si="5"/>
        <v>-2.8744202107191089E-2</v>
      </c>
      <c r="V8" s="13">
        <f t="shared" si="5"/>
        <v>-2.8017682954668999E-2</v>
      </c>
      <c r="W8" s="13">
        <f t="shared" si="5"/>
        <v>-2.7434077113866809E-2</v>
      </c>
      <c r="X8" s="13">
        <f t="shared" si="5"/>
        <v>-2.876461856067181E-2</v>
      </c>
      <c r="Y8" s="13">
        <f t="shared" si="5"/>
        <v>-3.1099813058972359E-2</v>
      </c>
      <c r="Z8" s="13">
        <f t="shared" si="5"/>
        <v>-3.0133392661809921E-2</v>
      </c>
      <c r="AA8" s="13">
        <f t="shared" si="5"/>
        <v>7.4403420090675354E-2</v>
      </c>
      <c r="AB8" s="13">
        <f t="shared" si="5"/>
        <v>-2.964571118354797E-2</v>
      </c>
      <c r="AC8" s="13">
        <f t="shared" si="5"/>
        <v>-2.9567878693342209E-2</v>
      </c>
      <c r="AD8" s="13">
        <f t="shared" si="5"/>
        <v>-3.129136934876442E-2</v>
      </c>
      <c r="AE8" s="13">
        <f t="shared" si="5"/>
        <v>-2.8935028240084652E-2</v>
      </c>
      <c r="AF8" s="13">
        <f t="shared" si="5"/>
        <v>-3.5181421786546707E-2</v>
      </c>
      <c r="AG8" s="13">
        <f t="shared" si="5"/>
        <v>-2.828941494226456E-2</v>
      </c>
      <c r="AH8" s="13">
        <f t="shared" si="5"/>
        <v>-2.2227592766284939E-2</v>
      </c>
      <c r="AI8" s="13">
        <f t="shared" ref="AI8:BN8" si="6">IF(AI6=1,AI3,IF(AI6=2,AI4,IF(AI6=3,AI5)))</f>
        <v>-4.0709320455789573E-2</v>
      </c>
      <c r="AJ8" s="13">
        <f t="shared" si="6"/>
        <v>-3.4136712551116943E-2</v>
      </c>
      <c r="AK8" s="13">
        <f t="shared" si="6"/>
        <v>-2.7761854231357571E-2</v>
      </c>
      <c r="AL8" s="13">
        <f t="shared" si="6"/>
        <v>6.0541510581970208E-2</v>
      </c>
      <c r="AM8" s="13">
        <f t="shared" si="6"/>
        <v>4.2939703911542892E-2</v>
      </c>
      <c r="AN8" s="13">
        <f t="shared" si="6"/>
        <v>4.6451166272163391E-2</v>
      </c>
      <c r="AO8" s="13">
        <f t="shared" si="6"/>
        <v>4.6414647251367569E-2</v>
      </c>
      <c r="AP8" s="13">
        <f t="shared" si="6"/>
        <v>-3.5248521715402603E-2</v>
      </c>
      <c r="AQ8" s="13">
        <f t="shared" si="6"/>
        <v>4.9711406230926507E-2</v>
      </c>
      <c r="AR8" s="13">
        <f t="shared" si="6"/>
        <v>4.072609543800354E-2</v>
      </c>
      <c r="AS8" s="13">
        <f t="shared" si="6"/>
        <v>3.7940710783004761E-2</v>
      </c>
      <c r="AT8" s="13">
        <f t="shared" si="6"/>
        <v>4.3215282261371613E-2</v>
      </c>
      <c r="AU8" s="13">
        <f t="shared" si="6"/>
        <v>3.5848293453454971E-2</v>
      </c>
      <c r="AV8" s="13">
        <f t="shared" si="6"/>
        <v>4.8106551170349121E-2</v>
      </c>
      <c r="AW8" s="13">
        <f t="shared" si="6"/>
        <v>0.25755825638771063</v>
      </c>
      <c r="AX8" s="13">
        <f t="shared" si="6"/>
        <v>-2.6401566341519359E-2</v>
      </c>
      <c r="AY8" s="13">
        <f t="shared" si="6"/>
        <v>5.6368216872215271E-2</v>
      </c>
      <c r="AZ8" s="13">
        <f t="shared" si="6"/>
        <v>4.440823569893837E-2</v>
      </c>
      <c r="BA8" s="13">
        <f t="shared" si="6"/>
        <v>4.0217362344264977E-2</v>
      </c>
      <c r="BB8" s="13">
        <f t="shared" si="6"/>
        <v>3.9215490221977227E-2</v>
      </c>
      <c r="BC8" s="13">
        <f t="shared" si="6"/>
        <v>5.1480397582054138E-2</v>
      </c>
      <c r="BD8" s="13">
        <f t="shared" si="6"/>
        <v>4.9942176789045327E-2</v>
      </c>
      <c r="BE8" s="13">
        <f t="shared" si="6"/>
        <v>4.9302525818347931E-2</v>
      </c>
      <c r="BF8" s="13">
        <f t="shared" si="6"/>
        <v>5.0215017050504678E-2</v>
      </c>
      <c r="BG8" s="13">
        <f t="shared" si="6"/>
        <v>4.4806387275457382E-2</v>
      </c>
      <c r="BH8" s="13">
        <f t="shared" si="6"/>
        <v>7.2218522429466248E-2</v>
      </c>
      <c r="BI8" s="13">
        <f t="shared" si="6"/>
        <v>5.3198006004095078E-2</v>
      </c>
      <c r="BJ8" s="13">
        <f t="shared" si="6"/>
        <v>5.0947383046150208E-2</v>
      </c>
      <c r="BK8" s="13">
        <f t="shared" si="6"/>
        <v>4.6847827732563019E-2</v>
      </c>
      <c r="BL8" s="13">
        <f t="shared" si="6"/>
        <v>5.1777664572000497E-2</v>
      </c>
      <c r="BM8" s="13">
        <f t="shared" si="6"/>
        <v>4.5751150697469711E-2</v>
      </c>
      <c r="BN8" s="13">
        <f t="shared" si="6"/>
        <v>5.1456984132528312E-2</v>
      </c>
      <c r="BO8" s="13">
        <f t="shared" ref="BO8:CT8" si="7">IF(BO6=1,BO3,IF(BO6=2,BO4,IF(BO6=3,BO5)))</f>
        <v>5.444614589214325E-2</v>
      </c>
      <c r="BP8" s="13">
        <f t="shared" si="7"/>
        <v>5.1880281418561942E-2</v>
      </c>
      <c r="BQ8" s="13">
        <f t="shared" si="7"/>
        <v>4.9081109464168549E-2</v>
      </c>
      <c r="BR8" s="13">
        <f t="shared" si="7"/>
        <v>3.0115354806184769E-2</v>
      </c>
      <c r="BS8" s="13">
        <f t="shared" si="7"/>
        <v>4.8800110816955573E-2</v>
      </c>
      <c r="BT8" s="13">
        <f t="shared" si="7"/>
        <v>4.8635218292474747E-2</v>
      </c>
      <c r="BU8" s="13">
        <f t="shared" si="7"/>
        <v>4.5633736997842789E-2</v>
      </c>
      <c r="BV8" s="13">
        <f t="shared" si="7"/>
        <v>4.947228729724884E-2</v>
      </c>
      <c r="BW8" s="13">
        <f t="shared" si="7"/>
        <v>4.4601880013942719E-2</v>
      </c>
      <c r="BX8" s="13">
        <f t="shared" si="7"/>
        <v>4.56710085272789E-2</v>
      </c>
      <c r="BY8" s="13">
        <f t="shared" si="7"/>
        <v>3.6897704005241387E-2</v>
      </c>
      <c r="BZ8" s="13">
        <f t="shared" si="7"/>
        <v>0.21394279599189761</v>
      </c>
      <c r="CA8" s="13">
        <f t="shared" si="7"/>
        <v>-3.2349672168493271E-2</v>
      </c>
      <c r="CB8" s="13">
        <f t="shared" si="7"/>
        <v>4.6074997633695602E-2</v>
      </c>
      <c r="CC8" s="13">
        <f t="shared" si="7"/>
        <v>7.2226598858833313E-2</v>
      </c>
      <c r="CD8" s="13">
        <f t="shared" si="7"/>
        <v>3.4700907766819E-2</v>
      </c>
      <c r="CE8" s="13">
        <f t="shared" si="7"/>
        <v>3.6362294107675552E-2</v>
      </c>
      <c r="CF8" s="13">
        <f t="shared" si="7"/>
        <v>4.7756139189004898E-2</v>
      </c>
      <c r="CG8" s="13">
        <f t="shared" si="7"/>
        <v>3.6376580595970147E-2</v>
      </c>
      <c r="CH8" s="13">
        <f t="shared" si="7"/>
        <v>4.3285507708787918E-2</v>
      </c>
      <c r="CI8" s="13">
        <f t="shared" si="7"/>
        <v>4.2804375290870673E-2</v>
      </c>
      <c r="CJ8" s="13">
        <f t="shared" si="7"/>
        <v>4.3789677321910858E-2</v>
      </c>
      <c r="CK8" s="13">
        <f t="shared" si="7"/>
        <v>4.193609207868576E-2</v>
      </c>
      <c r="CL8" s="13">
        <f t="shared" si="7"/>
        <v>4.5073911547660828E-2</v>
      </c>
      <c r="CM8" s="13">
        <f t="shared" si="7"/>
        <v>5.7426575571298599E-2</v>
      </c>
      <c r="CN8" s="13">
        <f t="shared" si="7"/>
        <v>4.8870686441659927E-2</v>
      </c>
      <c r="CO8" s="13">
        <f t="shared" si="7"/>
        <v>4.6467091888189323E-2</v>
      </c>
      <c r="CP8" s="13">
        <f t="shared" si="7"/>
        <v>4.5427285134792328E-2</v>
      </c>
      <c r="CQ8" s="13">
        <f t="shared" si="7"/>
        <v>4.3254118412733078E-2</v>
      </c>
      <c r="CR8" s="13">
        <f t="shared" si="7"/>
        <v>4.2831581085920327E-2</v>
      </c>
      <c r="CS8" s="13">
        <f t="shared" si="7"/>
        <v>4.1360333561897278E-2</v>
      </c>
      <c r="CT8" s="13">
        <f t="shared" si="7"/>
        <v>2.374728582799435E-2</v>
      </c>
      <c r="CU8" s="13">
        <f t="shared" ref="CU8:DZ8" si="8">IF(CU6=1,CU3,IF(CU6=2,CU4,IF(CU6=3,CU5)))</f>
        <v>3.9278171956539147E-2</v>
      </c>
      <c r="CV8" s="13">
        <f t="shared" si="8"/>
        <v>4.09957654774189E-2</v>
      </c>
      <c r="CW8" s="13">
        <f t="shared" si="8"/>
        <v>3.6699786782264709E-2</v>
      </c>
      <c r="CX8" s="13">
        <f t="shared" si="8"/>
        <v>3.8764949887990952E-2</v>
      </c>
      <c r="CY8" s="13">
        <f t="shared" si="8"/>
        <v>3.7805531173944473E-2</v>
      </c>
      <c r="CZ8" s="13">
        <f t="shared" si="8"/>
        <v>4.325726255774498E-2</v>
      </c>
      <c r="DA8" s="13">
        <f t="shared" si="8"/>
        <v>4.4850636273622513E-2</v>
      </c>
      <c r="DB8" s="13">
        <f t="shared" si="8"/>
        <v>4.3851811438798897E-2</v>
      </c>
      <c r="DC8" s="13">
        <f t="shared" si="8"/>
        <v>4.9191009253263467E-2</v>
      </c>
      <c r="DD8" s="13">
        <f t="shared" si="8"/>
        <v>4.212004691362381E-2</v>
      </c>
      <c r="DE8" s="13">
        <f t="shared" si="8"/>
        <v>4.7127000987529748E-2</v>
      </c>
      <c r="DF8" s="13">
        <f t="shared" si="8"/>
        <v>3.8079626858234412E-2</v>
      </c>
      <c r="DG8" s="13">
        <f t="shared" si="8"/>
        <v>3.8307089358568192E-2</v>
      </c>
      <c r="DH8" s="13">
        <f t="shared" si="8"/>
        <v>3.9209745824337013E-2</v>
      </c>
      <c r="DI8" s="13">
        <f t="shared" si="8"/>
        <v>5.0754562020301819E-2</v>
      </c>
      <c r="DJ8" s="13">
        <f t="shared" si="8"/>
        <v>4.9327295273542397E-2</v>
      </c>
      <c r="DK8" s="13">
        <f t="shared" si="8"/>
        <v>4.6511236578226089E-2</v>
      </c>
      <c r="DL8" s="13">
        <f t="shared" si="8"/>
        <v>4.22775037586689E-2</v>
      </c>
      <c r="DM8" s="13">
        <f t="shared" si="8"/>
        <v>3.2305262982845313E-2</v>
      </c>
      <c r="DN8" s="13">
        <f t="shared" si="8"/>
        <v>4.6072427183389657E-2</v>
      </c>
      <c r="DO8" s="13">
        <f t="shared" si="8"/>
        <v>4.8485249280929572E-2</v>
      </c>
      <c r="DP8" s="13">
        <f t="shared" si="8"/>
        <v>4.6022161841392517E-2</v>
      </c>
      <c r="DQ8" s="13">
        <f t="shared" si="8"/>
        <v>4.4537413865327842E-2</v>
      </c>
      <c r="DR8" s="13">
        <f t="shared" si="8"/>
        <v>4.4425271451473243E-2</v>
      </c>
      <c r="DS8" s="13">
        <f t="shared" si="8"/>
        <v>4.2646575719118118E-2</v>
      </c>
      <c r="DT8" s="13">
        <f t="shared" si="8"/>
        <v>4.6090584248304367E-2</v>
      </c>
      <c r="DU8" s="13">
        <f t="shared" si="8"/>
        <v>4.3128091841936111E-2</v>
      </c>
      <c r="DV8" s="13">
        <f t="shared" si="8"/>
        <v>4.1349083185195923E-2</v>
      </c>
      <c r="DW8" s="13">
        <f t="shared" si="8"/>
        <v>4.0377732366323471E-2</v>
      </c>
      <c r="DX8" s="13">
        <f t="shared" si="8"/>
        <v>4.6240631490945823E-2</v>
      </c>
      <c r="DY8" s="13">
        <f t="shared" si="8"/>
        <v>4.529276117682457E-2</v>
      </c>
      <c r="DZ8" s="13">
        <f t="shared" si="8"/>
        <v>3.8002155721187592E-2</v>
      </c>
      <c r="EA8" s="13">
        <f t="shared" ref="EA8:EF8" si="9">IF(EA6=1,EA3,IF(EA6=2,EA4,IF(EA6=3,EA5)))</f>
        <v>4.3337244540452957E-2</v>
      </c>
      <c r="EB8" s="13">
        <f t="shared" si="9"/>
        <v>3.5762075334787369E-2</v>
      </c>
      <c r="EC8" s="13">
        <f t="shared" si="9"/>
        <v>3.0851878225803379E-2</v>
      </c>
      <c r="ED8" s="13">
        <f t="shared" si="9"/>
        <v>4.0065716952085488E-2</v>
      </c>
      <c r="EE8" s="13">
        <f t="shared" si="9"/>
        <v>4.3372519314289093E-2</v>
      </c>
      <c r="EF8" s="13">
        <f t="shared" si="9"/>
        <v>4.6325836330652237E-2</v>
      </c>
    </row>
    <row r="10" spans="1:138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8">
      <c r="A11" s="2" t="s">
        <v>142</v>
      </c>
      <c r="B11" s="2" t="s">
        <v>143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3" t="s">
        <v>178</v>
      </c>
      <c r="EG11" s="6" t="s">
        <v>182</v>
      </c>
      <c r="EH11" s="6" t="s">
        <v>183</v>
      </c>
    </row>
    <row r="12" spans="1:138">
      <c r="A12" s="2">
        <v>10</v>
      </c>
      <c r="B12" s="2">
        <v>96</v>
      </c>
      <c r="C12" s="13">
        <f>IF(預測IC!C12&gt;預測IC!C$26,1,0)</f>
        <v>1</v>
      </c>
      <c r="D12" s="13">
        <f>IF(預測IC!D12&gt;預測IC!D$26,1,0)</f>
        <v>1</v>
      </c>
      <c r="E12" s="13">
        <f>IF(預測IC!E12&gt;預測IC!E$26,1,0)</f>
        <v>0</v>
      </c>
      <c r="F12" s="13">
        <f>IF(預測IC!F12&gt;預測IC!F$26,1,0)</f>
        <v>1</v>
      </c>
      <c r="G12" s="13">
        <f>IF(預測IC!G12&gt;預測IC!G$26,1,0)</f>
        <v>0</v>
      </c>
      <c r="H12" s="13">
        <f>IF(預測IC!H12&gt;預測IC!H$26,1,0)</f>
        <v>1</v>
      </c>
      <c r="I12" s="13">
        <f>IF(預測IC!I12&gt;預測IC!I$26,1,0)</f>
        <v>1</v>
      </c>
      <c r="J12" s="13">
        <f>IF(預測IC!J12&gt;預測IC!J$26,1,0)</f>
        <v>0</v>
      </c>
      <c r="K12" s="13">
        <f>IF(預測IC!K12&gt;預測IC!K$26,1,0)</f>
        <v>1</v>
      </c>
      <c r="L12" s="13">
        <f>IF(預測IC!L12&gt;預測IC!L$26,1,0)</f>
        <v>0</v>
      </c>
      <c r="M12" s="13">
        <f>IF(預測IC!M12&gt;預測IC!M$26,1,0)</f>
        <v>0</v>
      </c>
      <c r="N12" s="13">
        <f>IF(預測IC!N12&gt;預測IC!N$26,1,0)</f>
        <v>1</v>
      </c>
      <c r="O12" s="13">
        <f>IF(預測IC!O12&gt;預測IC!O$26,1,0)</f>
        <v>1</v>
      </c>
      <c r="P12" s="13">
        <f>IF(預測IC!P12&gt;預測IC!P$26,1,0)</f>
        <v>0</v>
      </c>
      <c r="Q12" s="13">
        <f>IF(預測IC!Q12&gt;預測IC!Q$26,1,0)</f>
        <v>1</v>
      </c>
      <c r="R12" s="13">
        <f>IF(預測IC!R12&gt;預測IC!R$26,1,0)</f>
        <v>0</v>
      </c>
      <c r="S12" s="13">
        <f>IF(預測IC!S12&gt;預測IC!S$26,1,0)</f>
        <v>0</v>
      </c>
      <c r="T12" s="13">
        <f>IF(預測IC!T12&gt;預測IC!T$26,1,0)</f>
        <v>1</v>
      </c>
      <c r="U12" s="13">
        <f>IF(預測IC!U12&gt;預測IC!U$26,1,0)</f>
        <v>1</v>
      </c>
      <c r="V12" s="13">
        <f>IF(預測IC!V12&gt;預測IC!V$26,1,0)</f>
        <v>1</v>
      </c>
      <c r="W12" s="13">
        <f>IF(預測IC!W12&gt;預測IC!W$26,1,0)</f>
        <v>1</v>
      </c>
      <c r="X12" s="13">
        <f>IF(預測IC!X12&gt;預測IC!X$26,1,0)</f>
        <v>0</v>
      </c>
      <c r="Y12" s="13">
        <f>IF(預測IC!Y12&gt;預測IC!Y$26,1,0)</f>
        <v>1</v>
      </c>
      <c r="Z12" s="13">
        <f>IF(預測IC!Z12&gt;預測IC!Z$26,1,0)</f>
        <v>1</v>
      </c>
      <c r="AA12" s="13">
        <f>IF(預測IC!AA12&gt;預測IC!AA$26,1,0)</f>
        <v>0</v>
      </c>
      <c r="AB12" s="13">
        <f>IF(預測IC!AB12&gt;預測IC!AB$26,1,0)</f>
        <v>0</v>
      </c>
      <c r="AC12" s="13">
        <f>IF(預測IC!AC12&gt;預測IC!AC$26,1,0)</f>
        <v>0</v>
      </c>
      <c r="AD12" s="13">
        <f>IF(預測IC!AD12&gt;預測IC!AD$26,1,0)</f>
        <v>1</v>
      </c>
      <c r="AE12" s="13">
        <f>IF(預測IC!AE12&gt;預測IC!AE$26,1,0)</f>
        <v>0</v>
      </c>
      <c r="AF12" s="13">
        <f>IF(預測IC!AF12&gt;預測IC!AF$26,1,0)</f>
        <v>0</v>
      </c>
      <c r="AG12" s="13">
        <f>IF(預測IC!AG12&gt;預測IC!AG$26,1,0)</f>
        <v>0</v>
      </c>
      <c r="AH12" s="13">
        <f>IF(預測IC!AH12&gt;預測IC!AH$26,1,0)</f>
        <v>0</v>
      </c>
      <c r="AI12" s="13">
        <f>IF(預測IC!AI12&gt;預測IC!AI$26,1,0)</f>
        <v>1</v>
      </c>
      <c r="AJ12" s="13">
        <f>IF(預測IC!AJ12&gt;預測IC!AJ$26,1,0)</f>
        <v>1</v>
      </c>
      <c r="AK12" s="13">
        <f>IF(預測IC!AK12&gt;預測IC!AK$26,1,0)</f>
        <v>1</v>
      </c>
      <c r="AL12" s="13">
        <f>IF(預測IC!AL12&gt;預測IC!AL$26,1,0)</f>
        <v>1</v>
      </c>
      <c r="AM12" s="13">
        <f>IF(預測IC!AM12&gt;預測IC!AM$26,1,0)</f>
        <v>1</v>
      </c>
      <c r="AN12" s="13">
        <f>IF(預測IC!AN12&gt;預測IC!AN$26,1,0)</f>
        <v>1</v>
      </c>
      <c r="AO12" s="13">
        <f>IF(預測IC!AO12&gt;預測IC!AO$26,1,0)</f>
        <v>0</v>
      </c>
      <c r="AP12" s="13">
        <f>IF(預測IC!AP12&gt;預測IC!AP$26,1,0)</f>
        <v>0</v>
      </c>
      <c r="AQ12" s="13">
        <f>IF(預測IC!AQ12&gt;預測IC!AQ$26,1,0)</f>
        <v>0</v>
      </c>
      <c r="AR12" s="13">
        <f>IF(預測IC!AR12&gt;預測IC!AR$26,1,0)</f>
        <v>0</v>
      </c>
      <c r="AS12" s="13">
        <f>IF(預測IC!AS12&gt;預測IC!AS$26,1,0)</f>
        <v>1</v>
      </c>
      <c r="AT12" s="13">
        <f>IF(預測IC!AT12&gt;預測IC!AT$26,1,0)</f>
        <v>0</v>
      </c>
      <c r="AU12" s="13">
        <f>IF(預測IC!AU12&gt;預測IC!AU$26,1,0)</f>
        <v>1</v>
      </c>
      <c r="AV12" s="13">
        <f>IF(預測IC!AV12&gt;預測IC!AV$26,1,0)</f>
        <v>0</v>
      </c>
      <c r="AW12" s="13">
        <f>IF(預測IC!AW12&gt;預測IC!AW$26,1,0)</f>
        <v>1</v>
      </c>
      <c r="AX12" s="13">
        <f>IF(預測IC!AX12&gt;預測IC!AX$26,1,0)</f>
        <v>0</v>
      </c>
      <c r="AY12" s="13">
        <f>IF(預測IC!AY12&gt;預測IC!AY$26,1,0)</f>
        <v>0</v>
      </c>
      <c r="AZ12" s="13">
        <f>IF(預測IC!AZ12&gt;預測IC!AZ$26,1,0)</f>
        <v>1</v>
      </c>
      <c r="BA12" s="13">
        <f>IF(預測IC!BA12&gt;預測IC!BA$26,1,0)</f>
        <v>0</v>
      </c>
      <c r="BB12" s="13">
        <f>IF(預測IC!BB12&gt;預測IC!BB$26,1,0)</f>
        <v>1</v>
      </c>
      <c r="BC12" s="13">
        <f>IF(預測IC!BC12&gt;預測IC!BC$26,1,0)</f>
        <v>0</v>
      </c>
      <c r="BD12" s="13">
        <f>IF(預測IC!BD12&gt;預測IC!BD$26,1,0)</f>
        <v>1</v>
      </c>
      <c r="BE12" s="13">
        <f>IF(預測IC!BE12&gt;預測IC!BE$26,1,0)</f>
        <v>0</v>
      </c>
      <c r="BF12" s="13">
        <f>IF(預測IC!BF12&gt;預測IC!BF$26,1,0)</f>
        <v>1</v>
      </c>
      <c r="BG12" s="13">
        <f>IF(預測IC!BG12&gt;預測IC!BG$26,1,0)</f>
        <v>1</v>
      </c>
      <c r="BH12" s="13">
        <f>IF(預測IC!BH12&gt;預測IC!BH$26,1,0)</f>
        <v>1</v>
      </c>
      <c r="BI12" s="13">
        <f>IF(預測IC!BI12&gt;預測IC!BI$26,1,0)</f>
        <v>1</v>
      </c>
      <c r="BJ12" s="13">
        <f>IF(預測IC!BJ12&gt;預測IC!BJ$26,1,0)</f>
        <v>1</v>
      </c>
      <c r="BK12" s="13">
        <f>IF(預測IC!BK12&gt;預測IC!BK$26,1,0)</f>
        <v>0</v>
      </c>
      <c r="BL12" s="13">
        <f>IF(預測IC!BL12&gt;預測IC!BL$26,1,0)</f>
        <v>0</v>
      </c>
      <c r="BM12" s="13">
        <f>IF(預測IC!BM12&gt;預測IC!BM$26,1,0)</f>
        <v>0</v>
      </c>
      <c r="BN12" s="13">
        <f>IF(預測IC!BN12&gt;預測IC!BN$26,1,0)</f>
        <v>0</v>
      </c>
      <c r="BO12" s="13">
        <f>IF(預測IC!BO12&gt;預測IC!BO$26,1,0)</f>
        <v>1</v>
      </c>
      <c r="BP12" s="13">
        <f>IF(預測IC!BP12&gt;預測IC!BP$26,1,0)</f>
        <v>0</v>
      </c>
      <c r="BQ12" s="13">
        <f>IF(預測IC!BQ12&gt;預測IC!BQ$26,1,0)</f>
        <v>1</v>
      </c>
      <c r="BR12" s="13">
        <f>IF(預測IC!BR12&gt;預測IC!BR$26,1,0)</f>
        <v>1</v>
      </c>
      <c r="BS12" s="13">
        <f>IF(預測IC!BS12&gt;預測IC!BS$26,1,0)</f>
        <v>0</v>
      </c>
      <c r="BT12" s="13">
        <f>IF(預測IC!BT12&gt;預測IC!BT$26,1,0)</f>
        <v>0</v>
      </c>
      <c r="BU12" s="13">
        <f>IF(預測IC!BU12&gt;預測IC!BU$26,1,0)</f>
        <v>0</v>
      </c>
      <c r="BV12" s="13">
        <f>IF(預測IC!BV12&gt;預測IC!BV$26,1,0)</f>
        <v>0</v>
      </c>
      <c r="BW12" s="13">
        <f>IF(預測IC!BW12&gt;預測IC!BW$26,1,0)</f>
        <v>1</v>
      </c>
      <c r="BX12" s="13">
        <f>IF(預測IC!BX12&gt;預測IC!BX$26,1,0)</f>
        <v>1</v>
      </c>
      <c r="BY12" s="13">
        <f>IF(預測IC!BY12&gt;預測IC!BY$26,1,0)</f>
        <v>1</v>
      </c>
      <c r="BZ12" s="13">
        <f>IF(預測IC!BZ12&gt;預測IC!BZ$26,1,0)</f>
        <v>0</v>
      </c>
      <c r="CA12" s="13">
        <f>IF(預測IC!CA12&gt;預測IC!CA$26,1,0)</f>
        <v>1</v>
      </c>
      <c r="CB12" s="13">
        <f>IF(預測IC!CB12&gt;預測IC!CB$26,1,0)</f>
        <v>0</v>
      </c>
      <c r="CC12" s="13">
        <f>IF(預測IC!CC12&gt;預測IC!CC$26,1,0)</f>
        <v>0</v>
      </c>
      <c r="CD12" s="13">
        <f>IF(預測IC!CD12&gt;預測IC!CD$26,1,0)</f>
        <v>1</v>
      </c>
      <c r="CE12" s="13">
        <f>IF(預測IC!CE12&gt;預測IC!CE$26,1,0)</f>
        <v>1</v>
      </c>
      <c r="CF12" s="13">
        <f>IF(預測IC!CF12&gt;預測IC!CF$26,1,0)</f>
        <v>1</v>
      </c>
      <c r="CG12" s="13">
        <f>IF(預測IC!CG12&gt;預測IC!CG$26,1,0)</f>
        <v>0</v>
      </c>
      <c r="CH12" s="13">
        <f>IF(預測IC!CH12&gt;預測IC!CH$26,1,0)</f>
        <v>0</v>
      </c>
      <c r="CI12" s="13">
        <f>IF(預測IC!CI12&gt;預測IC!CI$26,1,0)</f>
        <v>0</v>
      </c>
      <c r="CJ12" s="13">
        <f>IF(預測IC!CJ12&gt;預測IC!CJ$26,1,0)</f>
        <v>0</v>
      </c>
      <c r="CK12" s="13">
        <f>IF(預測IC!CK12&gt;預測IC!CK$26,1,0)</f>
        <v>0</v>
      </c>
      <c r="CL12" s="13">
        <f>IF(預測IC!CL12&gt;預測IC!CL$26,1,0)</f>
        <v>1</v>
      </c>
      <c r="CM12" s="13">
        <f>IF(預測IC!CM12&gt;預測IC!CM$26,1,0)</f>
        <v>1</v>
      </c>
      <c r="CN12" s="13">
        <f>IF(預測IC!CN12&gt;預測IC!CN$26,1,0)</f>
        <v>0</v>
      </c>
      <c r="CO12" s="13">
        <f>IF(預測IC!CO12&gt;預測IC!CO$26,1,0)</f>
        <v>1</v>
      </c>
      <c r="CP12" s="13">
        <f>IF(預測IC!CP12&gt;預測IC!CP$26,1,0)</f>
        <v>1</v>
      </c>
      <c r="CQ12" s="13">
        <f>IF(預測IC!CQ12&gt;預測IC!CQ$26,1,0)</f>
        <v>1</v>
      </c>
      <c r="CR12" s="13">
        <f>IF(預測IC!CR12&gt;預測IC!CR$26,1,0)</f>
        <v>0</v>
      </c>
      <c r="CS12" s="13">
        <f>IF(預測IC!CS12&gt;預測IC!CS$26,1,0)</f>
        <v>0</v>
      </c>
      <c r="CT12" s="13">
        <f>IF(預測IC!CT12&gt;預測IC!CT$26,1,0)</f>
        <v>0</v>
      </c>
      <c r="CU12" s="13">
        <f>IF(預測IC!CU12&gt;預測IC!CU$26,1,0)</f>
        <v>1</v>
      </c>
      <c r="CV12" s="13">
        <f>IF(預測IC!CV12&gt;預測IC!CV$26,1,0)</f>
        <v>1</v>
      </c>
      <c r="CW12" s="13">
        <f>IF(預測IC!CW12&gt;預測IC!CW$26,1,0)</f>
        <v>1</v>
      </c>
      <c r="CX12" s="13">
        <f>IF(預測IC!CX12&gt;預測IC!CX$26,1,0)</f>
        <v>1</v>
      </c>
      <c r="CY12" s="13">
        <f>IF(預測IC!CY12&gt;預測IC!CY$26,1,0)</f>
        <v>0</v>
      </c>
      <c r="CZ12" s="13">
        <f>IF(預測IC!CZ12&gt;預測IC!CZ$26,1,0)</f>
        <v>1</v>
      </c>
      <c r="DA12" s="13">
        <f>IF(預測IC!DA12&gt;預測IC!DA$26,1,0)</f>
        <v>0</v>
      </c>
      <c r="DB12" s="13">
        <f>IF(預測IC!DB12&gt;預測IC!DB$26,1,0)</f>
        <v>0</v>
      </c>
      <c r="DC12" s="13">
        <f>IF(預測IC!DC12&gt;預測IC!DC$26,1,0)</f>
        <v>1</v>
      </c>
      <c r="DD12" s="13">
        <f>IF(預測IC!DD12&gt;預測IC!DD$26,1,0)</f>
        <v>1</v>
      </c>
      <c r="DE12" s="13">
        <f>IF(預測IC!DE12&gt;預測IC!DE$26,1,0)</f>
        <v>0</v>
      </c>
      <c r="DF12" s="13">
        <f>IF(預測IC!DF12&gt;預測IC!DF$26,1,0)</f>
        <v>1</v>
      </c>
      <c r="DG12" s="13">
        <f>IF(預測IC!DG12&gt;預測IC!DG$26,1,0)</f>
        <v>0</v>
      </c>
      <c r="DH12" s="13">
        <f>IF(預測IC!DH12&gt;預測IC!DH$26,1,0)</f>
        <v>0</v>
      </c>
      <c r="DI12" s="13">
        <f>IF(預測IC!DI12&gt;預測IC!DI$26,1,0)</f>
        <v>0</v>
      </c>
      <c r="DJ12" s="13">
        <f>IF(預測IC!DJ12&gt;預測IC!DJ$26,1,0)</f>
        <v>1</v>
      </c>
      <c r="DK12" s="13">
        <f>IF(預測IC!DK12&gt;預測IC!DK$26,1,0)</f>
        <v>0</v>
      </c>
      <c r="DL12" s="13">
        <f>IF(預測IC!DL12&gt;預測IC!DL$26,1,0)</f>
        <v>0</v>
      </c>
      <c r="DM12" s="13">
        <f>IF(預測IC!DM12&gt;預測IC!DM$26,1,0)</f>
        <v>0</v>
      </c>
      <c r="DN12" s="13">
        <f>IF(預測IC!DN12&gt;預測IC!DN$26,1,0)</f>
        <v>1</v>
      </c>
      <c r="DO12" s="13">
        <f>IF(預測IC!DO12&gt;預測IC!DO$26,1,0)</f>
        <v>1</v>
      </c>
      <c r="DP12" s="13">
        <f>IF(預測IC!DP12&gt;預測IC!DP$26,1,0)</f>
        <v>1</v>
      </c>
      <c r="DQ12" s="13">
        <f>IF(預測IC!DQ12&gt;預測IC!DQ$26,1,0)</f>
        <v>0</v>
      </c>
      <c r="DR12" s="13">
        <f>IF(預測IC!DR12&gt;預測IC!DR$26,1,0)</f>
        <v>0</v>
      </c>
      <c r="DS12" s="13">
        <f>IF(預測IC!DS12&gt;預測IC!DS$26,1,0)</f>
        <v>0</v>
      </c>
      <c r="DT12" s="13">
        <f>IF(預測IC!DT12&gt;預測IC!DT$26,1,0)</f>
        <v>0</v>
      </c>
      <c r="DU12" s="13">
        <f>IF(預測IC!DU12&gt;預測IC!DU$26,1,0)</f>
        <v>0</v>
      </c>
      <c r="DV12" s="13">
        <f>IF(預測IC!DV12&gt;預測IC!DV$26,1,0)</f>
        <v>1</v>
      </c>
      <c r="DW12" s="13">
        <f>IF(預測IC!DW12&gt;預測IC!DW$26,1,0)</f>
        <v>1</v>
      </c>
      <c r="DX12" s="13">
        <f>IF(預測IC!DX12&gt;預測IC!DX$26,1,0)</f>
        <v>0</v>
      </c>
      <c r="DY12" s="13">
        <f>IF(預測IC!DY12&gt;預測IC!DY$26,1,0)</f>
        <v>1</v>
      </c>
      <c r="DZ12" s="13">
        <f>IF(預測IC!DZ12&gt;預測IC!DZ$26,1,0)</f>
        <v>0</v>
      </c>
      <c r="EA12" s="13">
        <f>IF(預測IC!EA12&gt;預測IC!EA$26,1,0)</f>
        <v>1</v>
      </c>
      <c r="EB12" s="13">
        <f>IF(預測IC!EB12&gt;預測IC!EB$26,1,0)</f>
        <v>0</v>
      </c>
      <c r="EC12" s="13">
        <f>IF(預測IC!EC12&gt;預測IC!EC$26,1,0)</f>
        <v>1</v>
      </c>
      <c r="ED12" s="13">
        <f>IF(預測IC!ED12&gt;預測IC!ED$26,1,0)</f>
        <v>0</v>
      </c>
      <c r="EE12" s="13">
        <f>IF(預測IC!EE12&gt;預測IC!EE$26,1,0)</f>
        <v>0</v>
      </c>
      <c r="EF12" s="13">
        <f>IF(預測IC!EF12&gt;預測IC!EF$26,1,0)</f>
        <v>1</v>
      </c>
      <c r="EG12">
        <f t="shared" ref="EG12:EG24" si="10">SUM(C12:EF12)</f>
        <v>66</v>
      </c>
      <c r="EH12" s="10">
        <f t="shared" ref="EH12:EH24" si="11">SUM(C12:EF12)/134</f>
        <v>0.4925373134328358</v>
      </c>
    </row>
    <row r="13" spans="1:138">
      <c r="A13" s="2">
        <v>20</v>
      </c>
      <c r="B13" s="2">
        <v>48</v>
      </c>
      <c r="C13" s="13">
        <f>IF(預測IC!C13&gt;預測IC!C$26,1,0)</f>
        <v>1</v>
      </c>
      <c r="D13" s="13">
        <f>IF(預測IC!D13&gt;預測IC!D$26,1,0)</f>
        <v>1</v>
      </c>
      <c r="E13" s="13">
        <f>IF(預測IC!E13&gt;預測IC!E$26,1,0)</f>
        <v>0</v>
      </c>
      <c r="F13" s="13">
        <f>IF(預測IC!F13&gt;預測IC!F$26,1,0)</f>
        <v>0</v>
      </c>
      <c r="G13" s="13">
        <f>IF(預測IC!G13&gt;預測IC!G$26,1,0)</f>
        <v>0</v>
      </c>
      <c r="H13" s="13">
        <f>IF(預測IC!H13&gt;預測IC!H$26,1,0)</f>
        <v>0</v>
      </c>
      <c r="I13" s="13">
        <f>IF(預測IC!I13&gt;預測IC!I$26,1,0)</f>
        <v>1</v>
      </c>
      <c r="J13" s="13">
        <f>IF(預測IC!J13&gt;預測IC!J$26,1,0)</f>
        <v>0</v>
      </c>
      <c r="K13" s="13">
        <f>IF(預測IC!K13&gt;預測IC!K$26,1,0)</f>
        <v>1</v>
      </c>
      <c r="L13" s="13">
        <f>IF(預測IC!L13&gt;預測IC!L$26,1,0)</f>
        <v>0</v>
      </c>
      <c r="M13" s="13">
        <f>IF(預測IC!M13&gt;預測IC!M$26,1,0)</f>
        <v>1</v>
      </c>
      <c r="N13" s="13">
        <f>IF(預測IC!N13&gt;預測IC!N$26,1,0)</f>
        <v>1</v>
      </c>
      <c r="O13" s="13">
        <f>IF(預測IC!O13&gt;預測IC!O$26,1,0)</f>
        <v>1</v>
      </c>
      <c r="P13" s="13">
        <f>IF(預測IC!P13&gt;預測IC!P$26,1,0)</f>
        <v>0</v>
      </c>
      <c r="Q13" s="13">
        <f>IF(預測IC!Q13&gt;預測IC!Q$26,1,0)</f>
        <v>1</v>
      </c>
      <c r="R13" s="13">
        <f>IF(預測IC!R13&gt;預測IC!R$26,1,0)</f>
        <v>0</v>
      </c>
      <c r="S13" s="13">
        <f>IF(預測IC!S13&gt;預測IC!S$26,1,0)</f>
        <v>0</v>
      </c>
      <c r="T13" s="13">
        <f>IF(預測IC!T13&gt;預測IC!T$26,1,0)</f>
        <v>1</v>
      </c>
      <c r="U13" s="13">
        <f>IF(預測IC!U13&gt;預測IC!U$26,1,0)</f>
        <v>1</v>
      </c>
      <c r="V13" s="13">
        <f>IF(預測IC!V13&gt;預測IC!V$26,1,0)</f>
        <v>1</v>
      </c>
      <c r="W13" s="13">
        <f>IF(預測IC!W13&gt;預測IC!W$26,1,0)</f>
        <v>1</v>
      </c>
      <c r="X13" s="13">
        <f>IF(預測IC!X13&gt;預測IC!X$26,1,0)</f>
        <v>1</v>
      </c>
      <c r="Y13" s="13">
        <f>IF(預測IC!Y13&gt;預測IC!Y$26,1,0)</f>
        <v>1</v>
      </c>
      <c r="Z13" s="13">
        <f>IF(預測IC!Z13&gt;預測IC!Z$26,1,0)</f>
        <v>1</v>
      </c>
      <c r="AA13" s="13">
        <f>IF(預測IC!AA13&gt;預測IC!AA$26,1,0)</f>
        <v>0</v>
      </c>
      <c r="AB13" s="13">
        <f>IF(預測IC!AB13&gt;預測IC!AB$26,1,0)</f>
        <v>0</v>
      </c>
      <c r="AC13" s="13">
        <f>IF(預測IC!AC13&gt;預測IC!AC$26,1,0)</f>
        <v>0</v>
      </c>
      <c r="AD13" s="13">
        <f>IF(預測IC!AD13&gt;預測IC!AD$26,1,0)</f>
        <v>1</v>
      </c>
      <c r="AE13" s="13">
        <f>IF(預測IC!AE13&gt;預測IC!AE$26,1,0)</f>
        <v>0</v>
      </c>
      <c r="AF13" s="13">
        <f>IF(預測IC!AF13&gt;預測IC!AF$26,1,0)</f>
        <v>0</v>
      </c>
      <c r="AG13" s="13">
        <f>IF(預測IC!AG13&gt;預測IC!AG$26,1,0)</f>
        <v>0</v>
      </c>
      <c r="AH13" s="13">
        <f>IF(預測IC!AH13&gt;預測IC!AH$26,1,0)</f>
        <v>0</v>
      </c>
      <c r="AI13" s="13">
        <f>IF(預測IC!AI13&gt;預測IC!AI$26,1,0)</f>
        <v>1</v>
      </c>
      <c r="AJ13" s="13">
        <f>IF(預測IC!AJ13&gt;預測IC!AJ$26,1,0)</f>
        <v>1</v>
      </c>
      <c r="AK13" s="13">
        <f>IF(預測IC!AK13&gt;預測IC!AK$26,1,0)</f>
        <v>1</v>
      </c>
      <c r="AL13" s="13">
        <f>IF(預測IC!AL13&gt;預測IC!AL$26,1,0)</f>
        <v>1</v>
      </c>
      <c r="AM13" s="13">
        <f>IF(預測IC!AM13&gt;預測IC!AM$26,1,0)</f>
        <v>1</v>
      </c>
      <c r="AN13" s="13">
        <f>IF(預測IC!AN13&gt;預測IC!AN$26,1,0)</f>
        <v>1</v>
      </c>
      <c r="AO13" s="13">
        <f>IF(預測IC!AO13&gt;預測IC!AO$26,1,0)</f>
        <v>1</v>
      </c>
      <c r="AP13" s="13">
        <f>IF(預測IC!AP13&gt;預測IC!AP$26,1,0)</f>
        <v>0</v>
      </c>
      <c r="AQ13" s="13">
        <f>IF(預測IC!AQ13&gt;預測IC!AQ$26,1,0)</f>
        <v>0</v>
      </c>
      <c r="AR13" s="13">
        <f>IF(預測IC!AR13&gt;預測IC!AR$26,1,0)</f>
        <v>0</v>
      </c>
      <c r="AS13" s="13">
        <f>IF(預測IC!AS13&gt;預測IC!AS$26,1,0)</f>
        <v>1</v>
      </c>
      <c r="AT13" s="13">
        <f>IF(預測IC!AT13&gt;預測IC!AT$26,1,0)</f>
        <v>1</v>
      </c>
      <c r="AU13" s="13">
        <f>IF(預測IC!AU13&gt;預測IC!AU$26,1,0)</f>
        <v>1</v>
      </c>
      <c r="AV13" s="13">
        <f>IF(預測IC!AV13&gt;預測IC!AV$26,1,0)</f>
        <v>0</v>
      </c>
      <c r="AW13" s="13">
        <f>IF(預測IC!AW13&gt;預測IC!AW$26,1,0)</f>
        <v>1</v>
      </c>
      <c r="AX13" s="13">
        <f>IF(預測IC!AX13&gt;預測IC!AX$26,1,0)</f>
        <v>0</v>
      </c>
      <c r="AY13" s="13">
        <f>IF(預測IC!AY13&gt;預測IC!AY$26,1,0)</f>
        <v>0</v>
      </c>
      <c r="AZ13" s="13">
        <f>IF(預測IC!AZ13&gt;預測IC!AZ$26,1,0)</f>
        <v>1</v>
      </c>
      <c r="BA13" s="13">
        <f>IF(預測IC!BA13&gt;預測IC!BA$26,1,0)</f>
        <v>0</v>
      </c>
      <c r="BB13" s="13">
        <f>IF(預測IC!BB13&gt;預測IC!BB$26,1,0)</f>
        <v>1</v>
      </c>
      <c r="BC13" s="13">
        <f>IF(預測IC!BC13&gt;預測IC!BC$26,1,0)</f>
        <v>0</v>
      </c>
      <c r="BD13" s="13">
        <f>IF(預測IC!BD13&gt;預測IC!BD$26,1,0)</f>
        <v>1</v>
      </c>
      <c r="BE13" s="13">
        <f>IF(預測IC!BE13&gt;預測IC!BE$26,1,0)</f>
        <v>1</v>
      </c>
      <c r="BF13" s="13">
        <f>IF(預測IC!BF13&gt;預測IC!BF$26,1,0)</f>
        <v>1</v>
      </c>
      <c r="BG13" s="13">
        <f>IF(預測IC!BG13&gt;預測IC!BG$26,1,0)</f>
        <v>1</v>
      </c>
      <c r="BH13" s="13">
        <f>IF(預測IC!BH13&gt;預測IC!BH$26,1,0)</f>
        <v>1</v>
      </c>
      <c r="BI13" s="13">
        <f>IF(預測IC!BI13&gt;預測IC!BI$26,1,0)</f>
        <v>1</v>
      </c>
      <c r="BJ13" s="13">
        <f>IF(預測IC!BJ13&gt;預測IC!BJ$26,1,0)</f>
        <v>0</v>
      </c>
      <c r="BK13" s="13">
        <f>IF(預測IC!BK13&gt;預測IC!BK$26,1,0)</f>
        <v>0</v>
      </c>
      <c r="BL13" s="13">
        <f>IF(預測IC!BL13&gt;預測IC!BL$26,1,0)</f>
        <v>0</v>
      </c>
      <c r="BM13" s="13">
        <f>IF(預測IC!BM13&gt;預測IC!BM$26,1,0)</f>
        <v>0</v>
      </c>
      <c r="BN13" s="13">
        <f>IF(預測IC!BN13&gt;預測IC!BN$26,1,0)</f>
        <v>0</v>
      </c>
      <c r="BO13" s="13">
        <f>IF(預測IC!BO13&gt;預測IC!BO$26,1,0)</f>
        <v>1</v>
      </c>
      <c r="BP13" s="13">
        <f>IF(預測IC!BP13&gt;預測IC!BP$26,1,0)</f>
        <v>0</v>
      </c>
      <c r="BQ13" s="13">
        <f>IF(預測IC!BQ13&gt;預測IC!BQ$26,1,0)</f>
        <v>1</v>
      </c>
      <c r="BR13" s="13">
        <f>IF(預測IC!BR13&gt;預測IC!BR$26,1,0)</f>
        <v>1</v>
      </c>
      <c r="BS13" s="13">
        <f>IF(預測IC!BS13&gt;預測IC!BS$26,1,0)</f>
        <v>0</v>
      </c>
      <c r="BT13" s="13">
        <f>IF(預測IC!BT13&gt;預測IC!BT$26,1,0)</f>
        <v>0</v>
      </c>
      <c r="BU13" s="13">
        <f>IF(預測IC!BU13&gt;預測IC!BU$26,1,0)</f>
        <v>1</v>
      </c>
      <c r="BV13" s="13">
        <f>IF(預測IC!BV13&gt;預測IC!BV$26,1,0)</f>
        <v>0</v>
      </c>
      <c r="BW13" s="13">
        <f>IF(預測IC!BW13&gt;預測IC!BW$26,1,0)</f>
        <v>1</v>
      </c>
      <c r="BX13" s="13">
        <f>IF(預測IC!BX13&gt;預測IC!BX$26,1,0)</f>
        <v>1</v>
      </c>
      <c r="BY13" s="13">
        <f>IF(預測IC!BY13&gt;預測IC!BY$26,1,0)</f>
        <v>1</v>
      </c>
      <c r="BZ13" s="13">
        <f>IF(預測IC!BZ13&gt;預測IC!BZ$26,1,0)</f>
        <v>0</v>
      </c>
      <c r="CA13" s="13">
        <f>IF(預測IC!CA13&gt;預測IC!CA$26,1,0)</f>
        <v>1</v>
      </c>
      <c r="CB13" s="13">
        <f>IF(預測IC!CB13&gt;預測IC!CB$26,1,0)</f>
        <v>0</v>
      </c>
      <c r="CC13" s="13">
        <f>IF(預測IC!CC13&gt;預測IC!CC$26,1,0)</f>
        <v>0</v>
      </c>
      <c r="CD13" s="13">
        <f>IF(預測IC!CD13&gt;預測IC!CD$26,1,0)</f>
        <v>1</v>
      </c>
      <c r="CE13" s="13">
        <f>IF(預測IC!CE13&gt;預測IC!CE$26,1,0)</f>
        <v>1</v>
      </c>
      <c r="CF13" s="13">
        <f>IF(預測IC!CF13&gt;預測IC!CF$26,1,0)</f>
        <v>1</v>
      </c>
      <c r="CG13" s="13">
        <f>IF(預測IC!CG13&gt;預測IC!CG$26,1,0)</f>
        <v>0</v>
      </c>
      <c r="CH13" s="13">
        <f>IF(預測IC!CH13&gt;預測IC!CH$26,1,0)</f>
        <v>0</v>
      </c>
      <c r="CI13" s="13">
        <f>IF(預測IC!CI13&gt;預測IC!CI$26,1,0)</f>
        <v>0</v>
      </c>
      <c r="CJ13" s="13">
        <f>IF(預測IC!CJ13&gt;預測IC!CJ$26,1,0)</f>
        <v>0</v>
      </c>
      <c r="CK13" s="13">
        <f>IF(預測IC!CK13&gt;預測IC!CK$26,1,0)</f>
        <v>1</v>
      </c>
      <c r="CL13" s="13">
        <f>IF(預測IC!CL13&gt;預測IC!CL$26,1,0)</f>
        <v>1</v>
      </c>
      <c r="CM13" s="13">
        <f>IF(預測IC!CM13&gt;預測IC!CM$26,1,0)</f>
        <v>1</v>
      </c>
      <c r="CN13" s="13">
        <f>IF(預測IC!CN13&gt;預測IC!CN$26,1,0)</f>
        <v>0</v>
      </c>
      <c r="CO13" s="13">
        <f>IF(預測IC!CO13&gt;預測IC!CO$26,1,0)</f>
        <v>1</v>
      </c>
      <c r="CP13" s="13">
        <f>IF(預測IC!CP13&gt;預測IC!CP$26,1,0)</f>
        <v>1</v>
      </c>
      <c r="CQ13" s="13">
        <f>IF(預測IC!CQ13&gt;預測IC!CQ$26,1,0)</f>
        <v>1</v>
      </c>
      <c r="CR13" s="13">
        <f>IF(預測IC!CR13&gt;預測IC!CR$26,1,0)</f>
        <v>1</v>
      </c>
      <c r="CS13" s="13">
        <f>IF(預測IC!CS13&gt;預測IC!CS$26,1,0)</f>
        <v>0</v>
      </c>
      <c r="CT13" s="13">
        <f>IF(預測IC!CT13&gt;預測IC!CT$26,1,0)</f>
        <v>0</v>
      </c>
      <c r="CU13" s="13">
        <f>IF(預測IC!CU13&gt;預測IC!CU$26,1,0)</f>
        <v>1</v>
      </c>
      <c r="CV13" s="13">
        <f>IF(預測IC!CV13&gt;預測IC!CV$26,1,0)</f>
        <v>0</v>
      </c>
      <c r="CW13" s="13">
        <f>IF(預測IC!CW13&gt;預測IC!CW$26,1,0)</f>
        <v>1</v>
      </c>
      <c r="CX13" s="13">
        <f>IF(預測IC!CX13&gt;預測IC!CX$26,1,0)</f>
        <v>1</v>
      </c>
      <c r="CY13" s="13">
        <f>IF(預測IC!CY13&gt;預測IC!CY$26,1,0)</f>
        <v>0</v>
      </c>
      <c r="CZ13" s="13">
        <f>IF(預測IC!CZ13&gt;預測IC!CZ$26,1,0)</f>
        <v>1</v>
      </c>
      <c r="DA13" s="13">
        <f>IF(預測IC!DA13&gt;預測IC!DA$26,1,0)</f>
        <v>0</v>
      </c>
      <c r="DB13" s="13">
        <f>IF(預測IC!DB13&gt;預測IC!DB$26,1,0)</f>
        <v>0</v>
      </c>
      <c r="DC13" s="13">
        <f>IF(預測IC!DC13&gt;預測IC!DC$26,1,0)</f>
        <v>1</v>
      </c>
      <c r="DD13" s="13">
        <f>IF(預測IC!DD13&gt;預測IC!DD$26,1,0)</f>
        <v>1</v>
      </c>
      <c r="DE13" s="13">
        <f>IF(預測IC!DE13&gt;預測IC!DE$26,1,0)</f>
        <v>0</v>
      </c>
      <c r="DF13" s="13">
        <f>IF(預測IC!DF13&gt;預測IC!DF$26,1,0)</f>
        <v>1</v>
      </c>
      <c r="DG13" s="13">
        <f>IF(預測IC!DG13&gt;預測IC!DG$26,1,0)</f>
        <v>0</v>
      </c>
      <c r="DH13" s="13">
        <f>IF(預測IC!DH13&gt;預測IC!DH$26,1,0)</f>
        <v>0</v>
      </c>
      <c r="DI13" s="13">
        <f>IF(預測IC!DI13&gt;預測IC!DI$26,1,0)</f>
        <v>0</v>
      </c>
      <c r="DJ13" s="13">
        <f>IF(預測IC!DJ13&gt;預測IC!DJ$26,1,0)</f>
        <v>1</v>
      </c>
      <c r="DK13" s="13">
        <f>IF(預測IC!DK13&gt;預測IC!DK$26,1,0)</f>
        <v>0</v>
      </c>
      <c r="DL13" s="13">
        <f>IF(預測IC!DL13&gt;預測IC!DL$26,1,0)</f>
        <v>0</v>
      </c>
      <c r="DM13" s="13">
        <f>IF(預測IC!DM13&gt;預測IC!DM$26,1,0)</f>
        <v>0</v>
      </c>
      <c r="DN13" s="13">
        <f>IF(預測IC!DN13&gt;預測IC!DN$26,1,0)</f>
        <v>1</v>
      </c>
      <c r="DO13" s="13">
        <f>IF(預測IC!DO13&gt;預測IC!DO$26,1,0)</f>
        <v>1</v>
      </c>
      <c r="DP13" s="13">
        <f>IF(預測IC!DP13&gt;預測IC!DP$26,1,0)</f>
        <v>1</v>
      </c>
      <c r="DQ13" s="13">
        <f>IF(預測IC!DQ13&gt;預測IC!DQ$26,1,0)</f>
        <v>0</v>
      </c>
      <c r="DR13" s="13">
        <f>IF(預測IC!DR13&gt;預測IC!DR$26,1,0)</f>
        <v>0</v>
      </c>
      <c r="DS13" s="13">
        <f>IF(預測IC!DS13&gt;預測IC!DS$26,1,0)</f>
        <v>0</v>
      </c>
      <c r="DT13" s="13">
        <f>IF(預測IC!DT13&gt;預測IC!DT$26,1,0)</f>
        <v>0</v>
      </c>
      <c r="DU13" s="13">
        <f>IF(預測IC!DU13&gt;預測IC!DU$26,1,0)</f>
        <v>0</v>
      </c>
      <c r="DV13" s="13">
        <f>IF(預測IC!DV13&gt;預測IC!DV$26,1,0)</f>
        <v>1</v>
      </c>
      <c r="DW13" s="13">
        <f>IF(預測IC!DW13&gt;預測IC!DW$26,1,0)</f>
        <v>1</v>
      </c>
      <c r="DX13" s="13">
        <f>IF(預測IC!DX13&gt;預測IC!DX$26,1,0)</f>
        <v>0</v>
      </c>
      <c r="DY13" s="13">
        <f>IF(預測IC!DY13&gt;預測IC!DY$26,1,0)</f>
        <v>1</v>
      </c>
      <c r="DZ13" s="13">
        <f>IF(預測IC!DZ13&gt;預測IC!DZ$26,1,0)</f>
        <v>0</v>
      </c>
      <c r="EA13" s="13">
        <f>IF(預測IC!EA13&gt;預測IC!EA$26,1,0)</f>
        <v>1</v>
      </c>
      <c r="EB13" s="13">
        <f>IF(預測IC!EB13&gt;預測IC!EB$26,1,0)</f>
        <v>0</v>
      </c>
      <c r="EC13" s="13">
        <f>IF(預測IC!EC13&gt;預測IC!EC$26,1,0)</f>
        <v>1</v>
      </c>
      <c r="ED13" s="13">
        <f>IF(預測IC!ED13&gt;預測IC!ED$26,1,0)</f>
        <v>0</v>
      </c>
      <c r="EE13" s="13">
        <f>IF(預測IC!EE13&gt;預測IC!EE$26,1,0)</f>
        <v>0</v>
      </c>
      <c r="EF13" s="13">
        <f>IF(預測IC!EF13&gt;預測IC!EF$26,1,0)</f>
        <v>1</v>
      </c>
      <c r="EG13">
        <f t="shared" si="10"/>
        <v>70</v>
      </c>
      <c r="EH13" s="11">
        <f t="shared" si="11"/>
        <v>0.52238805970149249</v>
      </c>
    </row>
    <row r="14" spans="1:138">
      <c r="A14" s="2">
        <v>50</v>
      </c>
      <c r="B14" s="2">
        <v>19</v>
      </c>
      <c r="C14" s="13">
        <f>IF(預測IC!C14&gt;預測IC!C$26,1,0)</f>
        <v>0</v>
      </c>
      <c r="D14" s="13">
        <f>IF(預測IC!D14&gt;預測IC!D$26,1,0)</f>
        <v>1</v>
      </c>
      <c r="E14" s="13">
        <f>IF(預測IC!E14&gt;預測IC!E$26,1,0)</f>
        <v>0</v>
      </c>
      <c r="F14" s="13">
        <f>IF(預測IC!F14&gt;預測IC!F$26,1,0)</f>
        <v>1</v>
      </c>
      <c r="G14" s="13">
        <f>IF(預測IC!G14&gt;預測IC!G$26,1,0)</f>
        <v>0</v>
      </c>
      <c r="H14" s="13">
        <f>IF(預測IC!H14&gt;預測IC!H$26,1,0)</f>
        <v>1</v>
      </c>
      <c r="I14" s="13">
        <f>IF(預測IC!I14&gt;預測IC!I$26,1,0)</f>
        <v>1</v>
      </c>
      <c r="J14" s="13">
        <f>IF(預測IC!J14&gt;預測IC!J$26,1,0)</f>
        <v>0</v>
      </c>
      <c r="K14" s="13">
        <f>IF(預測IC!K14&gt;預測IC!K$26,1,0)</f>
        <v>0</v>
      </c>
      <c r="L14" s="13">
        <f>IF(預測IC!L14&gt;預測IC!L$26,1,0)</f>
        <v>1</v>
      </c>
      <c r="M14" s="13">
        <f>IF(預測IC!M14&gt;預測IC!M$26,1,0)</f>
        <v>0</v>
      </c>
      <c r="N14" s="13">
        <f>IF(預測IC!N14&gt;預測IC!N$26,1,0)</f>
        <v>1</v>
      </c>
      <c r="O14" s="13">
        <f>IF(預測IC!O14&gt;預測IC!O$26,1,0)</f>
        <v>1</v>
      </c>
      <c r="P14" s="13">
        <f>IF(預測IC!P14&gt;預測IC!P$26,1,0)</f>
        <v>1</v>
      </c>
      <c r="Q14" s="13">
        <f>IF(預測IC!Q14&gt;預測IC!Q$26,1,0)</f>
        <v>1</v>
      </c>
      <c r="R14" s="13">
        <f>IF(預測IC!R14&gt;預測IC!R$26,1,0)</f>
        <v>0</v>
      </c>
      <c r="S14" s="13">
        <f>IF(預測IC!S14&gt;預測IC!S$26,1,0)</f>
        <v>1</v>
      </c>
      <c r="T14" s="13">
        <f>IF(預測IC!T14&gt;預測IC!T$26,1,0)</f>
        <v>1</v>
      </c>
      <c r="U14" s="13">
        <f>IF(預測IC!U14&gt;預測IC!U$26,1,0)</f>
        <v>1</v>
      </c>
      <c r="V14" s="13">
        <f>IF(預測IC!V14&gt;預測IC!V$26,1,0)</f>
        <v>1</v>
      </c>
      <c r="W14" s="13">
        <f>IF(預測IC!W14&gt;預測IC!W$26,1,0)</f>
        <v>1</v>
      </c>
      <c r="X14" s="13">
        <f>IF(預測IC!X14&gt;預測IC!X$26,1,0)</f>
        <v>1</v>
      </c>
      <c r="Y14" s="13">
        <f>IF(預測IC!Y14&gt;預測IC!Y$26,1,0)</f>
        <v>1</v>
      </c>
      <c r="Z14" s="13">
        <f>IF(預測IC!Z14&gt;預測IC!Z$26,1,0)</f>
        <v>1</v>
      </c>
      <c r="AA14" s="13">
        <f>IF(預測IC!AA14&gt;預測IC!AA$26,1,0)</f>
        <v>0</v>
      </c>
      <c r="AB14" s="13">
        <f>IF(預測IC!AB14&gt;預測IC!AB$26,1,0)</f>
        <v>0</v>
      </c>
      <c r="AC14" s="13">
        <f>IF(預測IC!AC14&gt;預測IC!AC$26,1,0)</f>
        <v>0</v>
      </c>
      <c r="AD14" s="13">
        <f>IF(預測IC!AD14&gt;預測IC!AD$26,1,0)</f>
        <v>1</v>
      </c>
      <c r="AE14" s="13">
        <f>IF(預測IC!AE14&gt;預測IC!AE$26,1,0)</f>
        <v>0</v>
      </c>
      <c r="AF14" s="13">
        <f>IF(預測IC!AF14&gt;預測IC!AF$26,1,0)</f>
        <v>0</v>
      </c>
      <c r="AG14" s="13">
        <f>IF(預測IC!AG14&gt;預測IC!AG$26,1,0)</f>
        <v>0</v>
      </c>
      <c r="AH14" s="13">
        <f>IF(預測IC!AH14&gt;預測IC!AH$26,1,0)</f>
        <v>0</v>
      </c>
      <c r="AI14" s="13">
        <f>IF(預測IC!AI14&gt;預測IC!AI$26,1,0)</f>
        <v>1</v>
      </c>
      <c r="AJ14" s="13">
        <f>IF(預測IC!AJ14&gt;預測IC!AJ$26,1,0)</f>
        <v>1</v>
      </c>
      <c r="AK14" s="13">
        <f>IF(預測IC!AK14&gt;預測IC!AK$26,1,0)</f>
        <v>0</v>
      </c>
      <c r="AL14" s="13">
        <f>IF(預測IC!AL14&gt;預測IC!AL$26,1,0)</f>
        <v>1</v>
      </c>
      <c r="AM14" s="13">
        <f>IF(預測IC!AM14&gt;預測IC!AM$26,1,0)</f>
        <v>1</v>
      </c>
      <c r="AN14" s="13">
        <f>IF(預測IC!AN14&gt;預測IC!AN$26,1,0)</f>
        <v>1</v>
      </c>
      <c r="AO14" s="13">
        <f>IF(預測IC!AO14&gt;預測IC!AO$26,1,0)</f>
        <v>1</v>
      </c>
      <c r="AP14" s="13">
        <f>IF(預測IC!AP14&gt;預測IC!AP$26,1,0)</f>
        <v>1</v>
      </c>
      <c r="AQ14" s="13">
        <f>IF(預測IC!AQ14&gt;預測IC!AQ$26,1,0)</f>
        <v>0</v>
      </c>
      <c r="AR14" s="13">
        <f>IF(預測IC!AR14&gt;預測IC!AR$26,1,0)</f>
        <v>1</v>
      </c>
      <c r="AS14" s="13">
        <f>IF(預測IC!AS14&gt;預測IC!AS$26,1,0)</f>
        <v>1</v>
      </c>
      <c r="AT14" s="13">
        <f>IF(預測IC!AT14&gt;預測IC!AT$26,1,0)</f>
        <v>1</v>
      </c>
      <c r="AU14" s="13">
        <f>IF(預測IC!AU14&gt;預測IC!AU$26,1,0)</f>
        <v>1</v>
      </c>
      <c r="AV14" s="13">
        <f>IF(預測IC!AV14&gt;預測IC!AV$26,1,0)</f>
        <v>0</v>
      </c>
      <c r="AW14" s="13">
        <f>IF(預測IC!AW14&gt;預測IC!AW$26,1,0)</f>
        <v>1</v>
      </c>
      <c r="AX14" s="13">
        <f>IF(預測IC!AX14&gt;預測IC!AX$26,1,0)</f>
        <v>0</v>
      </c>
      <c r="AY14" s="13">
        <f>IF(預測IC!AY14&gt;預測IC!AY$26,1,0)</f>
        <v>0</v>
      </c>
      <c r="AZ14" s="13">
        <f>IF(預測IC!AZ14&gt;預測IC!AZ$26,1,0)</f>
        <v>0</v>
      </c>
      <c r="BA14" s="13">
        <f>IF(預測IC!BA14&gt;預測IC!BA$26,1,0)</f>
        <v>1</v>
      </c>
      <c r="BB14" s="13">
        <f>IF(預測IC!BB14&gt;預測IC!BB$26,1,0)</f>
        <v>1</v>
      </c>
      <c r="BC14" s="13">
        <f>IF(預測IC!BC14&gt;預測IC!BC$26,1,0)</f>
        <v>0</v>
      </c>
      <c r="BD14" s="13">
        <f>IF(預測IC!BD14&gt;預測IC!BD$26,1,0)</f>
        <v>1</v>
      </c>
      <c r="BE14" s="13">
        <f>IF(預測IC!BE14&gt;預測IC!BE$26,1,0)</f>
        <v>1</v>
      </c>
      <c r="BF14" s="13">
        <f>IF(預測IC!BF14&gt;預測IC!BF$26,1,0)</f>
        <v>1</v>
      </c>
      <c r="BG14" s="13">
        <f>IF(預測IC!BG14&gt;預測IC!BG$26,1,0)</f>
        <v>1</v>
      </c>
      <c r="BH14" s="13">
        <f>IF(預測IC!BH14&gt;預測IC!BH$26,1,0)</f>
        <v>1</v>
      </c>
      <c r="BI14" s="13">
        <f>IF(預測IC!BI14&gt;預測IC!BI$26,1,0)</f>
        <v>1</v>
      </c>
      <c r="BJ14" s="13">
        <f>IF(預測IC!BJ14&gt;預測IC!BJ$26,1,0)</f>
        <v>0</v>
      </c>
      <c r="BK14" s="13">
        <f>IF(預測IC!BK14&gt;預測IC!BK$26,1,0)</f>
        <v>0</v>
      </c>
      <c r="BL14" s="13">
        <f>IF(預測IC!BL14&gt;預測IC!BL$26,1,0)</f>
        <v>1</v>
      </c>
      <c r="BM14" s="13">
        <f>IF(預測IC!BM14&gt;預測IC!BM$26,1,0)</f>
        <v>1</v>
      </c>
      <c r="BN14" s="13">
        <f>IF(預測IC!BN14&gt;預測IC!BN$26,1,0)</f>
        <v>0</v>
      </c>
      <c r="BO14" s="13">
        <f>IF(預測IC!BO14&gt;預測IC!BO$26,1,0)</f>
        <v>1</v>
      </c>
      <c r="BP14" s="13">
        <f>IF(預測IC!BP14&gt;預測IC!BP$26,1,0)</f>
        <v>0</v>
      </c>
      <c r="BQ14" s="13">
        <f>IF(預測IC!BQ14&gt;預測IC!BQ$26,1,0)</f>
        <v>1</v>
      </c>
      <c r="BR14" s="13">
        <f>IF(預測IC!BR14&gt;預測IC!BR$26,1,0)</f>
        <v>0</v>
      </c>
      <c r="BS14" s="13">
        <f>IF(預測IC!BS14&gt;預測IC!BS$26,1,0)</f>
        <v>0</v>
      </c>
      <c r="BT14" s="13">
        <f>IF(預測IC!BT14&gt;預測IC!BT$26,1,0)</f>
        <v>1</v>
      </c>
      <c r="BU14" s="13">
        <f>IF(預測IC!BU14&gt;預測IC!BU$26,1,0)</f>
        <v>0</v>
      </c>
      <c r="BV14" s="13">
        <f>IF(預測IC!BV14&gt;預測IC!BV$26,1,0)</f>
        <v>0</v>
      </c>
      <c r="BW14" s="13">
        <f>IF(預測IC!BW14&gt;預測IC!BW$26,1,0)</f>
        <v>1</v>
      </c>
      <c r="BX14" s="13">
        <f>IF(預測IC!BX14&gt;預測IC!BX$26,1,0)</f>
        <v>1</v>
      </c>
      <c r="BY14" s="13">
        <f>IF(預測IC!BY14&gt;預測IC!BY$26,1,0)</f>
        <v>1</v>
      </c>
      <c r="BZ14" s="13">
        <f>IF(預測IC!BZ14&gt;預測IC!BZ$26,1,0)</f>
        <v>0</v>
      </c>
      <c r="CA14" s="13">
        <f>IF(預測IC!CA14&gt;預測IC!CA$26,1,0)</f>
        <v>1</v>
      </c>
      <c r="CB14" s="13">
        <f>IF(預測IC!CB14&gt;預測IC!CB$26,1,0)</f>
        <v>0</v>
      </c>
      <c r="CC14" s="13">
        <f>IF(預測IC!CC14&gt;預測IC!CC$26,1,0)</f>
        <v>0</v>
      </c>
      <c r="CD14" s="13">
        <f>IF(預測IC!CD14&gt;預測IC!CD$26,1,0)</f>
        <v>1</v>
      </c>
      <c r="CE14" s="13">
        <f>IF(預測IC!CE14&gt;預測IC!CE$26,1,0)</f>
        <v>0</v>
      </c>
      <c r="CF14" s="13">
        <f>IF(預測IC!CF14&gt;預測IC!CF$26,1,0)</f>
        <v>1</v>
      </c>
      <c r="CG14" s="13">
        <f>IF(預測IC!CG14&gt;預測IC!CG$26,1,0)</f>
        <v>0</v>
      </c>
      <c r="CH14" s="13">
        <f>IF(預測IC!CH14&gt;預測IC!CH$26,1,0)</f>
        <v>0</v>
      </c>
      <c r="CI14" s="13">
        <f>IF(預測IC!CI14&gt;預測IC!CI$26,1,0)</f>
        <v>0</v>
      </c>
      <c r="CJ14" s="13">
        <f>IF(預測IC!CJ14&gt;預測IC!CJ$26,1,0)</f>
        <v>0</v>
      </c>
      <c r="CK14" s="13">
        <f>IF(預測IC!CK14&gt;預測IC!CK$26,1,0)</f>
        <v>0</v>
      </c>
      <c r="CL14" s="13">
        <f>IF(預測IC!CL14&gt;預測IC!CL$26,1,0)</f>
        <v>0</v>
      </c>
      <c r="CM14" s="13">
        <f>IF(預測IC!CM14&gt;預測IC!CM$26,1,0)</f>
        <v>1</v>
      </c>
      <c r="CN14" s="13">
        <f>IF(預測IC!CN14&gt;預測IC!CN$26,1,0)</f>
        <v>0</v>
      </c>
      <c r="CO14" s="13">
        <f>IF(預測IC!CO14&gt;預測IC!CO$26,1,0)</f>
        <v>0</v>
      </c>
      <c r="CP14" s="13">
        <f>IF(預測IC!CP14&gt;預測IC!CP$26,1,0)</f>
        <v>1</v>
      </c>
      <c r="CQ14" s="13">
        <f>IF(預測IC!CQ14&gt;預測IC!CQ$26,1,0)</f>
        <v>1</v>
      </c>
      <c r="CR14" s="13">
        <f>IF(預測IC!CR14&gt;預測IC!CR$26,1,0)</f>
        <v>1</v>
      </c>
      <c r="CS14" s="13">
        <f>IF(預測IC!CS14&gt;預測IC!CS$26,1,0)</f>
        <v>1</v>
      </c>
      <c r="CT14" s="13">
        <f>IF(預測IC!CT14&gt;預測IC!CT$26,1,0)</f>
        <v>0</v>
      </c>
      <c r="CU14" s="13">
        <f>IF(預測IC!CU14&gt;預測IC!CU$26,1,0)</f>
        <v>0</v>
      </c>
      <c r="CV14" s="13">
        <f>IF(預測IC!CV14&gt;預測IC!CV$26,1,0)</f>
        <v>1</v>
      </c>
      <c r="CW14" s="13">
        <f>IF(預測IC!CW14&gt;預測IC!CW$26,1,0)</f>
        <v>0</v>
      </c>
      <c r="CX14" s="13">
        <f>IF(預測IC!CX14&gt;預測IC!CX$26,1,0)</f>
        <v>1</v>
      </c>
      <c r="CY14" s="13">
        <f>IF(預測IC!CY14&gt;預測IC!CY$26,1,0)</f>
        <v>0</v>
      </c>
      <c r="CZ14" s="13">
        <f>IF(預測IC!CZ14&gt;預測IC!CZ$26,1,0)</f>
        <v>1</v>
      </c>
      <c r="DA14" s="13">
        <f>IF(預測IC!DA14&gt;預測IC!DA$26,1,0)</f>
        <v>0</v>
      </c>
      <c r="DB14" s="13">
        <f>IF(預測IC!DB14&gt;預測IC!DB$26,1,0)</f>
        <v>0</v>
      </c>
      <c r="DC14" s="13">
        <f>IF(預測IC!DC14&gt;預測IC!DC$26,1,0)</f>
        <v>1</v>
      </c>
      <c r="DD14" s="13">
        <f>IF(預測IC!DD14&gt;預測IC!DD$26,1,0)</f>
        <v>1</v>
      </c>
      <c r="DE14" s="13">
        <f>IF(預測IC!DE14&gt;預測IC!DE$26,1,0)</f>
        <v>0</v>
      </c>
      <c r="DF14" s="13">
        <f>IF(預測IC!DF14&gt;預測IC!DF$26,1,0)</f>
        <v>1</v>
      </c>
      <c r="DG14" s="13">
        <f>IF(預測IC!DG14&gt;預測IC!DG$26,1,0)</f>
        <v>0</v>
      </c>
      <c r="DH14" s="13">
        <f>IF(預測IC!DH14&gt;預測IC!DH$26,1,0)</f>
        <v>0</v>
      </c>
      <c r="DI14" s="13">
        <f>IF(預測IC!DI14&gt;預測IC!DI$26,1,0)</f>
        <v>0</v>
      </c>
      <c r="DJ14" s="13">
        <f>IF(預測IC!DJ14&gt;預測IC!DJ$26,1,0)</f>
        <v>1</v>
      </c>
      <c r="DK14" s="13">
        <f>IF(預測IC!DK14&gt;預測IC!DK$26,1,0)</f>
        <v>0</v>
      </c>
      <c r="DL14" s="13">
        <f>IF(預測IC!DL14&gt;預測IC!DL$26,1,0)</f>
        <v>0</v>
      </c>
      <c r="DM14" s="13">
        <f>IF(預測IC!DM14&gt;預測IC!DM$26,1,0)</f>
        <v>0</v>
      </c>
      <c r="DN14" s="13">
        <f>IF(預測IC!DN14&gt;預測IC!DN$26,1,0)</f>
        <v>1</v>
      </c>
      <c r="DO14" s="13">
        <f>IF(預測IC!DO14&gt;預測IC!DO$26,1,0)</f>
        <v>1</v>
      </c>
      <c r="DP14" s="13">
        <f>IF(預測IC!DP14&gt;預測IC!DP$26,1,0)</f>
        <v>1</v>
      </c>
      <c r="DQ14" s="13">
        <f>IF(預測IC!DQ14&gt;預測IC!DQ$26,1,0)</f>
        <v>0</v>
      </c>
      <c r="DR14" s="13">
        <f>IF(預測IC!DR14&gt;預測IC!DR$26,1,0)</f>
        <v>1</v>
      </c>
      <c r="DS14" s="13">
        <f>IF(預測IC!DS14&gt;預測IC!DS$26,1,0)</f>
        <v>0</v>
      </c>
      <c r="DT14" s="13">
        <f>IF(預測IC!DT14&gt;預測IC!DT$26,1,0)</f>
        <v>0</v>
      </c>
      <c r="DU14" s="13">
        <f>IF(預測IC!DU14&gt;預測IC!DU$26,1,0)</f>
        <v>0</v>
      </c>
      <c r="DV14" s="13">
        <f>IF(預測IC!DV14&gt;預測IC!DV$26,1,0)</f>
        <v>1</v>
      </c>
      <c r="DW14" s="13">
        <f>IF(預測IC!DW14&gt;預測IC!DW$26,1,0)</f>
        <v>1</v>
      </c>
      <c r="DX14" s="13">
        <f>IF(預測IC!DX14&gt;預測IC!DX$26,1,0)</f>
        <v>0</v>
      </c>
      <c r="DY14" s="13">
        <f>IF(預測IC!DY14&gt;預測IC!DY$26,1,0)</f>
        <v>1</v>
      </c>
      <c r="DZ14" s="13">
        <f>IF(預測IC!DZ14&gt;預測IC!DZ$26,1,0)</f>
        <v>0</v>
      </c>
      <c r="EA14" s="13">
        <f>IF(預測IC!EA14&gt;預測IC!EA$26,1,0)</f>
        <v>1</v>
      </c>
      <c r="EB14" s="13">
        <f>IF(預測IC!EB14&gt;預測IC!EB$26,1,0)</f>
        <v>1</v>
      </c>
      <c r="EC14" s="13">
        <f>IF(預測IC!EC14&gt;預測IC!EC$26,1,0)</f>
        <v>1</v>
      </c>
      <c r="ED14" s="13">
        <f>IF(預測IC!ED14&gt;預測IC!ED$26,1,0)</f>
        <v>0</v>
      </c>
      <c r="EE14" s="13">
        <f>IF(預測IC!EE14&gt;預測IC!EE$26,1,0)</f>
        <v>0</v>
      </c>
      <c r="EF14" s="13">
        <f>IF(預測IC!EF14&gt;預測IC!EF$26,1,0)</f>
        <v>1</v>
      </c>
      <c r="EG14">
        <f t="shared" si="10"/>
        <v>72</v>
      </c>
      <c r="EH14" s="11">
        <f t="shared" si="11"/>
        <v>0.53731343283582089</v>
      </c>
    </row>
    <row r="15" spans="1:138">
      <c r="A15" s="2">
        <v>100</v>
      </c>
      <c r="B15" s="2">
        <v>10</v>
      </c>
      <c r="C15" s="13">
        <f>IF(預測IC!C15&gt;預測IC!C$26,1,0)</f>
        <v>0</v>
      </c>
      <c r="D15" s="13">
        <f>IF(預測IC!D15&gt;預測IC!D$26,1,0)</f>
        <v>1</v>
      </c>
      <c r="E15" s="13">
        <f>IF(預測IC!E15&gt;預測IC!E$26,1,0)</f>
        <v>0</v>
      </c>
      <c r="F15" s="13">
        <f>IF(預測IC!F15&gt;預測IC!F$26,1,0)</f>
        <v>1</v>
      </c>
      <c r="G15" s="13">
        <f>IF(預測IC!G15&gt;預測IC!G$26,1,0)</f>
        <v>0</v>
      </c>
      <c r="H15" s="13">
        <f>IF(預測IC!H15&gt;預測IC!H$26,1,0)</f>
        <v>1</v>
      </c>
      <c r="I15" s="13">
        <f>IF(預測IC!I15&gt;預測IC!I$26,1,0)</f>
        <v>1</v>
      </c>
      <c r="J15" s="13">
        <f>IF(預測IC!J15&gt;預測IC!J$26,1,0)</f>
        <v>0</v>
      </c>
      <c r="K15" s="13">
        <f>IF(預測IC!K15&gt;預測IC!K$26,1,0)</f>
        <v>0</v>
      </c>
      <c r="L15" s="13">
        <f>IF(預測IC!L15&gt;預測IC!L$26,1,0)</f>
        <v>1</v>
      </c>
      <c r="M15" s="13">
        <f>IF(預測IC!M15&gt;預測IC!M$26,1,0)</f>
        <v>0</v>
      </c>
      <c r="N15" s="13">
        <f>IF(預測IC!N15&gt;預測IC!N$26,1,0)</f>
        <v>1</v>
      </c>
      <c r="O15" s="13">
        <f>IF(預測IC!O15&gt;預測IC!O$26,1,0)</f>
        <v>1</v>
      </c>
      <c r="P15" s="13">
        <f>IF(預測IC!P15&gt;預測IC!P$26,1,0)</f>
        <v>1</v>
      </c>
      <c r="Q15" s="13">
        <f>IF(預測IC!Q15&gt;預測IC!Q$26,1,0)</f>
        <v>1</v>
      </c>
      <c r="R15" s="13">
        <f>IF(預測IC!R15&gt;預測IC!R$26,1,0)</f>
        <v>0</v>
      </c>
      <c r="S15" s="13">
        <f>IF(預測IC!S15&gt;預測IC!S$26,1,0)</f>
        <v>0</v>
      </c>
      <c r="T15" s="13">
        <f>IF(預測IC!T15&gt;預測IC!T$26,1,0)</f>
        <v>0</v>
      </c>
      <c r="U15" s="13">
        <f>IF(預測IC!U15&gt;預測IC!U$26,1,0)</f>
        <v>1</v>
      </c>
      <c r="V15" s="13">
        <f>IF(預測IC!V15&gt;預測IC!V$26,1,0)</f>
        <v>0</v>
      </c>
      <c r="W15" s="13">
        <f>IF(預測IC!W15&gt;預測IC!W$26,1,0)</f>
        <v>1</v>
      </c>
      <c r="X15" s="13">
        <f>IF(預測IC!X15&gt;預測IC!X$26,1,0)</f>
        <v>1</v>
      </c>
      <c r="Y15" s="13">
        <f>IF(預測IC!Y15&gt;預測IC!Y$26,1,0)</f>
        <v>1</v>
      </c>
      <c r="Z15" s="13">
        <f>IF(預測IC!Z15&gt;預測IC!Z$26,1,0)</f>
        <v>0</v>
      </c>
      <c r="AA15" s="13">
        <f>IF(預測IC!AA15&gt;預測IC!AA$26,1,0)</f>
        <v>0</v>
      </c>
      <c r="AB15" s="13">
        <f>IF(預測IC!AB15&gt;預測IC!AB$26,1,0)</f>
        <v>0</v>
      </c>
      <c r="AC15" s="13">
        <f>IF(預測IC!AC15&gt;預測IC!AC$26,1,0)</f>
        <v>0</v>
      </c>
      <c r="AD15" s="13">
        <f>IF(預測IC!AD15&gt;預測IC!AD$26,1,0)</f>
        <v>1</v>
      </c>
      <c r="AE15" s="13">
        <f>IF(預測IC!AE15&gt;預測IC!AE$26,1,0)</f>
        <v>1</v>
      </c>
      <c r="AF15" s="13">
        <f>IF(預測IC!AF15&gt;預測IC!AF$26,1,0)</f>
        <v>0</v>
      </c>
      <c r="AG15" s="13">
        <f>IF(預測IC!AG15&gt;預測IC!AG$26,1,0)</f>
        <v>0</v>
      </c>
      <c r="AH15" s="13">
        <f>IF(預測IC!AH15&gt;預測IC!AH$26,1,0)</f>
        <v>1</v>
      </c>
      <c r="AI15" s="13">
        <f>IF(預測IC!AI15&gt;預測IC!AI$26,1,0)</f>
        <v>1</v>
      </c>
      <c r="AJ15" s="13">
        <f>IF(預測IC!AJ15&gt;預測IC!AJ$26,1,0)</f>
        <v>0</v>
      </c>
      <c r="AK15" s="13">
        <f>IF(預測IC!AK15&gt;預測IC!AK$26,1,0)</f>
        <v>0</v>
      </c>
      <c r="AL15" s="13">
        <f>IF(預測IC!AL15&gt;預測IC!AL$26,1,0)</f>
        <v>1</v>
      </c>
      <c r="AM15" s="13">
        <f>IF(預測IC!AM15&gt;預測IC!AM$26,1,0)</f>
        <v>1</v>
      </c>
      <c r="AN15" s="13">
        <f>IF(預測IC!AN15&gt;預測IC!AN$26,1,0)</f>
        <v>1</v>
      </c>
      <c r="AO15" s="13">
        <f>IF(預測IC!AO15&gt;預測IC!AO$26,1,0)</f>
        <v>1</v>
      </c>
      <c r="AP15" s="13">
        <f>IF(預測IC!AP15&gt;預測IC!AP$26,1,0)</f>
        <v>1</v>
      </c>
      <c r="AQ15" s="13">
        <f>IF(預測IC!AQ15&gt;預測IC!AQ$26,1,0)</f>
        <v>0</v>
      </c>
      <c r="AR15" s="13">
        <f>IF(預測IC!AR15&gt;預測IC!AR$26,1,0)</f>
        <v>1</v>
      </c>
      <c r="AS15" s="13">
        <f>IF(預測IC!AS15&gt;預測IC!AS$26,1,0)</f>
        <v>1</v>
      </c>
      <c r="AT15" s="13">
        <f>IF(預測IC!AT15&gt;預測IC!AT$26,1,0)</f>
        <v>1</v>
      </c>
      <c r="AU15" s="13">
        <f>IF(預測IC!AU15&gt;預測IC!AU$26,1,0)</f>
        <v>1</v>
      </c>
      <c r="AV15" s="13">
        <f>IF(預測IC!AV15&gt;預測IC!AV$26,1,0)</f>
        <v>0</v>
      </c>
      <c r="AW15" s="13">
        <f>IF(預測IC!AW15&gt;預測IC!AW$26,1,0)</f>
        <v>1</v>
      </c>
      <c r="AX15" s="13">
        <f>IF(預測IC!AX15&gt;預測IC!AX$26,1,0)</f>
        <v>0</v>
      </c>
      <c r="AY15" s="13">
        <f>IF(預測IC!AY15&gt;預測IC!AY$26,1,0)</f>
        <v>0</v>
      </c>
      <c r="AZ15" s="13">
        <f>IF(預測IC!AZ15&gt;預測IC!AZ$26,1,0)</f>
        <v>0</v>
      </c>
      <c r="BA15" s="13">
        <f>IF(預測IC!BA15&gt;預測IC!BA$26,1,0)</f>
        <v>1</v>
      </c>
      <c r="BB15" s="13">
        <f>IF(預測IC!BB15&gt;預測IC!BB$26,1,0)</f>
        <v>1</v>
      </c>
      <c r="BC15" s="13">
        <f>IF(預測IC!BC15&gt;預測IC!BC$26,1,0)</f>
        <v>1</v>
      </c>
      <c r="BD15" s="13">
        <f>IF(預測IC!BD15&gt;預測IC!BD$26,1,0)</f>
        <v>1</v>
      </c>
      <c r="BE15" s="13">
        <f>IF(預測IC!BE15&gt;預測IC!BE$26,1,0)</f>
        <v>1</v>
      </c>
      <c r="BF15" s="13">
        <f>IF(預測IC!BF15&gt;預測IC!BF$26,1,0)</f>
        <v>1</v>
      </c>
      <c r="BG15" s="13">
        <f>IF(預測IC!BG15&gt;預測IC!BG$26,1,0)</f>
        <v>1</v>
      </c>
      <c r="BH15" s="13">
        <f>IF(預測IC!BH15&gt;預測IC!BH$26,1,0)</f>
        <v>1</v>
      </c>
      <c r="BI15" s="13">
        <f>IF(預測IC!BI15&gt;預測IC!BI$26,1,0)</f>
        <v>1</v>
      </c>
      <c r="BJ15" s="13">
        <f>IF(預測IC!BJ15&gt;預測IC!BJ$26,1,0)</f>
        <v>1</v>
      </c>
      <c r="BK15" s="13">
        <f>IF(預測IC!BK15&gt;預測IC!BK$26,1,0)</f>
        <v>0</v>
      </c>
      <c r="BL15" s="13">
        <f>IF(預測IC!BL15&gt;預測IC!BL$26,1,0)</f>
        <v>1</v>
      </c>
      <c r="BM15" s="13">
        <f>IF(預測IC!BM15&gt;預測IC!BM$26,1,0)</f>
        <v>1</v>
      </c>
      <c r="BN15" s="13">
        <f>IF(預測IC!BN15&gt;預測IC!BN$26,1,0)</f>
        <v>1</v>
      </c>
      <c r="BO15" s="13">
        <f>IF(預測IC!BO15&gt;預測IC!BO$26,1,0)</f>
        <v>1</v>
      </c>
      <c r="BP15" s="13">
        <f>IF(預測IC!BP15&gt;預測IC!BP$26,1,0)</f>
        <v>0</v>
      </c>
      <c r="BQ15" s="13">
        <f>IF(預測IC!BQ15&gt;預測IC!BQ$26,1,0)</f>
        <v>1</v>
      </c>
      <c r="BR15" s="13">
        <f>IF(預測IC!BR15&gt;預測IC!BR$26,1,0)</f>
        <v>0</v>
      </c>
      <c r="BS15" s="13">
        <f>IF(預測IC!BS15&gt;預測IC!BS$26,1,0)</f>
        <v>0</v>
      </c>
      <c r="BT15" s="13">
        <f>IF(預測IC!BT15&gt;預測IC!BT$26,1,0)</f>
        <v>1</v>
      </c>
      <c r="BU15" s="13">
        <f>IF(預測IC!BU15&gt;預測IC!BU$26,1,0)</f>
        <v>1</v>
      </c>
      <c r="BV15" s="13">
        <f>IF(預測IC!BV15&gt;預測IC!BV$26,1,0)</f>
        <v>1</v>
      </c>
      <c r="BW15" s="13">
        <f>IF(預測IC!BW15&gt;預測IC!BW$26,1,0)</f>
        <v>1</v>
      </c>
      <c r="BX15" s="13">
        <f>IF(預測IC!BX15&gt;預測IC!BX$26,1,0)</f>
        <v>1</v>
      </c>
      <c r="BY15" s="13">
        <f>IF(預測IC!BY15&gt;預測IC!BY$26,1,0)</f>
        <v>1</v>
      </c>
      <c r="BZ15" s="13">
        <f>IF(預測IC!BZ15&gt;預測IC!BZ$26,1,0)</f>
        <v>0</v>
      </c>
      <c r="CA15" s="13">
        <f>IF(預測IC!CA15&gt;預測IC!CA$26,1,0)</f>
        <v>1</v>
      </c>
      <c r="CB15" s="13">
        <f>IF(預測IC!CB15&gt;預測IC!CB$26,1,0)</f>
        <v>0</v>
      </c>
      <c r="CC15" s="13">
        <f>IF(預測IC!CC15&gt;預測IC!CC$26,1,0)</f>
        <v>0</v>
      </c>
      <c r="CD15" s="13">
        <f>IF(預測IC!CD15&gt;預測IC!CD$26,1,0)</f>
        <v>1</v>
      </c>
      <c r="CE15" s="13">
        <f>IF(預測IC!CE15&gt;預測IC!CE$26,1,0)</f>
        <v>0</v>
      </c>
      <c r="CF15" s="13">
        <f>IF(預測IC!CF15&gt;預測IC!CF$26,1,0)</f>
        <v>1</v>
      </c>
      <c r="CG15" s="13">
        <f>IF(預測IC!CG15&gt;預測IC!CG$26,1,0)</f>
        <v>0</v>
      </c>
      <c r="CH15" s="13">
        <f>IF(預測IC!CH15&gt;預測IC!CH$26,1,0)</f>
        <v>0</v>
      </c>
      <c r="CI15" s="13">
        <f>IF(預測IC!CI15&gt;預測IC!CI$26,1,0)</f>
        <v>0</v>
      </c>
      <c r="CJ15" s="13">
        <f>IF(預測IC!CJ15&gt;預測IC!CJ$26,1,0)</f>
        <v>0</v>
      </c>
      <c r="CK15" s="13">
        <f>IF(預測IC!CK15&gt;預測IC!CK$26,1,0)</f>
        <v>1</v>
      </c>
      <c r="CL15" s="13">
        <f>IF(預測IC!CL15&gt;預測IC!CL$26,1,0)</f>
        <v>0</v>
      </c>
      <c r="CM15" s="13">
        <f>IF(預測IC!CM15&gt;預測IC!CM$26,1,0)</f>
        <v>1</v>
      </c>
      <c r="CN15" s="13">
        <f>IF(預測IC!CN15&gt;預測IC!CN$26,1,0)</f>
        <v>0</v>
      </c>
      <c r="CO15" s="13">
        <f>IF(預測IC!CO15&gt;預測IC!CO$26,1,0)</f>
        <v>0</v>
      </c>
      <c r="CP15" s="13">
        <f>IF(預測IC!CP15&gt;預測IC!CP$26,1,0)</f>
        <v>1</v>
      </c>
      <c r="CQ15" s="13">
        <f>IF(預測IC!CQ15&gt;預測IC!CQ$26,1,0)</f>
        <v>1</v>
      </c>
      <c r="CR15" s="13">
        <f>IF(預測IC!CR15&gt;預測IC!CR$26,1,0)</f>
        <v>1</v>
      </c>
      <c r="CS15" s="13">
        <f>IF(預測IC!CS15&gt;預測IC!CS$26,1,0)</f>
        <v>1</v>
      </c>
      <c r="CT15" s="13">
        <f>IF(預測IC!CT15&gt;預測IC!CT$26,1,0)</f>
        <v>0</v>
      </c>
      <c r="CU15" s="13">
        <f>IF(預測IC!CU15&gt;預測IC!CU$26,1,0)</f>
        <v>0</v>
      </c>
      <c r="CV15" s="13">
        <f>IF(預測IC!CV15&gt;預測IC!CV$26,1,0)</f>
        <v>0</v>
      </c>
      <c r="CW15" s="13">
        <f>IF(預測IC!CW15&gt;預測IC!CW$26,1,0)</f>
        <v>0</v>
      </c>
      <c r="CX15" s="13">
        <f>IF(預測IC!CX15&gt;預測IC!CX$26,1,0)</f>
        <v>1</v>
      </c>
      <c r="CY15" s="13">
        <f>IF(預測IC!CY15&gt;預測IC!CY$26,1,0)</f>
        <v>0</v>
      </c>
      <c r="CZ15" s="13">
        <f>IF(預測IC!CZ15&gt;預測IC!CZ$26,1,0)</f>
        <v>1</v>
      </c>
      <c r="DA15" s="13">
        <f>IF(預測IC!DA15&gt;預測IC!DA$26,1,0)</f>
        <v>0</v>
      </c>
      <c r="DB15" s="13">
        <f>IF(預測IC!DB15&gt;預測IC!DB$26,1,0)</f>
        <v>0</v>
      </c>
      <c r="DC15" s="13">
        <f>IF(預測IC!DC15&gt;預測IC!DC$26,1,0)</f>
        <v>1</v>
      </c>
      <c r="DD15" s="13">
        <f>IF(預測IC!DD15&gt;預測IC!DD$26,1,0)</f>
        <v>0</v>
      </c>
      <c r="DE15" s="13">
        <f>IF(預測IC!DE15&gt;預測IC!DE$26,1,0)</f>
        <v>0</v>
      </c>
      <c r="DF15" s="13">
        <f>IF(預測IC!DF15&gt;預測IC!DF$26,1,0)</f>
        <v>1</v>
      </c>
      <c r="DG15" s="13">
        <f>IF(預測IC!DG15&gt;預測IC!DG$26,1,0)</f>
        <v>0</v>
      </c>
      <c r="DH15" s="13">
        <f>IF(預測IC!DH15&gt;預測IC!DH$26,1,0)</f>
        <v>0</v>
      </c>
      <c r="DI15" s="13">
        <f>IF(預測IC!DI15&gt;預測IC!DI$26,1,0)</f>
        <v>0</v>
      </c>
      <c r="DJ15" s="13">
        <f>IF(預測IC!DJ15&gt;預測IC!DJ$26,1,0)</f>
        <v>0</v>
      </c>
      <c r="DK15" s="13">
        <f>IF(預測IC!DK15&gt;預測IC!DK$26,1,0)</f>
        <v>1</v>
      </c>
      <c r="DL15" s="13">
        <f>IF(預測IC!DL15&gt;預測IC!DL$26,1,0)</f>
        <v>1</v>
      </c>
      <c r="DM15" s="13">
        <f>IF(預測IC!DM15&gt;預測IC!DM$26,1,0)</f>
        <v>0</v>
      </c>
      <c r="DN15" s="13">
        <f>IF(預測IC!DN15&gt;預測IC!DN$26,1,0)</f>
        <v>1</v>
      </c>
      <c r="DO15" s="13">
        <f>IF(預測IC!DO15&gt;預測IC!DO$26,1,0)</f>
        <v>1</v>
      </c>
      <c r="DP15" s="13">
        <f>IF(預測IC!DP15&gt;預測IC!DP$26,1,0)</f>
        <v>1</v>
      </c>
      <c r="DQ15" s="13">
        <f>IF(預測IC!DQ15&gt;預測IC!DQ$26,1,0)</f>
        <v>0</v>
      </c>
      <c r="DR15" s="13">
        <f>IF(預測IC!DR15&gt;預測IC!DR$26,1,0)</f>
        <v>1</v>
      </c>
      <c r="DS15" s="13">
        <f>IF(預測IC!DS15&gt;預測IC!DS$26,1,0)</f>
        <v>0</v>
      </c>
      <c r="DT15" s="13">
        <f>IF(預測IC!DT15&gt;預測IC!DT$26,1,0)</f>
        <v>0</v>
      </c>
      <c r="DU15" s="13">
        <f>IF(預測IC!DU15&gt;預測IC!DU$26,1,0)</f>
        <v>0</v>
      </c>
      <c r="DV15" s="13">
        <f>IF(預測IC!DV15&gt;預測IC!DV$26,1,0)</f>
        <v>1</v>
      </c>
      <c r="DW15" s="13">
        <f>IF(預測IC!DW15&gt;預測IC!DW$26,1,0)</f>
        <v>0</v>
      </c>
      <c r="DX15" s="13">
        <f>IF(預測IC!DX15&gt;預測IC!DX$26,1,0)</f>
        <v>0</v>
      </c>
      <c r="DY15" s="13">
        <f>IF(預測IC!DY15&gt;預測IC!DY$26,1,0)</f>
        <v>1</v>
      </c>
      <c r="DZ15" s="13">
        <f>IF(預測IC!DZ15&gt;預測IC!DZ$26,1,0)</f>
        <v>0</v>
      </c>
      <c r="EA15" s="13">
        <f>IF(預測IC!EA15&gt;預測IC!EA$26,1,0)</f>
        <v>1</v>
      </c>
      <c r="EB15" s="13">
        <f>IF(預測IC!EB15&gt;預測IC!EB$26,1,0)</f>
        <v>1</v>
      </c>
      <c r="EC15" s="13">
        <f>IF(預測IC!EC15&gt;預測IC!EC$26,1,0)</f>
        <v>1</v>
      </c>
      <c r="ED15" s="13">
        <f>IF(預測IC!ED15&gt;預測IC!ED$26,1,0)</f>
        <v>0</v>
      </c>
      <c r="EE15" s="13">
        <f>IF(預測IC!EE15&gt;預測IC!EE$26,1,0)</f>
        <v>0</v>
      </c>
      <c r="EF15" s="13">
        <f>IF(預測IC!EF15&gt;預測IC!EF$26,1,0)</f>
        <v>1</v>
      </c>
      <c r="EG15">
        <f t="shared" si="10"/>
        <v>73</v>
      </c>
      <c r="EH15" s="11">
        <f t="shared" si="11"/>
        <v>0.54477611940298509</v>
      </c>
    </row>
    <row r="16" spans="1:138">
      <c r="A16" s="2">
        <v>107</v>
      </c>
      <c r="B16" s="2">
        <v>9</v>
      </c>
      <c r="C16" s="13">
        <f>IF(預測IC!C16&gt;預測IC!C$26,1,0)</f>
        <v>0</v>
      </c>
      <c r="D16" s="13">
        <f>IF(預測IC!D16&gt;預測IC!D$26,1,0)</f>
        <v>1</v>
      </c>
      <c r="E16" s="13">
        <f>IF(預測IC!E16&gt;預測IC!E$26,1,0)</f>
        <v>0</v>
      </c>
      <c r="F16" s="13">
        <f>IF(預測IC!F16&gt;預測IC!F$26,1,0)</f>
        <v>1</v>
      </c>
      <c r="G16" s="13">
        <f>IF(預測IC!G16&gt;預測IC!G$26,1,0)</f>
        <v>0</v>
      </c>
      <c r="H16" s="13">
        <f>IF(預測IC!H16&gt;預測IC!H$26,1,0)</f>
        <v>1</v>
      </c>
      <c r="I16" s="13">
        <f>IF(預測IC!I16&gt;預測IC!I$26,1,0)</f>
        <v>1</v>
      </c>
      <c r="J16" s="13">
        <f>IF(預測IC!J16&gt;預測IC!J$26,1,0)</f>
        <v>0</v>
      </c>
      <c r="K16" s="13">
        <f>IF(預測IC!K16&gt;預測IC!K$26,1,0)</f>
        <v>0</v>
      </c>
      <c r="L16" s="13">
        <f>IF(預測IC!L16&gt;預測IC!L$26,1,0)</f>
        <v>1</v>
      </c>
      <c r="M16" s="13">
        <f>IF(預測IC!M16&gt;預測IC!M$26,1,0)</f>
        <v>0</v>
      </c>
      <c r="N16" s="13">
        <f>IF(預測IC!N16&gt;預測IC!N$26,1,0)</f>
        <v>1</v>
      </c>
      <c r="O16" s="13">
        <f>IF(預測IC!O16&gt;預測IC!O$26,1,0)</f>
        <v>1</v>
      </c>
      <c r="P16" s="13">
        <f>IF(預測IC!P16&gt;預測IC!P$26,1,0)</f>
        <v>1</v>
      </c>
      <c r="Q16" s="13">
        <f>IF(預測IC!Q16&gt;預測IC!Q$26,1,0)</f>
        <v>1</v>
      </c>
      <c r="R16" s="13">
        <f>IF(預測IC!R16&gt;預測IC!R$26,1,0)</f>
        <v>0</v>
      </c>
      <c r="S16" s="13">
        <f>IF(預測IC!S16&gt;預測IC!S$26,1,0)</f>
        <v>0</v>
      </c>
      <c r="T16" s="13">
        <f>IF(預測IC!T16&gt;預測IC!T$26,1,0)</f>
        <v>1</v>
      </c>
      <c r="U16" s="13">
        <f>IF(預測IC!U16&gt;預測IC!U$26,1,0)</f>
        <v>1</v>
      </c>
      <c r="V16" s="13">
        <f>IF(預測IC!V16&gt;預測IC!V$26,1,0)</f>
        <v>0</v>
      </c>
      <c r="W16" s="13">
        <f>IF(預測IC!W16&gt;預測IC!W$26,1,0)</f>
        <v>1</v>
      </c>
      <c r="X16" s="13">
        <f>IF(預測IC!X16&gt;預測IC!X$26,1,0)</f>
        <v>1</v>
      </c>
      <c r="Y16" s="13">
        <f>IF(預測IC!Y16&gt;預測IC!Y$26,1,0)</f>
        <v>1</v>
      </c>
      <c r="Z16" s="13">
        <f>IF(預測IC!Z16&gt;預測IC!Z$26,1,0)</f>
        <v>0</v>
      </c>
      <c r="AA16" s="13">
        <f>IF(預測IC!AA16&gt;預測IC!AA$26,1,0)</f>
        <v>0</v>
      </c>
      <c r="AB16" s="13">
        <f>IF(預測IC!AB16&gt;預測IC!AB$26,1,0)</f>
        <v>0</v>
      </c>
      <c r="AC16" s="13">
        <f>IF(預測IC!AC16&gt;預測IC!AC$26,1,0)</f>
        <v>0</v>
      </c>
      <c r="AD16" s="13">
        <f>IF(預測IC!AD16&gt;預測IC!AD$26,1,0)</f>
        <v>1</v>
      </c>
      <c r="AE16" s="13">
        <f>IF(預測IC!AE16&gt;預測IC!AE$26,1,0)</f>
        <v>1</v>
      </c>
      <c r="AF16" s="13">
        <f>IF(預測IC!AF16&gt;預測IC!AF$26,1,0)</f>
        <v>0</v>
      </c>
      <c r="AG16" s="13">
        <f>IF(預測IC!AG16&gt;預測IC!AG$26,1,0)</f>
        <v>0</v>
      </c>
      <c r="AH16" s="13">
        <f>IF(預測IC!AH16&gt;預測IC!AH$26,1,0)</f>
        <v>1</v>
      </c>
      <c r="AI16" s="13">
        <f>IF(預測IC!AI16&gt;預測IC!AI$26,1,0)</f>
        <v>1</v>
      </c>
      <c r="AJ16" s="13">
        <f>IF(預測IC!AJ16&gt;預測IC!AJ$26,1,0)</f>
        <v>0</v>
      </c>
      <c r="AK16" s="13">
        <f>IF(預測IC!AK16&gt;預測IC!AK$26,1,0)</f>
        <v>0</v>
      </c>
      <c r="AL16" s="13">
        <f>IF(預測IC!AL16&gt;預測IC!AL$26,1,0)</f>
        <v>1</v>
      </c>
      <c r="AM16" s="13">
        <f>IF(預測IC!AM16&gt;預測IC!AM$26,1,0)</f>
        <v>1</v>
      </c>
      <c r="AN16" s="13">
        <f>IF(預測IC!AN16&gt;預測IC!AN$26,1,0)</f>
        <v>1</v>
      </c>
      <c r="AO16" s="13">
        <f>IF(預測IC!AO16&gt;預測IC!AO$26,1,0)</f>
        <v>1</v>
      </c>
      <c r="AP16" s="13">
        <f>IF(預測IC!AP16&gt;預測IC!AP$26,1,0)</f>
        <v>0</v>
      </c>
      <c r="AQ16" s="13">
        <f>IF(預測IC!AQ16&gt;預測IC!AQ$26,1,0)</f>
        <v>0</v>
      </c>
      <c r="AR16" s="13">
        <f>IF(預測IC!AR16&gt;預測IC!AR$26,1,0)</f>
        <v>1</v>
      </c>
      <c r="AS16" s="13">
        <f>IF(預測IC!AS16&gt;預測IC!AS$26,1,0)</f>
        <v>1</v>
      </c>
      <c r="AT16" s="13">
        <f>IF(預測IC!AT16&gt;預測IC!AT$26,1,0)</f>
        <v>1</v>
      </c>
      <c r="AU16" s="13">
        <f>IF(預測IC!AU16&gt;預測IC!AU$26,1,0)</f>
        <v>1</v>
      </c>
      <c r="AV16" s="13">
        <f>IF(預測IC!AV16&gt;預測IC!AV$26,1,0)</f>
        <v>0</v>
      </c>
      <c r="AW16" s="13">
        <f>IF(預測IC!AW16&gt;預測IC!AW$26,1,0)</f>
        <v>1</v>
      </c>
      <c r="AX16" s="13">
        <f>IF(預測IC!AX16&gt;預測IC!AX$26,1,0)</f>
        <v>0</v>
      </c>
      <c r="AY16" s="13">
        <f>IF(預測IC!AY16&gt;預測IC!AY$26,1,0)</f>
        <v>0</v>
      </c>
      <c r="AZ16" s="13">
        <f>IF(預測IC!AZ16&gt;預測IC!AZ$26,1,0)</f>
        <v>0</v>
      </c>
      <c r="BA16" s="13">
        <f>IF(預測IC!BA16&gt;預測IC!BA$26,1,0)</f>
        <v>1</v>
      </c>
      <c r="BB16" s="13">
        <f>IF(預測IC!BB16&gt;預測IC!BB$26,1,0)</f>
        <v>1</v>
      </c>
      <c r="BC16" s="13">
        <f>IF(預測IC!BC16&gt;預測IC!BC$26,1,0)</f>
        <v>1</v>
      </c>
      <c r="BD16" s="13">
        <f>IF(預測IC!BD16&gt;預測IC!BD$26,1,0)</f>
        <v>1</v>
      </c>
      <c r="BE16" s="13">
        <f>IF(預測IC!BE16&gt;預測IC!BE$26,1,0)</f>
        <v>1</v>
      </c>
      <c r="BF16" s="13">
        <f>IF(預測IC!BF16&gt;預測IC!BF$26,1,0)</f>
        <v>1</v>
      </c>
      <c r="BG16" s="13">
        <f>IF(預測IC!BG16&gt;預測IC!BG$26,1,0)</f>
        <v>1</v>
      </c>
      <c r="BH16" s="13">
        <f>IF(預測IC!BH16&gt;預測IC!BH$26,1,0)</f>
        <v>1</v>
      </c>
      <c r="BI16" s="13">
        <f>IF(預測IC!BI16&gt;預測IC!BI$26,1,0)</f>
        <v>1</v>
      </c>
      <c r="BJ16" s="13">
        <f>IF(預測IC!BJ16&gt;預測IC!BJ$26,1,0)</f>
        <v>0</v>
      </c>
      <c r="BK16" s="13">
        <f>IF(預測IC!BK16&gt;預測IC!BK$26,1,0)</f>
        <v>0</v>
      </c>
      <c r="BL16" s="13">
        <f>IF(預測IC!BL16&gt;預測IC!BL$26,1,0)</f>
        <v>1</v>
      </c>
      <c r="BM16" s="13">
        <f>IF(預測IC!BM16&gt;預測IC!BM$26,1,0)</f>
        <v>1</v>
      </c>
      <c r="BN16" s="13">
        <f>IF(預測IC!BN16&gt;預測IC!BN$26,1,0)</f>
        <v>1</v>
      </c>
      <c r="BO16" s="13">
        <f>IF(預測IC!BO16&gt;預測IC!BO$26,1,0)</f>
        <v>1</v>
      </c>
      <c r="BP16" s="13">
        <f>IF(預測IC!BP16&gt;預測IC!BP$26,1,0)</f>
        <v>0</v>
      </c>
      <c r="BQ16" s="13">
        <f>IF(預測IC!BQ16&gt;預測IC!BQ$26,1,0)</f>
        <v>1</v>
      </c>
      <c r="BR16" s="13">
        <f>IF(預測IC!BR16&gt;預測IC!BR$26,1,0)</f>
        <v>0</v>
      </c>
      <c r="BS16" s="13">
        <f>IF(預測IC!BS16&gt;預測IC!BS$26,1,0)</f>
        <v>0</v>
      </c>
      <c r="BT16" s="13">
        <f>IF(預測IC!BT16&gt;預測IC!BT$26,1,0)</f>
        <v>1</v>
      </c>
      <c r="BU16" s="13">
        <f>IF(預測IC!BU16&gt;預測IC!BU$26,1,0)</f>
        <v>1</v>
      </c>
      <c r="BV16" s="13">
        <f>IF(預測IC!BV16&gt;預測IC!BV$26,1,0)</f>
        <v>1</v>
      </c>
      <c r="BW16" s="13">
        <f>IF(預測IC!BW16&gt;預測IC!BW$26,1,0)</f>
        <v>0</v>
      </c>
      <c r="BX16" s="13">
        <f>IF(預測IC!BX16&gt;預測IC!BX$26,1,0)</f>
        <v>1</v>
      </c>
      <c r="BY16" s="13">
        <f>IF(預測IC!BY16&gt;預測IC!BY$26,1,0)</f>
        <v>1</v>
      </c>
      <c r="BZ16" s="13">
        <f>IF(預測IC!BZ16&gt;預測IC!BZ$26,1,0)</f>
        <v>0</v>
      </c>
      <c r="CA16" s="13">
        <f>IF(預測IC!CA16&gt;預測IC!CA$26,1,0)</f>
        <v>1</v>
      </c>
      <c r="CB16" s="13">
        <f>IF(預測IC!CB16&gt;預測IC!CB$26,1,0)</f>
        <v>0</v>
      </c>
      <c r="CC16" s="13">
        <f>IF(預測IC!CC16&gt;預測IC!CC$26,1,0)</f>
        <v>0</v>
      </c>
      <c r="CD16" s="13">
        <f>IF(預測IC!CD16&gt;預測IC!CD$26,1,0)</f>
        <v>1</v>
      </c>
      <c r="CE16" s="13">
        <f>IF(預測IC!CE16&gt;預測IC!CE$26,1,0)</f>
        <v>0</v>
      </c>
      <c r="CF16" s="13">
        <f>IF(預測IC!CF16&gt;預測IC!CF$26,1,0)</f>
        <v>1</v>
      </c>
      <c r="CG16" s="13">
        <f>IF(預測IC!CG16&gt;預測IC!CG$26,1,0)</f>
        <v>0</v>
      </c>
      <c r="CH16" s="13">
        <f>IF(預測IC!CH16&gt;預測IC!CH$26,1,0)</f>
        <v>0</v>
      </c>
      <c r="CI16" s="13">
        <f>IF(預測IC!CI16&gt;預測IC!CI$26,1,0)</f>
        <v>0</v>
      </c>
      <c r="CJ16" s="13">
        <f>IF(預測IC!CJ16&gt;預測IC!CJ$26,1,0)</f>
        <v>0</v>
      </c>
      <c r="CK16" s="13">
        <f>IF(預測IC!CK16&gt;預測IC!CK$26,1,0)</f>
        <v>1</v>
      </c>
      <c r="CL16" s="13">
        <f>IF(預測IC!CL16&gt;預測IC!CL$26,1,0)</f>
        <v>0</v>
      </c>
      <c r="CM16" s="13">
        <f>IF(預測IC!CM16&gt;預測IC!CM$26,1,0)</f>
        <v>1</v>
      </c>
      <c r="CN16" s="13">
        <f>IF(預測IC!CN16&gt;預測IC!CN$26,1,0)</f>
        <v>0</v>
      </c>
      <c r="CO16" s="13">
        <f>IF(預測IC!CO16&gt;預測IC!CO$26,1,0)</f>
        <v>0</v>
      </c>
      <c r="CP16" s="13">
        <f>IF(預測IC!CP16&gt;預測IC!CP$26,1,0)</f>
        <v>1</v>
      </c>
      <c r="CQ16" s="13">
        <f>IF(預測IC!CQ16&gt;預測IC!CQ$26,1,0)</f>
        <v>1</v>
      </c>
      <c r="CR16" s="13">
        <f>IF(預測IC!CR16&gt;預測IC!CR$26,1,0)</f>
        <v>1</v>
      </c>
      <c r="CS16" s="13">
        <f>IF(預測IC!CS16&gt;預測IC!CS$26,1,0)</f>
        <v>1</v>
      </c>
      <c r="CT16" s="13">
        <f>IF(預測IC!CT16&gt;預測IC!CT$26,1,0)</f>
        <v>0</v>
      </c>
      <c r="CU16" s="13">
        <f>IF(預測IC!CU16&gt;預測IC!CU$26,1,0)</f>
        <v>0</v>
      </c>
      <c r="CV16" s="13">
        <f>IF(預測IC!CV16&gt;預測IC!CV$26,1,0)</f>
        <v>0</v>
      </c>
      <c r="CW16" s="13">
        <f>IF(預測IC!CW16&gt;預測IC!CW$26,1,0)</f>
        <v>0</v>
      </c>
      <c r="CX16" s="13">
        <f>IF(預測IC!CX16&gt;預測IC!CX$26,1,0)</f>
        <v>1</v>
      </c>
      <c r="CY16" s="13">
        <f>IF(預測IC!CY16&gt;預測IC!CY$26,1,0)</f>
        <v>0</v>
      </c>
      <c r="CZ16" s="13">
        <f>IF(預測IC!CZ16&gt;預測IC!CZ$26,1,0)</f>
        <v>1</v>
      </c>
      <c r="DA16" s="13">
        <f>IF(預測IC!DA16&gt;預測IC!DA$26,1,0)</f>
        <v>0</v>
      </c>
      <c r="DB16" s="13">
        <f>IF(預測IC!DB16&gt;預測IC!DB$26,1,0)</f>
        <v>0</v>
      </c>
      <c r="DC16" s="13">
        <f>IF(預測IC!DC16&gt;預測IC!DC$26,1,0)</f>
        <v>1</v>
      </c>
      <c r="DD16" s="13">
        <f>IF(預測IC!DD16&gt;預測IC!DD$26,1,0)</f>
        <v>0</v>
      </c>
      <c r="DE16" s="13">
        <f>IF(預測IC!DE16&gt;預測IC!DE$26,1,0)</f>
        <v>0</v>
      </c>
      <c r="DF16" s="13">
        <f>IF(預測IC!DF16&gt;預測IC!DF$26,1,0)</f>
        <v>1</v>
      </c>
      <c r="DG16" s="13">
        <f>IF(預測IC!DG16&gt;預測IC!DG$26,1,0)</f>
        <v>0</v>
      </c>
      <c r="DH16" s="13">
        <f>IF(預測IC!DH16&gt;預測IC!DH$26,1,0)</f>
        <v>0</v>
      </c>
      <c r="DI16" s="13">
        <f>IF(預測IC!DI16&gt;預測IC!DI$26,1,0)</f>
        <v>0</v>
      </c>
      <c r="DJ16" s="13">
        <f>IF(預測IC!DJ16&gt;預測IC!DJ$26,1,0)</f>
        <v>0</v>
      </c>
      <c r="DK16" s="13">
        <f>IF(預測IC!DK16&gt;預測IC!DK$26,1,0)</f>
        <v>1</v>
      </c>
      <c r="DL16" s="13">
        <f>IF(預測IC!DL16&gt;預測IC!DL$26,1,0)</f>
        <v>1</v>
      </c>
      <c r="DM16" s="13">
        <f>IF(預測IC!DM16&gt;預測IC!DM$26,1,0)</f>
        <v>0</v>
      </c>
      <c r="DN16" s="13">
        <f>IF(預測IC!DN16&gt;預測IC!DN$26,1,0)</f>
        <v>1</v>
      </c>
      <c r="DO16" s="13">
        <f>IF(預測IC!DO16&gt;預測IC!DO$26,1,0)</f>
        <v>1</v>
      </c>
      <c r="DP16" s="13">
        <f>IF(預測IC!DP16&gt;預測IC!DP$26,1,0)</f>
        <v>1</v>
      </c>
      <c r="DQ16" s="13">
        <f>IF(預測IC!DQ16&gt;預測IC!DQ$26,1,0)</f>
        <v>0</v>
      </c>
      <c r="DR16" s="13">
        <f>IF(預測IC!DR16&gt;預測IC!DR$26,1,0)</f>
        <v>1</v>
      </c>
      <c r="DS16" s="13">
        <f>IF(預測IC!DS16&gt;預測IC!DS$26,1,0)</f>
        <v>0</v>
      </c>
      <c r="DT16" s="13">
        <f>IF(預測IC!DT16&gt;預測IC!DT$26,1,0)</f>
        <v>0</v>
      </c>
      <c r="DU16" s="13">
        <f>IF(預測IC!DU16&gt;預測IC!DU$26,1,0)</f>
        <v>0</v>
      </c>
      <c r="DV16" s="13">
        <f>IF(預測IC!DV16&gt;預測IC!DV$26,1,0)</f>
        <v>1</v>
      </c>
      <c r="DW16" s="13">
        <f>IF(預測IC!DW16&gt;預測IC!DW$26,1,0)</f>
        <v>1</v>
      </c>
      <c r="DX16" s="13">
        <f>IF(預測IC!DX16&gt;預測IC!DX$26,1,0)</f>
        <v>0</v>
      </c>
      <c r="DY16" s="13">
        <f>IF(預測IC!DY16&gt;預測IC!DY$26,1,0)</f>
        <v>1</v>
      </c>
      <c r="DZ16" s="13">
        <f>IF(預測IC!DZ16&gt;預測IC!DZ$26,1,0)</f>
        <v>0</v>
      </c>
      <c r="EA16" s="13">
        <f>IF(預測IC!EA16&gt;預測IC!EA$26,1,0)</f>
        <v>1</v>
      </c>
      <c r="EB16" s="13">
        <f>IF(預測IC!EB16&gt;預測IC!EB$26,1,0)</f>
        <v>1</v>
      </c>
      <c r="EC16" s="13">
        <f>IF(預測IC!EC16&gt;預測IC!EC$26,1,0)</f>
        <v>1</v>
      </c>
      <c r="ED16" s="13">
        <f>IF(預測IC!ED16&gt;預測IC!ED$26,1,0)</f>
        <v>0</v>
      </c>
      <c r="EE16" s="13">
        <f>IF(預測IC!EE16&gt;預測IC!EE$26,1,0)</f>
        <v>0</v>
      </c>
      <c r="EF16" s="13">
        <f>IF(預測IC!EF16&gt;預測IC!EF$26,1,0)</f>
        <v>1</v>
      </c>
      <c r="EG16">
        <f t="shared" si="10"/>
        <v>72</v>
      </c>
      <c r="EH16" s="11">
        <f t="shared" si="11"/>
        <v>0.53731343283582089</v>
      </c>
    </row>
    <row r="17" spans="1:138">
      <c r="A17" s="2">
        <v>120</v>
      </c>
      <c r="B17" s="2">
        <v>8</v>
      </c>
      <c r="C17" s="13">
        <f>IF(預測IC!C17&gt;預測IC!C$26,1,0)</f>
        <v>0</v>
      </c>
      <c r="D17" s="13">
        <f>IF(預測IC!D17&gt;預測IC!D$26,1,0)</f>
        <v>1</v>
      </c>
      <c r="E17" s="13">
        <f>IF(預測IC!E17&gt;預測IC!E$26,1,0)</f>
        <v>0</v>
      </c>
      <c r="F17" s="13">
        <f>IF(預測IC!F17&gt;預測IC!F$26,1,0)</f>
        <v>1</v>
      </c>
      <c r="G17" s="13">
        <f>IF(預測IC!G17&gt;預測IC!G$26,1,0)</f>
        <v>0</v>
      </c>
      <c r="H17" s="13">
        <f>IF(預測IC!H17&gt;預測IC!H$26,1,0)</f>
        <v>1</v>
      </c>
      <c r="I17" s="13">
        <f>IF(預測IC!I17&gt;預測IC!I$26,1,0)</f>
        <v>1</v>
      </c>
      <c r="J17" s="13">
        <f>IF(預測IC!J17&gt;預測IC!J$26,1,0)</f>
        <v>0</v>
      </c>
      <c r="K17" s="13">
        <f>IF(預測IC!K17&gt;預測IC!K$26,1,0)</f>
        <v>0</v>
      </c>
      <c r="L17" s="13">
        <f>IF(預測IC!L17&gt;預測IC!L$26,1,0)</f>
        <v>1</v>
      </c>
      <c r="M17" s="13">
        <f>IF(預測IC!M17&gt;預測IC!M$26,1,0)</f>
        <v>0</v>
      </c>
      <c r="N17" s="13">
        <f>IF(預測IC!N17&gt;預測IC!N$26,1,0)</f>
        <v>1</v>
      </c>
      <c r="O17" s="13">
        <f>IF(預測IC!O17&gt;預測IC!O$26,1,0)</f>
        <v>1</v>
      </c>
      <c r="P17" s="13">
        <f>IF(預測IC!P17&gt;預測IC!P$26,1,0)</f>
        <v>1</v>
      </c>
      <c r="Q17" s="13">
        <f>IF(預測IC!Q17&gt;預測IC!Q$26,1,0)</f>
        <v>1</v>
      </c>
      <c r="R17" s="13">
        <f>IF(預測IC!R17&gt;預測IC!R$26,1,0)</f>
        <v>0</v>
      </c>
      <c r="S17" s="13">
        <f>IF(預測IC!S17&gt;預測IC!S$26,1,0)</f>
        <v>0</v>
      </c>
      <c r="T17" s="13">
        <f>IF(預測IC!T17&gt;預測IC!T$26,1,0)</f>
        <v>1</v>
      </c>
      <c r="U17" s="13">
        <f>IF(預測IC!U17&gt;預測IC!U$26,1,0)</f>
        <v>1</v>
      </c>
      <c r="V17" s="13">
        <f>IF(預測IC!V17&gt;預測IC!V$26,1,0)</f>
        <v>0</v>
      </c>
      <c r="W17" s="13">
        <f>IF(預測IC!W17&gt;預測IC!W$26,1,0)</f>
        <v>1</v>
      </c>
      <c r="X17" s="13">
        <f>IF(預測IC!X17&gt;預測IC!X$26,1,0)</f>
        <v>1</v>
      </c>
      <c r="Y17" s="13">
        <f>IF(預測IC!Y17&gt;預測IC!Y$26,1,0)</f>
        <v>1</v>
      </c>
      <c r="Z17" s="13">
        <f>IF(預測IC!Z17&gt;預測IC!Z$26,1,0)</f>
        <v>0</v>
      </c>
      <c r="AA17" s="13">
        <f>IF(預測IC!AA17&gt;預測IC!AA$26,1,0)</f>
        <v>0</v>
      </c>
      <c r="AB17" s="13">
        <f>IF(預測IC!AB17&gt;預測IC!AB$26,1,0)</f>
        <v>0</v>
      </c>
      <c r="AC17" s="13">
        <f>IF(預測IC!AC17&gt;預測IC!AC$26,1,0)</f>
        <v>0</v>
      </c>
      <c r="AD17" s="13">
        <f>IF(預測IC!AD17&gt;預測IC!AD$26,1,0)</f>
        <v>1</v>
      </c>
      <c r="AE17" s="13">
        <f>IF(預測IC!AE17&gt;預測IC!AE$26,1,0)</f>
        <v>1</v>
      </c>
      <c r="AF17" s="13">
        <f>IF(預測IC!AF17&gt;預測IC!AF$26,1,0)</f>
        <v>0</v>
      </c>
      <c r="AG17" s="13">
        <f>IF(預測IC!AG17&gt;預測IC!AG$26,1,0)</f>
        <v>0</v>
      </c>
      <c r="AH17" s="13">
        <f>IF(預測IC!AH17&gt;預測IC!AH$26,1,0)</f>
        <v>1</v>
      </c>
      <c r="AI17" s="13">
        <f>IF(預測IC!AI17&gt;預測IC!AI$26,1,0)</f>
        <v>1</v>
      </c>
      <c r="AJ17" s="13">
        <f>IF(預測IC!AJ17&gt;預測IC!AJ$26,1,0)</f>
        <v>0</v>
      </c>
      <c r="AK17" s="13">
        <f>IF(預測IC!AK17&gt;預測IC!AK$26,1,0)</f>
        <v>0</v>
      </c>
      <c r="AL17" s="13">
        <f>IF(預測IC!AL17&gt;預測IC!AL$26,1,0)</f>
        <v>1</v>
      </c>
      <c r="AM17" s="13">
        <f>IF(預測IC!AM17&gt;預測IC!AM$26,1,0)</f>
        <v>1</v>
      </c>
      <c r="AN17" s="13">
        <f>IF(預測IC!AN17&gt;預測IC!AN$26,1,0)</f>
        <v>1</v>
      </c>
      <c r="AO17" s="13">
        <f>IF(預測IC!AO17&gt;預測IC!AO$26,1,0)</f>
        <v>1</v>
      </c>
      <c r="AP17" s="13">
        <f>IF(預測IC!AP17&gt;預測IC!AP$26,1,0)</f>
        <v>0</v>
      </c>
      <c r="AQ17" s="13">
        <f>IF(預測IC!AQ17&gt;預測IC!AQ$26,1,0)</f>
        <v>0</v>
      </c>
      <c r="AR17" s="13">
        <f>IF(預測IC!AR17&gt;預測IC!AR$26,1,0)</f>
        <v>1</v>
      </c>
      <c r="AS17" s="13">
        <f>IF(預測IC!AS17&gt;預測IC!AS$26,1,0)</f>
        <v>1</v>
      </c>
      <c r="AT17" s="13">
        <f>IF(預測IC!AT17&gt;預測IC!AT$26,1,0)</f>
        <v>1</v>
      </c>
      <c r="AU17" s="13">
        <f>IF(預測IC!AU17&gt;預測IC!AU$26,1,0)</f>
        <v>1</v>
      </c>
      <c r="AV17" s="13">
        <f>IF(預測IC!AV17&gt;預測IC!AV$26,1,0)</f>
        <v>0</v>
      </c>
      <c r="AW17" s="13">
        <f>IF(預測IC!AW17&gt;預測IC!AW$26,1,0)</f>
        <v>1</v>
      </c>
      <c r="AX17" s="13">
        <f>IF(預測IC!AX17&gt;預測IC!AX$26,1,0)</f>
        <v>1</v>
      </c>
      <c r="AY17" s="13">
        <f>IF(預測IC!AY17&gt;預測IC!AY$26,1,0)</f>
        <v>0</v>
      </c>
      <c r="AZ17" s="13">
        <f>IF(預測IC!AZ17&gt;預測IC!AZ$26,1,0)</f>
        <v>0</v>
      </c>
      <c r="BA17" s="13">
        <f>IF(預測IC!BA17&gt;預測IC!BA$26,1,0)</f>
        <v>1</v>
      </c>
      <c r="BB17" s="13">
        <f>IF(預測IC!BB17&gt;預測IC!BB$26,1,0)</f>
        <v>1</v>
      </c>
      <c r="BC17" s="13">
        <f>IF(預測IC!BC17&gt;預測IC!BC$26,1,0)</f>
        <v>1</v>
      </c>
      <c r="BD17" s="13">
        <f>IF(預測IC!BD17&gt;預測IC!BD$26,1,0)</f>
        <v>1</v>
      </c>
      <c r="BE17" s="13">
        <f>IF(預測IC!BE17&gt;預測IC!BE$26,1,0)</f>
        <v>1</v>
      </c>
      <c r="BF17" s="13">
        <f>IF(預測IC!BF17&gt;預測IC!BF$26,1,0)</f>
        <v>1</v>
      </c>
      <c r="BG17" s="13">
        <f>IF(預測IC!BG17&gt;預測IC!BG$26,1,0)</f>
        <v>0</v>
      </c>
      <c r="BH17" s="13">
        <f>IF(預測IC!BH17&gt;預測IC!BH$26,1,0)</f>
        <v>1</v>
      </c>
      <c r="BI17" s="13">
        <f>IF(預測IC!BI17&gt;預測IC!BI$26,1,0)</f>
        <v>1</v>
      </c>
      <c r="BJ17" s="13">
        <f>IF(預測IC!BJ17&gt;預測IC!BJ$26,1,0)</f>
        <v>1</v>
      </c>
      <c r="BK17" s="13">
        <f>IF(預測IC!BK17&gt;預測IC!BK$26,1,0)</f>
        <v>0</v>
      </c>
      <c r="BL17" s="13">
        <f>IF(預測IC!BL17&gt;預測IC!BL$26,1,0)</f>
        <v>1</v>
      </c>
      <c r="BM17" s="13">
        <f>IF(預測IC!BM17&gt;預測IC!BM$26,1,0)</f>
        <v>1</v>
      </c>
      <c r="BN17" s="13">
        <f>IF(預測IC!BN17&gt;預測IC!BN$26,1,0)</f>
        <v>1</v>
      </c>
      <c r="BO17" s="13">
        <f>IF(預測IC!BO17&gt;預測IC!BO$26,1,0)</f>
        <v>1</v>
      </c>
      <c r="BP17" s="13">
        <f>IF(預測IC!BP17&gt;預測IC!BP$26,1,0)</f>
        <v>1</v>
      </c>
      <c r="BQ17" s="13">
        <f>IF(預測IC!BQ17&gt;預測IC!BQ$26,1,0)</f>
        <v>1</v>
      </c>
      <c r="BR17" s="13">
        <f>IF(預測IC!BR17&gt;預測IC!BR$26,1,0)</f>
        <v>1</v>
      </c>
      <c r="BS17" s="13">
        <f>IF(預測IC!BS17&gt;預測IC!BS$26,1,0)</f>
        <v>0</v>
      </c>
      <c r="BT17" s="13">
        <f>IF(預測IC!BT17&gt;預測IC!BT$26,1,0)</f>
        <v>1</v>
      </c>
      <c r="BU17" s="13">
        <f>IF(預測IC!BU17&gt;預測IC!BU$26,1,0)</f>
        <v>1</v>
      </c>
      <c r="BV17" s="13">
        <f>IF(預測IC!BV17&gt;預測IC!BV$26,1,0)</f>
        <v>1</v>
      </c>
      <c r="BW17" s="13">
        <f>IF(預測IC!BW17&gt;預測IC!BW$26,1,0)</f>
        <v>0</v>
      </c>
      <c r="BX17" s="13">
        <f>IF(預測IC!BX17&gt;預測IC!BX$26,1,0)</f>
        <v>1</v>
      </c>
      <c r="BY17" s="13">
        <f>IF(預測IC!BY17&gt;預測IC!BY$26,1,0)</f>
        <v>1</v>
      </c>
      <c r="BZ17" s="13">
        <f>IF(預測IC!BZ17&gt;預測IC!BZ$26,1,0)</f>
        <v>0</v>
      </c>
      <c r="CA17" s="13">
        <f>IF(預測IC!CA17&gt;預測IC!CA$26,1,0)</f>
        <v>1</v>
      </c>
      <c r="CB17" s="13">
        <f>IF(預測IC!CB17&gt;預測IC!CB$26,1,0)</f>
        <v>0</v>
      </c>
      <c r="CC17" s="13">
        <f>IF(預測IC!CC17&gt;預測IC!CC$26,1,0)</f>
        <v>0</v>
      </c>
      <c r="CD17" s="13">
        <f>IF(預測IC!CD17&gt;預測IC!CD$26,1,0)</f>
        <v>1</v>
      </c>
      <c r="CE17" s="13">
        <f>IF(預測IC!CE17&gt;預測IC!CE$26,1,0)</f>
        <v>0</v>
      </c>
      <c r="CF17" s="13">
        <f>IF(預測IC!CF17&gt;預測IC!CF$26,1,0)</f>
        <v>1</v>
      </c>
      <c r="CG17" s="13">
        <f>IF(預測IC!CG17&gt;預測IC!CG$26,1,0)</f>
        <v>0</v>
      </c>
      <c r="CH17" s="13">
        <f>IF(預測IC!CH17&gt;預測IC!CH$26,1,0)</f>
        <v>0</v>
      </c>
      <c r="CI17" s="13">
        <f>IF(預測IC!CI17&gt;預測IC!CI$26,1,0)</f>
        <v>0</v>
      </c>
      <c r="CJ17" s="13">
        <f>IF(預測IC!CJ17&gt;預測IC!CJ$26,1,0)</f>
        <v>0</v>
      </c>
      <c r="CK17" s="13">
        <f>IF(預測IC!CK17&gt;預測IC!CK$26,1,0)</f>
        <v>1</v>
      </c>
      <c r="CL17" s="13">
        <f>IF(預測IC!CL17&gt;預測IC!CL$26,1,0)</f>
        <v>0</v>
      </c>
      <c r="CM17" s="13">
        <f>IF(預測IC!CM17&gt;預測IC!CM$26,1,0)</f>
        <v>1</v>
      </c>
      <c r="CN17" s="13">
        <f>IF(預測IC!CN17&gt;預測IC!CN$26,1,0)</f>
        <v>0</v>
      </c>
      <c r="CO17" s="13">
        <f>IF(預測IC!CO17&gt;預測IC!CO$26,1,0)</f>
        <v>0</v>
      </c>
      <c r="CP17" s="13">
        <f>IF(預測IC!CP17&gt;預測IC!CP$26,1,0)</f>
        <v>1</v>
      </c>
      <c r="CQ17" s="13">
        <f>IF(預測IC!CQ17&gt;預測IC!CQ$26,1,0)</f>
        <v>1</v>
      </c>
      <c r="CR17" s="13">
        <f>IF(預測IC!CR17&gt;預測IC!CR$26,1,0)</f>
        <v>1</v>
      </c>
      <c r="CS17" s="13">
        <f>IF(預測IC!CS17&gt;預測IC!CS$26,1,0)</f>
        <v>1</v>
      </c>
      <c r="CT17" s="13">
        <f>IF(預測IC!CT17&gt;預測IC!CT$26,1,0)</f>
        <v>1</v>
      </c>
      <c r="CU17" s="13">
        <f>IF(預測IC!CU17&gt;預測IC!CU$26,1,0)</f>
        <v>0</v>
      </c>
      <c r="CV17" s="13">
        <f>IF(預測IC!CV17&gt;預測IC!CV$26,1,0)</f>
        <v>1</v>
      </c>
      <c r="CW17" s="13">
        <f>IF(預測IC!CW17&gt;預測IC!CW$26,1,0)</f>
        <v>0</v>
      </c>
      <c r="CX17" s="13">
        <f>IF(預測IC!CX17&gt;預測IC!CX$26,1,0)</f>
        <v>1</v>
      </c>
      <c r="CY17" s="13">
        <f>IF(預測IC!CY17&gt;預測IC!CY$26,1,0)</f>
        <v>0</v>
      </c>
      <c r="CZ17" s="13">
        <f>IF(預測IC!CZ17&gt;預測IC!CZ$26,1,0)</f>
        <v>1</v>
      </c>
      <c r="DA17" s="13">
        <f>IF(預測IC!DA17&gt;預測IC!DA$26,1,0)</f>
        <v>0</v>
      </c>
      <c r="DB17" s="13">
        <f>IF(預測IC!DB17&gt;預測IC!DB$26,1,0)</f>
        <v>0</v>
      </c>
      <c r="DC17" s="13">
        <f>IF(預測IC!DC17&gt;預測IC!DC$26,1,0)</f>
        <v>1</v>
      </c>
      <c r="DD17" s="13">
        <f>IF(預測IC!DD17&gt;預測IC!DD$26,1,0)</f>
        <v>0</v>
      </c>
      <c r="DE17" s="13">
        <f>IF(預測IC!DE17&gt;預測IC!DE$26,1,0)</f>
        <v>0</v>
      </c>
      <c r="DF17" s="13">
        <f>IF(預測IC!DF17&gt;預測IC!DF$26,1,0)</f>
        <v>1</v>
      </c>
      <c r="DG17" s="13">
        <f>IF(預測IC!DG17&gt;預測IC!DG$26,1,0)</f>
        <v>0</v>
      </c>
      <c r="DH17" s="13">
        <f>IF(預測IC!DH17&gt;預測IC!DH$26,1,0)</f>
        <v>0</v>
      </c>
      <c r="DI17" s="13">
        <f>IF(預測IC!DI17&gt;預測IC!DI$26,1,0)</f>
        <v>0</v>
      </c>
      <c r="DJ17" s="13">
        <f>IF(預測IC!DJ17&gt;預測IC!DJ$26,1,0)</f>
        <v>0</v>
      </c>
      <c r="DK17" s="13">
        <f>IF(預測IC!DK17&gt;預測IC!DK$26,1,0)</f>
        <v>1</v>
      </c>
      <c r="DL17" s="13">
        <f>IF(預測IC!DL17&gt;預測IC!DL$26,1,0)</f>
        <v>1</v>
      </c>
      <c r="DM17" s="13">
        <f>IF(預測IC!DM17&gt;預測IC!DM$26,1,0)</f>
        <v>0</v>
      </c>
      <c r="DN17" s="13">
        <f>IF(預測IC!DN17&gt;預測IC!DN$26,1,0)</f>
        <v>1</v>
      </c>
      <c r="DO17" s="13">
        <f>IF(預測IC!DO17&gt;預測IC!DO$26,1,0)</f>
        <v>1</v>
      </c>
      <c r="DP17" s="13">
        <f>IF(預測IC!DP17&gt;預測IC!DP$26,1,0)</f>
        <v>1</v>
      </c>
      <c r="DQ17" s="13">
        <f>IF(預測IC!DQ17&gt;預測IC!DQ$26,1,0)</f>
        <v>0</v>
      </c>
      <c r="DR17" s="13">
        <f>IF(預測IC!DR17&gt;預測IC!DR$26,1,0)</f>
        <v>1</v>
      </c>
      <c r="DS17" s="13">
        <f>IF(預測IC!DS17&gt;預測IC!DS$26,1,0)</f>
        <v>0</v>
      </c>
      <c r="DT17" s="13">
        <f>IF(預測IC!DT17&gt;預測IC!DT$26,1,0)</f>
        <v>0</v>
      </c>
      <c r="DU17" s="13">
        <f>IF(預測IC!DU17&gt;預測IC!DU$26,1,0)</f>
        <v>0</v>
      </c>
      <c r="DV17" s="13">
        <f>IF(預測IC!DV17&gt;預測IC!DV$26,1,0)</f>
        <v>1</v>
      </c>
      <c r="DW17" s="13">
        <f>IF(預測IC!DW17&gt;預測IC!DW$26,1,0)</f>
        <v>1</v>
      </c>
      <c r="DX17" s="13">
        <f>IF(預測IC!DX17&gt;預測IC!DX$26,1,0)</f>
        <v>0</v>
      </c>
      <c r="DY17" s="13">
        <f>IF(預測IC!DY17&gt;預測IC!DY$26,1,0)</f>
        <v>1</v>
      </c>
      <c r="DZ17" s="13">
        <f>IF(預測IC!DZ17&gt;預測IC!DZ$26,1,0)</f>
        <v>0</v>
      </c>
      <c r="EA17" s="13">
        <f>IF(預測IC!EA17&gt;預測IC!EA$26,1,0)</f>
        <v>1</v>
      </c>
      <c r="EB17" s="13">
        <f>IF(預測IC!EB17&gt;預測IC!EB$26,1,0)</f>
        <v>1</v>
      </c>
      <c r="EC17" s="13">
        <f>IF(預測IC!EC17&gt;預測IC!EC$26,1,0)</f>
        <v>1</v>
      </c>
      <c r="ED17" s="13">
        <f>IF(預測IC!ED17&gt;預測IC!ED$26,1,0)</f>
        <v>0</v>
      </c>
      <c r="EE17" s="13">
        <f>IF(預測IC!EE17&gt;預測IC!EE$26,1,0)</f>
        <v>0</v>
      </c>
      <c r="EF17" s="13">
        <f>IF(預測IC!EF17&gt;預測IC!EF$26,1,0)</f>
        <v>1</v>
      </c>
      <c r="EG17">
        <f t="shared" si="10"/>
        <v>77</v>
      </c>
      <c r="EH17" s="11">
        <f t="shared" si="11"/>
        <v>0.57462686567164178</v>
      </c>
    </row>
    <row r="18" spans="1:138">
      <c r="A18" s="2">
        <v>137</v>
      </c>
      <c r="B18" s="2">
        <v>7</v>
      </c>
      <c r="C18" s="13">
        <f>IF(預測IC!C18&gt;預測IC!C$26,1,0)</f>
        <v>0</v>
      </c>
      <c r="D18" s="13">
        <f>IF(預測IC!D18&gt;預測IC!D$26,1,0)</f>
        <v>1</v>
      </c>
      <c r="E18" s="13">
        <f>IF(預測IC!E18&gt;預測IC!E$26,1,0)</f>
        <v>0</v>
      </c>
      <c r="F18" s="13">
        <f>IF(預測IC!F18&gt;預測IC!F$26,1,0)</f>
        <v>1</v>
      </c>
      <c r="G18" s="13">
        <f>IF(預測IC!G18&gt;預測IC!G$26,1,0)</f>
        <v>0</v>
      </c>
      <c r="H18" s="13">
        <f>IF(預測IC!H18&gt;預測IC!H$26,1,0)</f>
        <v>1</v>
      </c>
      <c r="I18" s="13">
        <f>IF(預測IC!I18&gt;預測IC!I$26,1,0)</f>
        <v>1</v>
      </c>
      <c r="J18" s="13">
        <f>IF(預測IC!J18&gt;預測IC!J$26,1,0)</f>
        <v>0</v>
      </c>
      <c r="K18" s="13">
        <f>IF(預測IC!K18&gt;預測IC!K$26,1,0)</f>
        <v>0</v>
      </c>
      <c r="L18" s="13">
        <f>IF(預測IC!L18&gt;預測IC!L$26,1,0)</f>
        <v>1</v>
      </c>
      <c r="M18" s="13">
        <f>IF(預測IC!M18&gt;預測IC!M$26,1,0)</f>
        <v>0</v>
      </c>
      <c r="N18" s="13">
        <f>IF(預測IC!N18&gt;預測IC!N$26,1,0)</f>
        <v>1</v>
      </c>
      <c r="O18" s="13">
        <f>IF(預測IC!O18&gt;預測IC!O$26,1,0)</f>
        <v>1</v>
      </c>
      <c r="P18" s="13">
        <f>IF(預測IC!P18&gt;預測IC!P$26,1,0)</f>
        <v>1</v>
      </c>
      <c r="Q18" s="13">
        <f>IF(預測IC!Q18&gt;預測IC!Q$26,1,0)</f>
        <v>1</v>
      </c>
      <c r="R18" s="13">
        <f>IF(預測IC!R18&gt;預測IC!R$26,1,0)</f>
        <v>0</v>
      </c>
      <c r="S18" s="13">
        <f>IF(預測IC!S18&gt;預測IC!S$26,1,0)</f>
        <v>0</v>
      </c>
      <c r="T18" s="13">
        <f>IF(預測IC!T18&gt;預測IC!T$26,1,0)</f>
        <v>1</v>
      </c>
      <c r="U18" s="13">
        <f>IF(預測IC!U18&gt;預測IC!U$26,1,0)</f>
        <v>1</v>
      </c>
      <c r="V18" s="13">
        <f>IF(預測IC!V18&gt;預測IC!V$26,1,0)</f>
        <v>0</v>
      </c>
      <c r="W18" s="13">
        <f>IF(預測IC!W18&gt;預測IC!W$26,1,0)</f>
        <v>1</v>
      </c>
      <c r="X18" s="13">
        <f>IF(預測IC!X18&gt;預測IC!X$26,1,0)</f>
        <v>1</v>
      </c>
      <c r="Y18" s="13">
        <f>IF(預測IC!Y18&gt;預測IC!Y$26,1,0)</f>
        <v>1</v>
      </c>
      <c r="Z18" s="13">
        <f>IF(預測IC!Z18&gt;預測IC!Z$26,1,0)</f>
        <v>0</v>
      </c>
      <c r="AA18" s="13">
        <f>IF(預測IC!AA18&gt;預測IC!AA$26,1,0)</f>
        <v>0</v>
      </c>
      <c r="AB18" s="13">
        <f>IF(預測IC!AB18&gt;預測IC!AB$26,1,0)</f>
        <v>0</v>
      </c>
      <c r="AC18" s="13">
        <f>IF(預測IC!AC18&gt;預測IC!AC$26,1,0)</f>
        <v>0</v>
      </c>
      <c r="AD18" s="13">
        <f>IF(預測IC!AD18&gt;預測IC!AD$26,1,0)</f>
        <v>1</v>
      </c>
      <c r="AE18" s="13">
        <f>IF(預測IC!AE18&gt;預測IC!AE$26,1,0)</f>
        <v>1</v>
      </c>
      <c r="AF18" s="13">
        <f>IF(預測IC!AF18&gt;預測IC!AF$26,1,0)</f>
        <v>0</v>
      </c>
      <c r="AG18" s="13">
        <f>IF(預測IC!AG18&gt;預測IC!AG$26,1,0)</f>
        <v>0</v>
      </c>
      <c r="AH18" s="13">
        <f>IF(預測IC!AH18&gt;預測IC!AH$26,1,0)</f>
        <v>1</v>
      </c>
      <c r="AI18" s="13">
        <f>IF(預測IC!AI18&gt;預測IC!AI$26,1,0)</f>
        <v>1</v>
      </c>
      <c r="AJ18" s="13">
        <f>IF(預測IC!AJ18&gt;預測IC!AJ$26,1,0)</f>
        <v>0</v>
      </c>
      <c r="AK18" s="13">
        <f>IF(預測IC!AK18&gt;預測IC!AK$26,1,0)</f>
        <v>1</v>
      </c>
      <c r="AL18" s="13">
        <f>IF(預測IC!AL18&gt;預測IC!AL$26,1,0)</f>
        <v>1</v>
      </c>
      <c r="AM18" s="13">
        <f>IF(預測IC!AM18&gt;預測IC!AM$26,1,0)</f>
        <v>1</v>
      </c>
      <c r="AN18" s="13">
        <f>IF(預測IC!AN18&gt;預測IC!AN$26,1,0)</f>
        <v>1</v>
      </c>
      <c r="AO18" s="13">
        <f>IF(預測IC!AO18&gt;預測IC!AO$26,1,0)</f>
        <v>0</v>
      </c>
      <c r="AP18" s="13">
        <f>IF(預測IC!AP18&gt;預測IC!AP$26,1,0)</f>
        <v>0</v>
      </c>
      <c r="AQ18" s="13">
        <f>IF(預測IC!AQ18&gt;預測IC!AQ$26,1,0)</f>
        <v>0</v>
      </c>
      <c r="AR18" s="13">
        <f>IF(預測IC!AR18&gt;預測IC!AR$26,1,0)</f>
        <v>1</v>
      </c>
      <c r="AS18" s="13">
        <f>IF(預測IC!AS18&gt;預測IC!AS$26,1,0)</f>
        <v>1</v>
      </c>
      <c r="AT18" s="13">
        <f>IF(預測IC!AT18&gt;預測IC!AT$26,1,0)</f>
        <v>1</v>
      </c>
      <c r="AU18" s="13">
        <f>IF(預測IC!AU18&gt;預測IC!AU$26,1,0)</f>
        <v>1</v>
      </c>
      <c r="AV18" s="13">
        <f>IF(預測IC!AV18&gt;預測IC!AV$26,1,0)</f>
        <v>0</v>
      </c>
      <c r="AW18" s="13">
        <f>IF(預測IC!AW18&gt;預測IC!AW$26,1,0)</f>
        <v>1</v>
      </c>
      <c r="AX18" s="13">
        <f>IF(預測IC!AX18&gt;預測IC!AX$26,1,0)</f>
        <v>1</v>
      </c>
      <c r="AY18" s="13">
        <f>IF(預測IC!AY18&gt;預測IC!AY$26,1,0)</f>
        <v>0</v>
      </c>
      <c r="AZ18" s="13">
        <f>IF(預測IC!AZ18&gt;預測IC!AZ$26,1,0)</f>
        <v>0</v>
      </c>
      <c r="BA18" s="13">
        <f>IF(預測IC!BA18&gt;預測IC!BA$26,1,0)</f>
        <v>0</v>
      </c>
      <c r="BB18" s="13">
        <f>IF(預測IC!BB18&gt;預測IC!BB$26,1,0)</f>
        <v>1</v>
      </c>
      <c r="BC18" s="13">
        <f>IF(預測IC!BC18&gt;預測IC!BC$26,1,0)</f>
        <v>1</v>
      </c>
      <c r="BD18" s="13">
        <f>IF(預測IC!BD18&gt;預測IC!BD$26,1,0)</f>
        <v>0</v>
      </c>
      <c r="BE18" s="13">
        <f>IF(預測IC!BE18&gt;預測IC!BE$26,1,0)</f>
        <v>1</v>
      </c>
      <c r="BF18" s="13">
        <f>IF(預測IC!BF18&gt;預測IC!BF$26,1,0)</f>
        <v>1</v>
      </c>
      <c r="BG18" s="13">
        <f>IF(預測IC!BG18&gt;預測IC!BG$26,1,0)</f>
        <v>0</v>
      </c>
      <c r="BH18" s="13">
        <f>IF(預測IC!BH18&gt;預測IC!BH$26,1,0)</f>
        <v>1</v>
      </c>
      <c r="BI18" s="13">
        <f>IF(預測IC!BI18&gt;預測IC!BI$26,1,0)</f>
        <v>1</v>
      </c>
      <c r="BJ18" s="13">
        <f>IF(預測IC!BJ18&gt;預測IC!BJ$26,1,0)</f>
        <v>1</v>
      </c>
      <c r="BK18" s="13">
        <f>IF(預測IC!BK18&gt;預測IC!BK$26,1,0)</f>
        <v>0</v>
      </c>
      <c r="BL18" s="13">
        <f>IF(預測IC!BL18&gt;預測IC!BL$26,1,0)</f>
        <v>1</v>
      </c>
      <c r="BM18" s="13">
        <f>IF(預測IC!BM18&gt;預測IC!BM$26,1,0)</f>
        <v>1</v>
      </c>
      <c r="BN18" s="13">
        <f>IF(預測IC!BN18&gt;預測IC!BN$26,1,0)</f>
        <v>1</v>
      </c>
      <c r="BO18" s="13">
        <f>IF(預測IC!BO18&gt;預測IC!BO$26,1,0)</f>
        <v>1</v>
      </c>
      <c r="BP18" s="13">
        <f>IF(預測IC!BP18&gt;預測IC!BP$26,1,0)</f>
        <v>1</v>
      </c>
      <c r="BQ18" s="13">
        <f>IF(預測IC!BQ18&gt;預測IC!BQ$26,1,0)</f>
        <v>0</v>
      </c>
      <c r="BR18" s="13">
        <f>IF(預測IC!BR18&gt;預測IC!BR$26,1,0)</f>
        <v>1</v>
      </c>
      <c r="BS18" s="13">
        <f>IF(預測IC!BS18&gt;預測IC!BS$26,1,0)</f>
        <v>0</v>
      </c>
      <c r="BT18" s="13">
        <f>IF(預測IC!BT18&gt;預測IC!BT$26,1,0)</f>
        <v>1</v>
      </c>
      <c r="BU18" s="13">
        <f>IF(預測IC!BU18&gt;預測IC!BU$26,1,0)</f>
        <v>1</v>
      </c>
      <c r="BV18" s="13">
        <f>IF(預測IC!BV18&gt;預測IC!BV$26,1,0)</f>
        <v>1</v>
      </c>
      <c r="BW18" s="13">
        <f>IF(預測IC!BW18&gt;預測IC!BW$26,1,0)</f>
        <v>0</v>
      </c>
      <c r="BX18" s="13">
        <f>IF(預測IC!BX18&gt;預測IC!BX$26,1,0)</f>
        <v>1</v>
      </c>
      <c r="BY18" s="13">
        <f>IF(預測IC!BY18&gt;預測IC!BY$26,1,0)</f>
        <v>1</v>
      </c>
      <c r="BZ18" s="13">
        <f>IF(預測IC!BZ18&gt;預測IC!BZ$26,1,0)</f>
        <v>1</v>
      </c>
      <c r="CA18" s="13">
        <f>IF(預測IC!CA18&gt;預測IC!CA$26,1,0)</f>
        <v>1</v>
      </c>
      <c r="CB18" s="13">
        <f>IF(預測IC!CB18&gt;預測IC!CB$26,1,0)</f>
        <v>0</v>
      </c>
      <c r="CC18" s="13">
        <f>IF(預測IC!CC18&gt;預測IC!CC$26,1,0)</f>
        <v>0</v>
      </c>
      <c r="CD18" s="13">
        <f>IF(預測IC!CD18&gt;預測IC!CD$26,1,0)</f>
        <v>1</v>
      </c>
      <c r="CE18" s="13">
        <f>IF(預測IC!CE18&gt;預測IC!CE$26,1,0)</f>
        <v>0</v>
      </c>
      <c r="CF18" s="13">
        <f>IF(預測IC!CF18&gt;預測IC!CF$26,1,0)</f>
        <v>1</v>
      </c>
      <c r="CG18" s="13">
        <f>IF(預測IC!CG18&gt;預測IC!CG$26,1,0)</f>
        <v>0</v>
      </c>
      <c r="CH18" s="13">
        <f>IF(預測IC!CH18&gt;預測IC!CH$26,1,0)</f>
        <v>1</v>
      </c>
      <c r="CI18" s="13">
        <f>IF(預測IC!CI18&gt;預測IC!CI$26,1,0)</f>
        <v>0</v>
      </c>
      <c r="CJ18" s="13">
        <f>IF(預測IC!CJ18&gt;預測IC!CJ$26,1,0)</f>
        <v>0</v>
      </c>
      <c r="CK18" s="13">
        <f>IF(預測IC!CK18&gt;預測IC!CK$26,1,0)</f>
        <v>1</v>
      </c>
      <c r="CL18" s="13">
        <f>IF(預測IC!CL18&gt;預測IC!CL$26,1,0)</f>
        <v>0</v>
      </c>
      <c r="CM18" s="13">
        <f>IF(預測IC!CM18&gt;預測IC!CM$26,1,0)</f>
        <v>1</v>
      </c>
      <c r="CN18" s="13">
        <f>IF(預測IC!CN18&gt;預測IC!CN$26,1,0)</f>
        <v>0</v>
      </c>
      <c r="CO18" s="13">
        <f>IF(預測IC!CO18&gt;預測IC!CO$26,1,0)</f>
        <v>0</v>
      </c>
      <c r="CP18" s="13">
        <f>IF(預測IC!CP18&gt;預測IC!CP$26,1,0)</f>
        <v>1</v>
      </c>
      <c r="CQ18" s="13">
        <f>IF(預測IC!CQ18&gt;預測IC!CQ$26,1,0)</f>
        <v>1</v>
      </c>
      <c r="CR18" s="13">
        <f>IF(預測IC!CR18&gt;預測IC!CR$26,1,0)</f>
        <v>1</v>
      </c>
      <c r="CS18" s="13">
        <f>IF(預測IC!CS18&gt;預測IC!CS$26,1,0)</f>
        <v>1</v>
      </c>
      <c r="CT18" s="13">
        <f>IF(預測IC!CT18&gt;預測IC!CT$26,1,0)</f>
        <v>1</v>
      </c>
      <c r="CU18" s="13">
        <f>IF(預測IC!CU18&gt;預測IC!CU$26,1,0)</f>
        <v>0</v>
      </c>
      <c r="CV18" s="13">
        <f>IF(預測IC!CV18&gt;預測IC!CV$26,1,0)</f>
        <v>1</v>
      </c>
      <c r="CW18" s="13">
        <f>IF(預測IC!CW18&gt;預測IC!CW$26,1,0)</f>
        <v>0</v>
      </c>
      <c r="CX18" s="13">
        <f>IF(預測IC!CX18&gt;預測IC!CX$26,1,0)</f>
        <v>1</v>
      </c>
      <c r="CY18" s="13">
        <f>IF(預測IC!CY18&gt;預測IC!CY$26,1,0)</f>
        <v>0</v>
      </c>
      <c r="CZ18" s="13">
        <f>IF(預測IC!CZ18&gt;預測IC!CZ$26,1,0)</f>
        <v>1</v>
      </c>
      <c r="DA18" s="13">
        <f>IF(預測IC!DA18&gt;預測IC!DA$26,1,0)</f>
        <v>0</v>
      </c>
      <c r="DB18" s="13">
        <f>IF(預測IC!DB18&gt;預測IC!DB$26,1,0)</f>
        <v>0</v>
      </c>
      <c r="DC18" s="13">
        <f>IF(預測IC!DC18&gt;預測IC!DC$26,1,0)</f>
        <v>1</v>
      </c>
      <c r="DD18" s="13">
        <f>IF(預測IC!DD18&gt;預測IC!DD$26,1,0)</f>
        <v>0</v>
      </c>
      <c r="DE18" s="13">
        <f>IF(預測IC!DE18&gt;預測IC!DE$26,1,0)</f>
        <v>0</v>
      </c>
      <c r="DF18" s="13">
        <f>IF(預測IC!DF18&gt;預測IC!DF$26,1,0)</f>
        <v>1</v>
      </c>
      <c r="DG18" s="13">
        <f>IF(預測IC!DG18&gt;預測IC!DG$26,1,0)</f>
        <v>0</v>
      </c>
      <c r="DH18" s="13">
        <f>IF(預測IC!DH18&gt;預測IC!DH$26,1,0)</f>
        <v>0</v>
      </c>
      <c r="DI18" s="13">
        <f>IF(預測IC!DI18&gt;預測IC!DI$26,1,0)</f>
        <v>0</v>
      </c>
      <c r="DJ18" s="13">
        <f>IF(預測IC!DJ18&gt;預測IC!DJ$26,1,0)</f>
        <v>0</v>
      </c>
      <c r="DK18" s="13">
        <f>IF(預測IC!DK18&gt;預測IC!DK$26,1,0)</f>
        <v>1</v>
      </c>
      <c r="DL18" s="13">
        <f>IF(預測IC!DL18&gt;預測IC!DL$26,1,0)</f>
        <v>1</v>
      </c>
      <c r="DM18" s="13">
        <f>IF(預測IC!DM18&gt;預測IC!DM$26,1,0)</f>
        <v>0</v>
      </c>
      <c r="DN18" s="13">
        <f>IF(預測IC!DN18&gt;預測IC!DN$26,1,0)</f>
        <v>1</v>
      </c>
      <c r="DO18" s="13">
        <f>IF(預測IC!DO18&gt;預測IC!DO$26,1,0)</f>
        <v>1</v>
      </c>
      <c r="DP18" s="13">
        <f>IF(預測IC!DP18&gt;預測IC!DP$26,1,0)</f>
        <v>1</v>
      </c>
      <c r="DQ18" s="13">
        <f>IF(預測IC!DQ18&gt;預測IC!DQ$26,1,0)</f>
        <v>0</v>
      </c>
      <c r="DR18" s="13">
        <f>IF(預測IC!DR18&gt;預測IC!DR$26,1,0)</f>
        <v>1</v>
      </c>
      <c r="DS18" s="13">
        <f>IF(預測IC!DS18&gt;預測IC!DS$26,1,0)</f>
        <v>0</v>
      </c>
      <c r="DT18" s="13">
        <f>IF(預測IC!DT18&gt;預測IC!DT$26,1,0)</f>
        <v>0</v>
      </c>
      <c r="DU18" s="13">
        <f>IF(預測IC!DU18&gt;預測IC!DU$26,1,0)</f>
        <v>0</v>
      </c>
      <c r="DV18" s="13">
        <f>IF(預測IC!DV18&gt;預測IC!DV$26,1,0)</f>
        <v>1</v>
      </c>
      <c r="DW18" s="13">
        <f>IF(預測IC!DW18&gt;預測IC!DW$26,1,0)</f>
        <v>1</v>
      </c>
      <c r="DX18" s="13">
        <f>IF(預測IC!DX18&gt;預測IC!DX$26,1,0)</f>
        <v>0</v>
      </c>
      <c r="DY18" s="13">
        <f>IF(預測IC!DY18&gt;預測IC!DY$26,1,0)</f>
        <v>1</v>
      </c>
      <c r="DZ18" s="13">
        <f>IF(預測IC!DZ18&gt;預測IC!DZ$26,1,0)</f>
        <v>0</v>
      </c>
      <c r="EA18" s="13">
        <f>IF(預測IC!EA18&gt;預測IC!EA$26,1,0)</f>
        <v>0</v>
      </c>
      <c r="EB18" s="13">
        <f>IF(預測IC!EB18&gt;預測IC!EB$26,1,0)</f>
        <v>1</v>
      </c>
      <c r="EC18" s="13">
        <f>IF(預測IC!EC18&gt;預測IC!EC$26,1,0)</f>
        <v>1</v>
      </c>
      <c r="ED18" s="13">
        <f>IF(預測IC!ED18&gt;預測IC!ED$26,1,0)</f>
        <v>0</v>
      </c>
      <c r="EE18" s="13">
        <f>IF(預測IC!EE18&gt;預測IC!EE$26,1,0)</f>
        <v>0</v>
      </c>
      <c r="EF18" s="13">
        <f>IF(預測IC!EF18&gt;預測IC!EF$26,1,0)</f>
        <v>1</v>
      </c>
      <c r="EG18">
        <f t="shared" si="10"/>
        <v>75</v>
      </c>
      <c r="EH18" s="11">
        <f t="shared" si="11"/>
        <v>0.55970149253731338</v>
      </c>
    </row>
    <row r="19" spans="1:138">
      <c r="A19" s="2">
        <v>160</v>
      </c>
      <c r="B19" s="2">
        <v>6</v>
      </c>
      <c r="C19" s="13">
        <f>IF(預測IC!C19&gt;預測IC!C$26,1,0)</f>
        <v>0</v>
      </c>
      <c r="D19" s="13">
        <f>IF(預測IC!D19&gt;預測IC!D$26,1,0)</f>
        <v>1</v>
      </c>
      <c r="E19" s="13">
        <f>IF(預測IC!E19&gt;預測IC!E$26,1,0)</f>
        <v>0</v>
      </c>
      <c r="F19" s="13">
        <f>IF(預測IC!F19&gt;預測IC!F$26,1,0)</f>
        <v>1</v>
      </c>
      <c r="G19" s="13">
        <f>IF(預測IC!G19&gt;預測IC!G$26,1,0)</f>
        <v>0</v>
      </c>
      <c r="H19" s="13">
        <f>IF(預測IC!H19&gt;預測IC!H$26,1,0)</f>
        <v>1</v>
      </c>
      <c r="I19" s="13">
        <f>IF(預測IC!I19&gt;預測IC!I$26,1,0)</f>
        <v>1</v>
      </c>
      <c r="J19" s="13">
        <f>IF(預測IC!J19&gt;預測IC!J$26,1,0)</f>
        <v>0</v>
      </c>
      <c r="K19" s="13">
        <f>IF(預測IC!K19&gt;預測IC!K$26,1,0)</f>
        <v>0</v>
      </c>
      <c r="L19" s="13">
        <f>IF(預測IC!L19&gt;預測IC!L$26,1,0)</f>
        <v>1</v>
      </c>
      <c r="M19" s="13">
        <f>IF(預測IC!M19&gt;預測IC!M$26,1,0)</f>
        <v>0</v>
      </c>
      <c r="N19" s="13">
        <f>IF(預測IC!N19&gt;預測IC!N$26,1,0)</f>
        <v>1</v>
      </c>
      <c r="O19" s="13">
        <f>IF(預測IC!O19&gt;預測IC!O$26,1,0)</f>
        <v>0</v>
      </c>
      <c r="P19" s="13">
        <f>IF(預測IC!P19&gt;預測IC!P$26,1,0)</f>
        <v>0</v>
      </c>
      <c r="Q19" s="13">
        <f>IF(預測IC!Q19&gt;預測IC!Q$26,1,0)</f>
        <v>1</v>
      </c>
      <c r="R19" s="13">
        <f>IF(預測IC!R19&gt;預測IC!R$26,1,0)</f>
        <v>1</v>
      </c>
      <c r="S19" s="13">
        <f>IF(預測IC!S19&gt;預測IC!S$26,1,0)</f>
        <v>0</v>
      </c>
      <c r="T19" s="13">
        <f>IF(預測IC!T19&gt;預測IC!T$26,1,0)</f>
        <v>0</v>
      </c>
      <c r="U19" s="13">
        <f>IF(預測IC!U19&gt;預測IC!U$26,1,0)</f>
        <v>1</v>
      </c>
      <c r="V19" s="13">
        <f>IF(預測IC!V19&gt;預測IC!V$26,1,0)</f>
        <v>0</v>
      </c>
      <c r="W19" s="13">
        <f>IF(預測IC!W19&gt;預測IC!W$26,1,0)</f>
        <v>1</v>
      </c>
      <c r="X19" s="13">
        <f>IF(預測IC!X19&gt;預測IC!X$26,1,0)</f>
        <v>1</v>
      </c>
      <c r="Y19" s="13">
        <f>IF(預測IC!Y19&gt;預測IC!Y$26,1,0)</f>
        <v>1</v>
      </c>
      <c r="Z19" s="13">
        <f>IF(預測IC!Z19&gt;預測IC!Z$26,1,0)</f>
        <v>0</v>
      </c>
      <c r="AA19" s="13">
        <f>IF(預測IC!AA19&gt;預測IC!AA$26,1,0)</f>
        <v>0</v>
      </c>
      <c r="AB19" s="13">
        <f>IF(預測IC!AB19&gt;預測IC!AB$26,1,0)</f>
        <v>0</v>
      </c>
      <c r="AC19" s="13">
        <f>IF(預測IC!AC19&gt;預測IC!AC$26,1,0)</f>
        <v>0</v>
      </c>
      <c r="AD19" s="13">
        <f>IF(預測IC!AD19&gt;預測IC!AD$26,1,0)</f>
        <v>1</v>
      </c>
      <c r="AE19" s="13">
        <f>IF(預測IC!AE19&gt;預測IC!AE$26,1,0)</f>
        <v>1</v>
      </c>
      <c r="AF19" s="13">
        <f>IF(預測IC!AF19&gt;預測IC!AF$26,1,0)</f>
        <v>0</v>
      </c>
      <c r="AG19" s="13">
        <f>IF(預測IC!AG19&gt;預測IC!AG$26,1,0)</f>
        <v>0</v>
      </c>
      <c r="AH19" s="13">
        <f>IF(預測IC!AH19&gt;預測IC!AH$26,1,0)</f>
        <v>1</v>
      </c>
      <c r="AI19" s="13">
        <f>IF(預測IC!AI19&gt;預測IC!AI$26,1,0)</f>
        <v>1</v>
      </c>
      <c r="AJ19" s="13">
        <f>IF(預測IC!AJ19&gt;預測IC!AJ$26,1,0)</f>
        <v>0</v>
      </c>
      <c r="AK19" s="13">
        <f>IF(預測IC!AK19&gt;預測IC!AK$26,1,0)</f>
        <v>1</v>
      </c>
      <c r="AL19" s="13">
        <f>IF(預測IC!AL19&gt;預測IC!AL$26,1,0)</f>
        <v>1</v>
      </c>
      <c r="AM19" s="13">
        <f>IF(預測IC!AM19&gt;預測IC!AM$26,1,0)</f>
        <v>1</v>
      </c>
      <c r="AN19" s="13">
        <f>IF(預測IC!AN19&gt;預測IC!AN$26,1,0)</f>
        <v>1</v>
      </c>
      <c r="AO19" s="13">
        <f>IF(預測IC!AO19&gt;預測IC!AO$26,1,0)</f>
        <v>1</v>
      </c>
      <c r="AP19" s="13">
        <f>IF(預測IC!AP19&gt;預測IC!AP$26,1,0)</f>
        <v>1</v>
      </c>
      <c r="AQ19" s="13">
        <f>IF(預測IC!AQ19&gt;預測IC!AQ$26,1,0)</f>
        <v>0</v>
      </c>
      <c r="AR19" s="13">
        <f>IF(預測IC!AR19&gt;預測IC!AR$26,1,0)</f>
        <v>1</v>
      </c>
      <c r="AS19" s="13">
        <f>IF(預測IC!AS19&gt;預測IC!AS$26,1,0)</f>
        <v>1</v>
      </c>
      <c r="AT19" s="13">
        <f>IF(預測IC!AT19&gt;預測IC!AT$26,1,0)</f>
        <v>1</v>
      </c>
      <c r="AU19" s="13">
        <f>IF(預測IC!AU19&gt;預測IC!AU$26,1,0)</f>
        <v>1</v>
      </c>
      <c r="AV19" s="13">
        <f>IF(預測IC!AV19&gt;預測IC!AV$26,1,0)</f>
        <v>0</v>
      </c>
      <c r="AW19" s="13">
        <f>IF(預測IC!AW19&gt;預測IC!AW$26,1,0)</f>
        <v>1</v>
      </c>
      <c r="AX19" s="13">
        <f>IF(預測IC!AX19&gt;預測IC!AX$26,1,0)</f>
        <v>1</v>
      </c>
      <c r="AY19" s="13">
        <f>IF(預測IC!AY19&gt;預測IC!AY$26,1,0)</f>
        <v>0</v>
      </c>
      <c r="AZ19" s="13">
        <f>IF(預測IC!AZ19&gt;預測IC!AZ$26,1,0)</f>
        <v>0</v>
      </c>
      <c r="BA19" s="13">
        <f>IF(預測IC!BA19&gt;預測IC!BA$26,1,0)</f>
        <v>0</v>
      </c>
      <c r="BB19" s="13">
        <f>IF(預測IC!BB19&gt;預測IC!BB$26,1,0)</f>
        <v>1</v>
      </c>
      <c r="BC19" s="13">
        <f>IF(預測IC!BC19&gt;預測IC!BC$26,1,0)</f>
        <v>1</v>
      </c>
      <c r="BD19" s="13">
        <f>IF(預測IC!BD19&gt;預測IC!BD$26,1,0)</f>
        <v>1</v>
      </c>
      <c r="BE19" s="13">
        <f>IF(預測IC!BE19&gt;預測IC!BE$26,1,0)</f>
        <v>1</v>
      </c>
      <c r="BF19" s="13">
        <f>IF(預測IC!BF19&gt;預測IC!BF$26,1,0)</f>
        <v>1</v>
      </c>
      <c r="BG19" s="13">
        <f>IF(預測IC!BG19&gt;預測IC!BG$26,1,0)</f>
        <v>0</v>
      </c>
      <c r="BH19" s="13">
        <f>IF(預測IC!BH19&gt;預測IC!BH$26,1,0)</f>
        <v>1</v>
      </c>
      <c r="BI19" s="13">
        <f>IF(預測IC!BI19&gt;預測IC!BI$26,1,0)</f>
        <v>1</v>
      </c>
      <c r="BJ19" s="13">
        <f>IF(預測IC!BJ19&gt;預測IC!BJ$26,1,0)</f>
        <v>1</v>
      </c>
      <c r="BK19" s="13">
        <f>IF(預測IC!BK19&gt;預測IC!BK$26,1,0)</f>
        <v>0</v>
      </c>
      <c r="BL19" s="13">
        <f>IF(預測IC!BL19&gt;預測IC!BL$26,1,0)</f>
        <v>1</v>
      </c>
      <c r="BM19" s="13">
        <f>IF(預測IC!BM19&gt;預測IC!BM$26,1,0)</f>
        <v>1</v>
      </c>
      <c r="BN19" s="13">
        <f>IF(預測IC!BN19&gt;預測IC!BN$26,1,0)</f>
        <v>1</v>
      </c>
      <c r="BO19" s="13">
        <f>IF(預測IC!BO19&gt;預測IC!BO$26,1,0)</f>
        <v>1</v>
      </c>
      <c r="BP19" s="13">
        <f>IF(預測IC!BP19&gt;預測IC!BP$26,1,0)</f>
        <v>1</v>
      </c>
      <c r="BQ19" s="13">
        <f>IF(預測IC!BQ19&gt;預測IC!BQ$26,1,0)</f>
        <v>1</v>
      </c>
      <c r="BR19" s="13">
        <f>IF(預測IC!BR19&gt;預測IC!BR$26,1,0)</f>
        <v>1</v>
      </c>
      <c r="BS19" s="13">
        <f>IF(預測IC!BS19&gt;預測IC!BS$26,1,0)</f>
        <v>0</v>
      </c>
      <c r="BT19" s="13">
        <f>IF(預測IC!BT19&gt;預測IC!BT$26,1,0)</f>
        <v>1</v>
      </c>
      <c r="BU19" s="13">
        <f>IF(預測IC!BU19&gt;預測IC!BU$26,1,0)</f>
        <v>1</v>
      </c>
      <c r="BV19" s="13">
        <f>IF(預測IC!BV19&gt;預測IC!BV$26,1,0)</f>
        <v>1</v>
      </c>
      <c r="BW19" s="13">
        <f>IF(預測IC!BW19&gt;預測IC!BW$26,1,0)</f>
        <v>0</v>
      </c>
      <c r="BX19" s="13">
        <f>IF(預測IC!BX19&gt;預測IC!BX$26,1,0)</f>
        <v>1</v>
      </c>
      <c r="BY19" s="13">
        <f>IF(預測IC!BY19&gt;預測IC!BY$26,1,0)</f>
        <v>1</v>
      </c>
      <c r="BZ19" s="13">
        <f>IF(預測IC!BZ19&gt;預測IC!BZ$26,1,0)</f>
        <v>0</v>
      </c>
      <c r="CA19" s="13">
        <f>IF(預測IC!CA19&gt;預測IC!CA$26,1,0)</f>
        <v>1</v>
      </c>
      <c r="CB19" s="13">
        <f>IF(預測IC!CB19&gt;預測IC!CB$26,1,0)</f>
        <v>0</v>
      </c>
      <c r="CC19" s="13">
        <f>IF(預測IC!CC19&gt;預測IC!CC$26,1,0)</f>
        <v>0</v>
      </c>
      <c r="CD19" s="13">
        <f>IF(預測IC!CD19&gt;預測IC!CD$26,1,0)</f>
        <v>1</v>
      </c>
      <c r="CE19" s="13">
        <f>IF(預測IC!CE19&gt;預測IC!CE$26,1,0)</f>
        <v>0</v>
      </c>
      <c r="CF19" s="13">
        <f>IF(預測IC!CF19&gt;預測IC!CF$26,1,0)</f>
        <v>1</v>
      </c>
      <c r="CG19" s="13">
        <f>IF(預測IC!CG19&gt;預測IC!CG$26,1,0)</f>
        <v>0</v>
      </c>
      <c r="CH19" s="13">
        <f>IF(預測IC!CH19&gt;預測IC!CH$26,1,0)</f>
        <v>1</v>
      </c>
      <c r="CI19" s="13">
        <f>IF(預測IC!CI19&gt;預測IC!CI$26,1,0)</f>
        <v>0</v>
      </c>
      <c r="CJ19" s="13">
        <f>IF(預測IC!CJ19&gt;預測IC!CJ$26,1,0)</f>
        <v>0</v>
      </c>
      <c r="CK19" s="13">
        <f>IF(預測IC!CK19&gt;預測IC!CK$26,1,0)</f>
        <v>1</v>
      </c>
      <c r="CL19" s="13">
        <f>IF(預測IC!CL19&gt;預測IC!CL$26,1,0)</f>
        <v>0</v>
      </c>
      <c r="CM19" s="13">
        <f>IF(預測IC!CM19&gt;預測IC!CM$26,1,0)</f>
        <v>1</v>
      </c>
      <c r="CN19" s="13">
        <f>IF(預測IC!CN19&gt;預測IC!CN$26,1,0)</f>
        <v>0</v>
      </c>
      <c r="CO19" s="13">
        <f>IF(預測IC!CO19&gt;預測IC!CO$26,1,0)</f>
        <v>0</v>
      </c>
      <c r="CP19" s="13">
        <f>IF(預測IC!CP19&gt;預測IC!CP$26,1,0)</f>
        <v>1</v>
      </c>
      <c r="CQ19" s="13">
        <f>IF(預測IC!CQ19&gt;預測IC!CQ$26,1,0)</f>
        <v>1</v>
      </c>
      <c r="CR19" s="13">
        <f>IF(預測IC!CR19&gt;預測IC!CR$26,1,0)</f>
        <v>1</v>
      </c>
      <c r="CS19" s="13">
        <f>IF(預測IC!CS19&gt;預測IC!CS$26,1,0)</f>
        <v>1</v>
      </c>
      <c r="CT19" s="13">
        <f>IF(預測IC!CT19&gt;預測IC!CT$26,1,0)</f>
        <v>1</v>
      </c>
      <c r="CU19" s="13">
        <f>IF(預測IC!CU19&gt;預測IC!CU$26,1,0)</f>
        <v>0</v>
      </c>
      <c r="CV19" s="13">
        <f>IF(預測IC!CV19&gt;預測IC!CV$26,1,0)</f>
        <v>1</v>
      </c>
      <c r="CW19" s="13">
        <f>IF(預測IC!CW19&gt;預測IC!CW$26,1,0)</f>
        <v>0</v>
      </c>
      <c r="CX19" s="13">
        <f>IF(預測IC!CX19&gt;預測IC!CX$26,1,0)</f>
        <v>1</v>
      </c>
      <c r="CY19" s="13">
        <f>IF(預測IC!CY19&gt;預測IC!CY$26,1,0)</f>
        <v>0</v>
      </c>
      <c r="CZ19" s="13">
        <f>IF(預測IC!CZ19&gt;預測IC!CZ$26,1,0)</f>
        <v>1</v>
      </c>
      <c r="DA19" s="13">
        <f>IF(預測IC!DA19&gt;預測IC!DA$26,1,0)</f>
        <v>0</v>
      </c>
      <c r="DB19" s="13">
        <f>IF(預測IC!DB19&gt;預測IC!DB$26,1,0)</f>
        <v>0</v>
      </c>
      <c r="DC19" s="13">
        <f>IF(預測IC!DC19&gt;預測IC!DC$26,1,0)</f>
        <v>1</v>
      </c>
      <c r="DD19" s="13">
        <f>IF(預測IC!DD19&gt;預測IC!DD$26,1,0)</f>
        <v>0</v>
      </c>
      <c r="DE19" s="13">
        <f>IF(預測IC!DE19&gt;預測IC!DE$26,1,0)</f>
        <v>0</v>
      </c>
      <c r="DF19" s="13">
        <f>IF(預測IC!DF19&gt;預測IC!DF$26,1,0)</f>
        <v>0</v>
      </c>
      <c r="DG19" s="13">
        <f>IF(預測IC!DG19&gt;預測IC!DG$26,1,0)</f>
        <v>0</v>
      </c>
      <c r="DH19" s="13">
        <f>IF(預測IC!DH19&gt;預測IC!DH$26,1,0)</f>
        <v>0</v>
      </c>
      <c r="DI19" s="13">
        <f>IF(預測IC!DI19&gt;預測IC!DI$26,1,0)</f>
        <v>0</v>
      </c>
      <c r="DJ19" s="13">
        <f>IF(預測IC!DJ19&gt;預測IC!DJ$26,1,0)</f>
        <v>0</v>
      </c>
      <c r="DK19" s="13">
        <f>IF(預測IC!DK19&gt;預測IC!DK$26,1,0)</f>
        <v>1</v>
      </c>
      <c r="DL19" s="13">
        <f>IF(預測IC!DL19&gt;預測IC!DL$26,1,0)</f>
        <v>1</v>
      </c>
      <c r="DM19" s="13">
        <f>IF(預測IC!DM19&gt;預測IC!DM$26,1,0)</f>
        <v>0</v>
      </c>
      <c r="DN19" s="13">
        <f>IF(預測IC!DN19&gt;預測IC!DN$26,1,0)</f>
        <v>1</v>
      </c>
      <c r="DO19" s="13">
        <f>IF(預測IC!DO19&gt;預測IC!DO$26,1,0)</f>
        <v>1</v>
      </c>
      <c r="DP19" s="13">
        <f>IF(預測IC!DP19&gt;預測IC!DP$26,1,0)</f>
        <v>1</v>
      </c>
      <c r="DQ19" s="13">
        <f>IF(預測IC!DQ19&gt;預測IC!DQ$26,1,0)</f>
        <v>0</v>
      </c>
      <c r="DR19" s="13">
        <f>IF(預測IC!DR19&gt;預測IC!DR$26,1,0)</f>
        <v>1</v>
      </c>
      <c r="DS19" s="13">
        <f>IF(預測IC!DS19&gt;預測IC!DS$26,1,0)</f>
        <v>0</v>
      </c>
      <c r="DT19" s="13">
        <f>IF(預測IC!DT19&gt;預測IC!DT$26,1,0)</f>
        <v>0</v>
      </c>
      <c r="DU19" s="13">
        <f>IF(預測IC!DU19&gt;預測IC!DU$26,1,0)</f>
        <v>0</v>
      </c>
      <c r="DV19" s="13">
        <f>IF(預測IC!DV19&gt;預測IC!DV$26,1,0)</f>
        <v>1</v>
      </c>
      <c r="DW19" s="13">
        <f>IF(預測IC!DW19&gt;預測IC!DW$26,1,0)</f>
        <v>1</v>
      </c>
      <c r="DX19" s="13">
        <f>IF(預測IC!DX19&gt;預測IC!DX$26,1,0)</f>
        <v>0</v>
      </c>
      <c r="DY19" s="13">
        <f>IF(預測IC!DY19&gt;預測IC!DY$26,1,0)</f>
        <v>1</v>
      </c>
      <c r="DZ19" s="13">
        <f>IF(預測IC!DZ19&gt;預測IC!DZ$26,1,0)</f>
        <v>0</v>
      </c>
      <c r="EA19" s="13">
        <f>IF(預測IC!EA19&gt;預測IC!EA$26,1,0)</f>
        <v>0</v>
      </c>
      <c r="EB19" s="13">
        <f>IF(預測IC!EB19&gt;預測IC!EB$26,1,0)</f>
        <v>0</v>
      </c>
      <c r="EC19" s="13">
        <f>IF(預測IC!EC19&gt;預測IC!EC$26,1,0)</f>
        <v>1</v>
      </c>
      <c r="ED19" s="13">
        <f>IF(預測IC!ED19&gt;預測IC!ED$26,1,0)</f>
        <v>0</v>
      </c>
      <c r="EE19" s="13">
        <f>IF(預測IC!EE19&gt;預測IC!EE$26,1,0)</f>
        <v>0</v>
      </c>
      <c r="EF19" s="13">
        <f>IF(預測IC!EF19&gt;預測IC!EF$26,1,0)</f>
        <v>1</v>
      </c>
      <c r="EG19">
        <f t="shared" si="10"/>
        <v>74</v>
      </c>
      <c r="EH19" s="11">
        <f t="shared" si="11"/>
        <v>0.55223880597014929</v>
      </c>
    </row>
    <row r="20" spans="1:138">
      <c r="A20" s="2">
        <v>192</v>
      </c>
      <c r="B20" s="2">
        <v>5</v>
      </c>
      <c r="C20" s="13">
        <f>IF(預測IC!C20&gt;預測IC!C$26,1,0)</f>
        <v>0</v>
      </c>
      <c r="D20" s="13">
        <f>IF(預測IC!D20&gt;預測IC!D$26,1,0)</f>
        <v>1</v>
      </c>
      <c r="E20" s="13">
        <f>IF(預測IC!E20&gt;預測IC!E$26,1,0)</f>
        <v>0</v>
      </c>
      <c r="F20" s="13">
        <f>IF(預測IC!F20&gt;預測IC!F$26,1,0)</f>
        <v>1</v>
      </c>
      <c r="G20" s="13">
        <f>IF(預測IC!G20&gt;預測IC!G$26,1,0)</f>
        <v>0</v>
      </c>
      <c r="H20" s="13">
        <f>IF(預測IC!H20&gt;預測IC!H$26,1,0)</f>
        <v>1</v>
      </c>
      <c r="I20" s="13">
        <f>IF(預測IC!I20&gt;預測IC!I$26,1,0)</f>
        <v>1</v>
      </c>
      <c r="J20" s="13">
        <f>IF(預測IC!J20&gt;預測IC!J$26,1,0)</f>
        <v>0</v>
      </c>
      <c r="K20" s="13">
        <f>IF(預測IC!K20&gt;預測IC!K$26,1,0)</f>
        <v>0</v>
      </c>
      <c r="L20" s="13">
        <f>IF(預測IC!L20&gt;預測IC!L$26,1,0)</f>
        <v>1</v>
      </c>
      <c r="M20" s="13">
        <f>IF(預測IC!M20&gt;預測IC!M$26,1,0)</f>
        <v>0</v>
      </c>
      <c r="N20" s="13">
        <f>IF(預測IC!N20&gt;預測IC!N$26,1,0)</f>
        <v>1</v>
      </c>
      <c r="O20" s="13">
        <f>IF(預測IC!O20&gt;預測IC!O$26,1,0)</f>
        <v>0</v>
      </c>
      <c r="P20" s="13">
        <f>IF(預測IC!P20&gt;預測IC!P$26,1,0)</f>
        <v>1</v>
      </c>
      <c r="Q20" s="13">
        <f>IF(預測IC!Q20&gt;預測IC!Q$26,1,0)</f>
        <v>1</v>
      </c>
      <c r="R20" s="13">
        <f>IF(預測IC!R20&gt;預測IC!R$26,1,0)</f>
        <v>1</v>
      </c>
      <c r="S20" s="13">
        <f>IF(預測IC!S20&gt;預測IC!S$26,1,0)</f>
        <v>0</v>
      </c>
      <c r="T20" s="13">
        <f>IF(預測IC!T20&gt;預測IC!T$26,1,0)</f>
        <v>0</v>
      </c>
      <c r="U20" s="13">
        <f>IF(預測IC!U20&gt;預測IC!U$26,1,0)</f>
        <v>1</v>
      </c>
      <c r="V20" s="13">
        <f>IF(預測IC!V20&gt;預測IC!V$26,1,0)</f>
        <v>0</v>
      </c>
      <c r="W20" s="13">
        <f>IF(預測IC!W20&gt;預測IC!W$26,1,0)</f>
        <v>1</v>
      </c>
      <c r="X20" s="13">
        <f>IF(預測IC!X20&gt;預測IC!X$26,1,0)</f>
        <v>1</v>
      </c>
      <c r="Y20" s="13">
        <f>IF(預測IC!Y20&gt;預測IC!Y$26,1,0)</f>
        <v>1</v>
      </c>
      <c r="Z20" s="13">
        <f>IF(預測IC!Z20&gt;預測IC!Z$26,1,0)</f>
        <v>1</v>
      </c>
      <c r="AA20" s="13">
        <f>IF(預測IC!AA20&gt;預測IC!AA$26,1,0)</f>
        <v>1</v>
      </c>
      <c r="AB20" s="13">
        <f>IF(預測IC!AB20&gt;預測IC!AB$26,1,0)</f>
        <v>0</v>
      </c>
      <c r="AC20" s="13">
        <f>IF(預測IC!AC20&gt;預測IC!AC$26,1,0)</f>
        <v>0</v>
      </c>
      <c r="AD20" s="13">
        <f>IF(預測IC!AD20&gt;預測IC!AD$26,1,0)</f>
        <v>1</v>
      </c>
      <c r="AE20" s="13">
        <f>IF(預測IC!AE20&gt;預測IC!AE$26,1,0)</f>
        <v>0</v>
      </c>
      <c r="AF20" s="13">
        <f>IF(預測IC!AF20&gt;預測IC!AF$26,1,0)</f>
        <v>0</v>
      </c>
      <c r="AG20" s="13">
        <f>IF(預測IC!AG20&gt;預測IC!AG$26,1,0)</f>
        <v>0</v>
      </c>
      <c r="AH20" s="13">
        <f>IF(預測IC!AH20&gt;預測IC!AH$26,1,0)</f>
        <v>1</v>
      </c>
      <c r="AI20" s="13">
        <f>IF(預測IC!AI20&gt;預測IC!AI$26,1,0)</f>
        <v>1</v>
      </c>
      <c r="AJ20" s="13">
        <f>IF(預測IC!AJ20&gt;預測IC!AJ$26,1,0)</f>
        <v>1</v>
      </c>
      <c r="AK20" s="13">
        <f>IF(預測IC!AK20&gt;預測IC!AK$26,1,0)</f>
        <v>1</v>
      </c>
      <c r="AL20" s="13">
        <f>IF(預測IC!AL20&gt;預測IC!AL$26,1,0)</f>
        <v>1</v>
      </c>
      <c r="AM20" s="13">
        <f>IF(預測IC!AM20&gt;預測IC!AM$26,1,0)</f>
        <v>1</v>
      </c>
      <c r="AN20" s="13">
        <f>IF(預測IC!AN20&gt;預測IC!AN$26,1,0)</f>
        <v>1</v>
      </c>
      <c r="AO20" s="13">
        <f>IF(預測IC!AO20&gt;預測IC!AO$26,1,0)</f>
        <v>1</v>
      </c>
      <c r="AP20" s="13">
        <f>IF(預測IC!AP20&gt;預測IC!AP$26,1,0)</f>
        <v>1</v>
      </c>
      <c r="AQ20" s="13">
        <f>IF(預測IC!AQ20&gt;預測IC!AQ$26,1,0)</f>
        <v>1</v>
      </c>
      <c r="AR20" s="13">
        <f>IF(預測IC!AR20&gt;預測IC!AR$26,1,0)</f>
        <v>1</v>
      </c>
      <c r="AS20" s="13">
        <f>IF(預測IC!AS20&gt;預測IC!AS$26,1,0)</f>
        <v>1</v>
      </c>
      <c r="AT20" s="13">
        <f>IF(預測IC!AT20&gt;預測IC!AT$26,1,0)</f>
        <v>0</v>
      </c>
      <c r="AU20" s="13">
        <f>IF(預測IC!AU20&gt;預測IC!AU$26,1,0)</f>
        <v>1</v>
      </c>
      <c r="AV20" s="13">
        <f>IF(預測IC!AV20&gt;預測IC!AV$26,1,0)</f>
        <v>0</v>
      </c>
      <c r="AW20" s="13">
        <f>IF(預測IC!AW20&gt;預測IC!AW$26,1,0)</f>
        <v>1</v>
      </c>
      <c r="AX20" s="13">
        <f>IF(預測IC!AX20&gt;預測IC!AX$26,1,0)</f>
        <v>1</v>
      </c>
      <c r="AY20" s="13">
        <f>IF(預測IC!AY20&gt;預測IC!AY$26,1,0)</f>
        <v>0</v>
      </c>
      <c r="AZ20" s="13">
        <f>IF(預測IC!AZ20&gt;預測IC!AZ$26,1,0)</f>
        <v>0</v>
      </c>
      <c r="BA20" s="13">
        <f>IF(預測IC!BA20&gt;預測IC!BA$26,1,0)</f>
        <v>0</v>
      </c>
      <c r="BB20" s="13">
        <f>IF(預測IC!BB20&gt;預測IC!BB$26,1,0)</f>
        <v>1</v>
      </c>
      <c r="BC20" s="13">
        <f>IF(預測IC!BC20&gt;預測IC!BC$26,1,0)</f>
        <v>1</v>
      </c>
      <c r="BD20" s="13">
        <f>IF(預測IC!BD20&gt;預測IC!BD$26,1,0)</f>
        <v>0</v>
      </c>
      <c r="BE20" s="13">
        <f>IF(預測IC!BE20&gt;預測IC!BE$26,1,0)</f>
        <v>0</v>
      </c>
      <c r="BF20" s="13">
        <f>IF(預測IC!BF20&gt;預測IC!BF$26,1,0)</f>
        <v>1</v>
      </c>
      <c r="BG20" s="13">
        <f>IF(預測IC!BG20&gt;預測IC!BG$26,1,0)</f>
        <v>0</v>
      </c>
      <c r="BH20" s="13">
        <f>IF(預測IC!BH20&gt;預測IC!BH$26,1,0)</f>
        <v>1</v>
      </c>
      <c r="BI20" s="13">
        <f>IF(預測IC!BI20&gt;預測IC!BI$26,1,0)</f>
        <v>1</v>
      </c>
      <c r="BJ20" s="13">
        <f>IF(預測IC!BJ20&gt;預測IC!BJ$26,1,0)</f>
        <v>1</v>
      </c>
      <c r="BK20" s="13">
        <f>IF(預測IC!BK20&gt;預測IC!BK$26,1,0)</f>
        <v>0</v>
      </c>
      <c r="BL20" s="13">
        <f>IF(預測IC!BL20&gt;預測IC!BL$26,1,0)</f>
        <v>1</v>
      </c>
      <c r="BM20" s="13">
        <f>IF(預測IC!BM20&gt;預測IC!BM$26,1,0)</f>
        <v>1</v>
      </c>
      <c r="BN20" s="13">
        <f>IF(預測IC!BN20&gt;預測IC!BN$26,1,0)</f>
        <v>1</v>
      </c>
      <c r="BO20" s="13">
        <f>IF(預測IC!BO20&gt;預測IC!BO$26,1,0)</f>
        <v>1</v>
      </c>
      <c r="BP20" s="13">
        <f>IF(預測IC!BP20&gt;預測IC!BP$26,1,0)</f>
        <v>1</v>
      </c>
      <c r="BQ20" s="13">
        <f>IF(預測IC!BQ20&gt;預測IC!BQ$26,1,0)</f>
        <v>1</v>
      </c>
      <c r="BR20" s="13">
        <f>IF(預測IC!BR20&gt;預測IC!BR$26,1,0)</f>
        <v>1</v>
      </c>
      <c r="BS20" s="13">
        <f>IF(預測IC!BS20&gt;預測IC!BS$26,1,0)</f>
        <v>0</v>
      </c>
      <c r="BT20" s="13">
        <f>IF(預測IC!BT20&gt;預測IC!BT$26,1,0)</f>
        <v>1</v>
      </c>
      <c r="BU20" s="13">
        <f>IF(預測IC!BU20&gt;預測IC!BU$26,1,0)</f>
        <v>1</v>
      </c>
      <c r="BV20" s="13">
        <f>IF(預測IC!BV20&gt;預測IC!BV$26,1,0)</f>
        <v>1</v>
      </c>
      <c r="BW20" s="13">
        <f>IF(預測IC!BW20&gt;預測IC!BW$26,1,0)</f>
        <v>0</v>
      </c>
      <c r="BX20" s="13">
        <f>IF(預測IC!BX20&gt;預測IC!BX$26,1,0)</f>
        <v>1</v>
      </c>
      <c r="BY20" s="13">
        <f>IF(預測IC!BY20&gt;預測IC!BY$26,1,0)</f>
        <v>1</v>
      </c>
      <c r="BZ20" s="13">
        <f>IF(預測IC!BZ20&gt;預測IC!BZ$26,1,0)</f>
        <v>0</v>
      </c>
      <c r="CA20" s="13">
        <f>IF(預測IC!CA20&gt;預測IC!CA$26,1,0)</f>
        <v>1</v>
      </c>
      <c r="CB20" s="13">
        <f>IF(預測IC!CB20&gt;預測IC!CB$26,1,0)</f>
        <v>0</v>
      </c>
      <c r="CC20" s="13">
        <f>IF(預測IC!CC20&gt;預測IC!CC$26,1,0)</f>
        <v>0</v>
      </c>
      <c r="CD20" s="13">
        <f>IF(預測IC!CD20&gt;預測IC!CD$26,1,0)</f>
        <v>1</v>
      </c>
      <c r="CE20" s="13">
        <f>IF(預測IC!CE20&gt;預測IC!CE$26,1,0)</f>
        <v>0</v>
      </c>
      <c r="CF20" s="13">
        <f>IF(預測IC!CF20&gt;預測IC!CF$26,1,0)</f>
        <v>1</v>
      </c>
      <c r="CG20" s="13">
        <f>IF(預測IC!CG20&gt;預測IC!CG$26,1,0)</f>
        <v>0</v>
      </c>
      <c r="CH20" s="13">
        <f>IF(預測IC!CH20&gt;預測IC!CH$26,1,0)</f>
        <v>1</v>
      </c>
      <c r="CI20" s="13">
        <f>IF(預測IC!CI20&gt;預測IC!CI$26,1,0)</f>
        <v>0</v>
      </c>
      <c r="CJ20" s="13">
        <f>IF(預測IC!CJ20&gt;預測IC!CJ$26,1,0)</f>
        <v>0</v>
      </c>
      <c r="CK20" s="13">
        <f>IF(預測IC!CK20&gt;預測IC!CK$26,1,0)</f>
        <v>1</v>
      </c>
      <c r="CL20" s="13">
        <f>IF(預測IC!CL20&gt;預測IC!CL$26,1,0)</f>
        <v>0</v>
      </c>
      <c r="CM20" s="13">
        <f>IF(預測IC!CM20&gt;預測IC!CM$26,1,0)</f>
        <v>1</v>
      </c>
      <c r="CN20" s="13">
        <f>IF(預測IC!CN20&gt;預測IC!CN$26,1,0)</f>
        <v>0</v>
      </c>
      <c r="CO20" s="13">
        <f>IF(預測IC!CO20&gt;預測IC!CO$26,1,0)</f>
        <v>0</v>
      </c>
      <c r="CP20" s="13">
        <f>IF(預測IC!CP20&gt;預測IC!CP$26,1,0)</f>
        <v>1</v>
      </c>
      <c r="CQ20" s="13">
        <f>IF(預測IC!CQ20&gt;預測IC!CQ$26,1,0)</f>
        <v>1</v>
      </c>
      <c r="CR20" s="13">
        <f>IF(預測IC!CR20&gt;預測IC!CR$26,1,0)</f>
        <v>1</v>
      </c>
      <c r="CS20" s="13">
        <f>IF(預測IC!CS20&gt;預測IC!CS$26,1,0)</f>
        <v>1</v>
      </c>
      <c r="CT20" s="13">
        <f>IF(預測IC!CT20&gt;預測IC!CT$26,1,0)</f>
        <v>1</v>
      </c>
      <c r="CU20" s="13">
        <f>IF(預測IC!CU20&gt;預測IC!CU$26,1,0)</f>
        <v>0</v>
      </c>
      <c r="CV20" s="13">
        <f>IF(預測IC!CV20&gt;預測IC!CV$26,1,0)</f>
        <v>1</v>
      </c>
      <c r="CW20" s="13">
        <f>IF(預測IC!CW20&gt;預測IC!CW$26,1,0)</f>
        <v>1</v>
      </c>
      <c r="CX20" s="13">
        <f>IF(預測IC!CX20&gt;預測IC!CX$26,1,0)</f>
        <v>1</v>
      </c>
      <c r="CY20" s="13">
        <f>IF(預測IC!CY20&gt;預測IC!CY$26,1,0)</f>
        <v>0</v>
      </c>
      <c r="CZ20" s="13">
        <f>IF(預測IC!CZ20&gt;預測IC!CZ$26,1,0)</f>
        <v>1</v>
      </c>
      <c r="DA20" s="13">
        <f>IF(預測IC!DA20&gt;預測IC!DA$26,1,0)</f>
        <v>0</v>
      </c>
      <c r="DB20" s="13">
        <f>IF(預測IC!DB20&gt;預測IC!DB$26,1,0)</f>
        <v>0</v>
      </c>
      <c r="DC20" s="13">
        <f>IF(預測IC!DC20&gt;預測IC!DC$26,1,0)</f>
        <v>1</v>
      </c>
      <c r="DD20" s="13">
        <f>IF(預測IC!DD20&gt;預測IC!DD$26,1,0)</f>
        <v>0</v>
      </c>
      <c r="DE20" s="13">
        <f>IF(預測IC!DE20&gt;預測IC!DE$26,1,0)</f>
        <v>0</v>
      </c>
      <c r="DF20" s="13">
        <f>IF(預測IC!DF20&gt;預測IC!DF$26,1,0)</f>
        <v>1</v>
      </c>
      <c r="DG20" s="13">
        <f>IF(預測IC!DG20&gt;預測IC!DG$26,1,0)</f>
        <v>0</v>
      </c>
      <c r="DH20" s="13">
        <f>IF(預測IC!DH20&gt;預測IC!DH$26,1,0)</f>
        <v>0</v>
      </c>
      <c r="DI20" s="13">
        <f>IF(預測IC!DI20&gt;預測IC!DI$26,1,0)</f>
        <v>0</v>
      </c>
      <c r="DJ20" s="13">
        <f>IF(預測IC!DJ20&gt;預測IC!DJ$26,1,0)</f>
        <v>0</v>
      </c>
      <c r="DK20" s="13">
        <f>IF(預測IC!DK20&gt;預測IC!DK$26,1,0)</f>
        <v>1</v>
      </c>
      <c r="DL20" s="13">
        <f>IF(預測IC!DL20&gt;預測IC!DL$26,1,0)</f>
        <v>1</v>
      </c>
      <c r="DM20" s="13">
        <f>IF(預測IC!DM20&gt;預測IC!DM$26,1,0)</f>
        <v>0</v>
      </c>
      <c r="DN20" s="13">
        <f>IF(預測IC!DN20&gt;預測IC!DN$26,1,0)</f>
        <v>1</v>
      </c>
      <c r="DO20" s="13">
        <f>IF(預測IC!DO20&gt;預測IC!DO$26,1,0)</f>
        <v>1</v>
      </c>
      <c r="DP20" s="13">
        <f>IF(預測IC!DP20&gt;預測IC!DP$26,1,0)</f>
        <v>1</v>
      </c>
      <c r="DQ20" s="13">
        <f>IF(預測IC!DQ20&gt;預測IC!DQ$26,1,0)</f>
        <v>0</v>
      </c>
      <c r="DR20" s="13">
        <f>IF(預測IC!DR20&gt;預測IC!DR$26,1,0)</f>
        <v>1</v>
      </c>
      <c r="DS20" s="13">
        <f>IF(預測IC!DS20&gt;預測IC!DS$26,1,0)</f>
        <v>0</v>
      </c>
      <c r="DT20" s="13">
        <f>IF(預測IC!DT20&gt;預測IC!DT$26,1,0)</f>
        <v>0</v>
      </c>
      <c r="DU20" s="13">
        <f>IF(預測IC!DU20&gt;預測IC!DU$26,1,0)</f>
        <v>0</v>
      </c>
      <c r="DV20" s="13">
        <f>IF(預測IC!DV20&gt;預測IC!DV$26,1,0)</f>
        <v>1</v>
      </c>
      <c r="DW20" s="13">
        <f>IF(預測IC!DW20&gt;預測IC!DW$26,1,0)</f>
        <v>1</v>
      </c>
      <c r="DX20" s="13">
        <f>IF(預測IC!DX20&gt;預測IC!DX$26,1,0)</f>
        <v>0</v>
      </c>
      <c r="DY20" s="13">
        <f>IF(預測IC!DY20&gt;預測IC!DY$26,1,0)</f>
        <v>1</v>
      </c>
      <c r="DZ20" s="13">
        <f>IF(預測IC!DZ20&gt;預測IC!DZ$26,1,0)</f>
        <v>0</v>
      </c>
      <c r="EA20" s="13">
        <f>IF(預測IC!EA20&gt;預測IC!EA$26,1,0)</f>
        <v>1</v>
      </c>
      <c r="EB20" s="13">
        <f>IF(預測IC!EB20&gt;預測IC!EB$26,1,0)</f>
        <v>1</v>
      </c>
      <c r="EC20" s="13">
        <f>IF(預測IC!EC20&gt;預測IC!EC$26,1,0)</f>
        <v>1</v>
      </c>
      <c r="ED20" s="13">
        <f>IF(預測IC!ED20&gt;預測IC!ED$26,1,0)</f>
        <v>0</v>
      </c>
      <c r="EE20" s="13">
        <f>IF(預測IC!EE20&gt;預測IC!EE$26,1,0)</f>
        <v>0</v>
      </c>
      <c r="EF20" s="13">
        <f>IF(預測IC!EF20&gt;預測IC!EF$26,1,0)</f>
        <v>1</v>
      </c>
      <c r="EG20">
        <f t="shared" si="10"/>
        <v>79</v>
      </c>
      <c r="EH20" s="11">
        <f t="shared" si="11"/>
        <v>0.58955223880597019</v>
      </c>
    </row>
    <row r="21" spans="1:138">
      <c r="A21" s="2">
        <v>241</v>
      </c>
      <c r="B21" s="2">
        <v>4</v>
      </c>
      <c r="C21" s="13">
        <f>IF(預測IC!C21&gt;預測IC!C$26,1,0)</f>
        <v>0</v>
      </c>
      <c r="D21" s="13">
        <f>IF(預測IC!D21&gt;預測IC!D$26,1,0)</f>
        <v>1</v>
      </c>
      <c r="E21" s="13">
        <f>IF(預測IC!E21&gt;預測IC!E$26,1,0)</f>
        <v>0</v>
      </c>
      <c r="F21" s="13">
        <f>IF(預測IC!F21&gt;預測IC!F$26,1,0)</f>
        <v>1</v>
      </c>
      <c r="G21" s="13">
        <f>IF(預測IC!G21&gt;預測IC!G$26,1,0)</f>
        <v>0</v>
      </c>
      <c r="H21" s="13">
        <f>IF(預測IC!H21&gt;預測IC!H$26,1,0)</f>
        <v>1</v>
      </c>
      <c r="I21" s="13">
        <f>IF(預測IC!I21&gt;預測IC!I$26,1,0)</f>
        <v>1</v>
      </c>
      <c r="J21" s="13">
        <f>IF(預測IC!J21&gt;預測IC!J$26,1,0)</f>
        <v>0</v>
      </c>
      <c r="K21" s="13">
        <f>IF(預測IC!K21&gt;預測IC!K$26,1,0)</f>
        <v>0</v>
      </c>
      <c r="L21" s="13">
        <f>IF(預測IC!L21&gt;預測IC!L$26,1,0)</f>
        <v>1</v>
      </c>
      <c r="M21" s="13">
        <f>IF(預測IC!M21&gt;預測IC!M$26,1,0)</f>
        <v>0</v>
      </c>
      <c r="N21" s="13">
        <f>IF(預測IC!N21&gt;預測IC!N$26,1,0)</f>
        <v>1</v>
      </c>
      <c r="O21" s="13">
        <f>IF(預測IC!O21&gt;預測IC!O$26,1,0)</f>
        <v>0</v>
      </c>
      <c r="P21" s="13">
        <f>IF(預測IC!P21&gt;預測IC!P$26,1,0)</f>
        <v>1</v>
      </c>
      <c r="Q21" s="13">
        <f>IF(預測IC!Q21&gt;預測IC!Q$26,1,0)</f>
        <v>1</v>
      </c>
      <c r="R21" s="13">
        <f>IF(預測IC!R21&gt;預測IC!R$26,1,0)</f>
        <v>1</v>
      </c>
      <c r="S21" s="13">
        <f>IF(預測IC!S21&gt;預測IC!S$26,1,0)</f>
        <v>0</v>
      </c>
      <c r="T21" s="13">
        <f>IF(預測IC!T21&gt;預測IC!T$26,1,0)</f>
        <v>0</v>
      </c>
      <c r="U21" s="13">
        <f>IF(預測IC!U21&gt;預測IC!U$26,1,0)</f>
        <v>1</v>
      </c>
      <c r="V21" s="13">
        <f>IF(預測IC!V21&gt;預測IC!V$26,1,0)</f>
        <v>0</v>
      </c>
      <c r="W21" s="13">
        <f>IF(預測IC!W21&gt;預測IC!W$26,1,0)</f>
        <v>1</v>
      </c>
      <c r="X21" s="13">
        <f>IF(預測IC!X21&gt;預測IC!X$26,1,0)</f>
        <v>1</v>
      </c>
      <c r="Y21" s="13">
        <f>IF(預測IC!Y21&gt;預測IC!Y$26,1,0)</f>
        <v>1</v>
      </c>
      <c r="Z21" s="13">
        <f>IF(預測IC!Z21&gt;預測IC!Z$26,1,0)</f>
        <v>1</v>
      </c>
      <c r="AA21" s="13">
        <f>IF(預測IC!AA21&gt;預測IC!AA$26,1,0)</f>
        <v>1</v>
      </c>
      <c r="AB21" s="13">
        <f>IF(預測IC!AB21&gt;預測IC!AB$26,1,0)</f>
        <v>0</v>
      </c>
      <c r="AC21" s="13">
        <f>IF(預測IC!AC21&gt;預測IC!AC$26,1,0)</f>
        <v>0</v>
      </c>
      <c r="AD21" s="13">
        <f>IF(預測IC!AD21&gt;預測IC!AD$26,1,0)</f>
        <v>0</v>
      </c>
      <c r="AE21" s="13">
        <f>IF(預測IC!AE21&gt;預測IC!AE$26,1,0)</f>
        <v>0</v>
      </c>
      <c r="AF21" s="13">
        <f>IF(預測IC!AF21&gt;預測IC!AF$26,1,0)</f>
        <v>0</v>
      </c>
      <c r="AG21" s="13">
        <f>IF(預測IC!AG21&gt;預測IC!AG$26,1,0)</f>
        <v>0</v>
      </c>
      <c r="AH21" s="13">
        <f>IF(預測IC!AH21&gt;預測IC!AH$26,1,0)</f>
        <v>1</v>
      </c>
      <c r="AI21" s="13">
        <f>IF(預測IC!AI21&gt;預測IC!AI$26,1,0)</f>
        <v>1</v>
      </c>
      <c r="AJ21" s="13">
        <f>IF(預測IC!AJ21&gt;預測IC!AJ$26,1,0)</f>
        <v>0</v>
      </c>
      <c r="AK21" s="13">
        <f>IF(預測IC!AK21&gt;預測IC!AK$26,1,0)</f>
        <v>1</v>
      </c>
      <c r="AL21" s="13">
        <f>IF(預測IC!AL21&gt;預測IC!AL$26,1,0)</f>
        <v>1</v>
      </c>
      <c r="AM21" s="13">
        <f>IF(預測IC!AM21&gt;預測IC!AM$26,1,0)</f>
        <v>1</v>
      </c>
      <c r="AN21" s="13">
        <f>IF(預測IC!AN21&gt;預測IC!AN$26,1,0)</f>
        <v>1</v>
      </c>
      <c r="AO21" s="13">
        <f>IF(預測IC!AO21&gt;預測IC!AO$26,1,0)</f>
        <v>1</v>
      </c>
      <c r="AP21" s="13">
        <f>IF(預測IC!AP21&gt;預測IC!AP$26,1,0)</f>
        <v>1</v>
      </c>
      <c r="AQ21" s="13">
        <f>IF(預測IC!AQ21&gt;預測IC!AQ$26,1,0)</f>
        <v>1</v>
      </c>
      <c r="AR21" s="13">
        <f>IF(預測IC!AR21&gt;預測IC!AR$26,1,0)</f>
        <v>1</v>
      </c>
      <c r="AS21" s="13">
        <f>IF(預測IC!AS21&gt;預測IC!AS$26,1,0)</f>
        <v>1</v>
      </c>
      <c r="AT21" s="13">
        <f>IF(預測IC!AT21&gt;預測IC!AT$26,1,0)</f>
        <v>0</v>
      </c>
      <c r="AU21" s="13">
        <f>IF(預測IC!AU21&gt;預測IC!AU$26,1,0)</f>
        <v>1</v>
      </c>
      <c r="AV21" s="13">
        <f>IF(預測IC!AV21&gt;預測IC!AV$26,1,0)</f>
        <v>0</v>
      </c>
      <c r="AW21" s="13">
        <f>IF(預測IC!AW21&gt;預測IC!AW$26,1,0)</f>
        <v>1</v>
      </c>
      <c r="AX21" s="13">
        <f>IF(預測IC!AX21&gt;預測IC!AX$26,1,0)</f>
        <v>1</v>
      </c>
      <c r="AY21" s="13">
        <f>IF(預測IC!AY21&gt;預測IC!AY$26,1,0)</f>
        <v>1</v>
      </c>
      <c r="AZ21" s="13">
        <f>IF(預測IC!AZ21&gt;預測IC!AZ$26,1,0)</f>
        <v>0</v>
      </c>
      <c r="BA21" s="13">
        <f>IF(預測IC!BA21&gt;預測IC!BA$26,1,0)</f>
        <v>0</v>
      </c>
      <c r="BB21" s="13">
        <f>IF(預測IC!BB21&gt;預測IC!BB$26,1,0)</f>
        <v>1</v>
      </c>
      <c r="BC21" s="13">
        <f>IF(預測IC!BC21&gt;預測IC!BC$26,1,0)</f>
        <v>1</v>
      </c>
      <c r="BD21" s="13">
        <f>IF(預測IC!BD21&gt;預測IC!BD$26,1,0)</f>
        <v>0</v>
      </c>
      <c r="BE21" s="13">
        <f>IF(預測IC!BE21&gt;預測IC!BE$26,1,0)</f>
        <v>0</v>
      </c>
      <c r="BF21" s="13">
        <f>IF(預測IC!BF21&gt;預測IC!BF$26,1,0)</f>
        <v>1</v>
      </c>
      <c r="BG21" s="13">
        <f>IF(預測IC!BG21&gt;預測IC!BG$26,1,0)</f>
        <v>1</v>
      </c>
      <c r="BH21" s="13">
        <f>IF(預測IC!BH21&gt;預測IC!BH$26,1,0)</f>
        <v>1</v>
      </c>
      <c r="BI21" s="13">
        <f>IF(預測IC!BI21&gt;預測IC!BI$26,1,0)</f>
        <v>1</v>
      </c>
      <c r="BJ21" s="13">
        <f>IF(預測IC!BJ21&gt;預測IC!BJ$26,1,0)</f>
        <v>1</v>
      </c>
      <c r="BK21" s="13">
        <f>IF(預測IC!BK21&gt;預測IC!BK$26,1,0)</f>
        <v>0</v>
      </c>
      <c r="BL21" s="13">
        <f>IF(預測IC!BL21&gt;預測IC!BL$26,1,0)</f>
        <v>1</v>
      </c>
      <c r="BM21" s="13">
        <f>IF(預測IC!BM21&gt;預測IC!BM$26,1,0)</f>
        <v>1</v>
      </c>
      <c r="BN21" s="13">
        <f>IF(預測IC!BN21&gt;預測IC!BN$26,1,0)</f>
        <v>1</v>
      </c>
      <c r="BO21" s="13">
        <f>IF(預測IC!BO21&gt;預測IC!BO$26,1,0)</f>
        <v>0</v>
      </c>
      <c r="BP21" s="13">
        <f>IF(預測IC!BP21&gt;預測IC!BP$26,1,0)</f>
        <v>1</v>
      </c>
      <c r="BQ21" s="13">
        <f>IF(預測IC!BQ21&gt;預測IC!BQ$26,1,0)</f>
        <v>1</v>
      </c>
      <c r="BR21" s="13">
        <f>IF(預測IC!BR21&gt;預測IC!BR$26,1,0)</f>
        <v>1</v>
      </c>
      <c r="BS21" s="13">
        <f>IF(預測IC!BS21&gt;預測IC!BS$26,1,0)</f>
        <v>0</v>
      </c>
      <c r="BT21" s="13">
        <f>IF(預測IC!BT21&gt;預測IC!BT$26,1,0)</f>
        <v>1</v>
      </c>
      <c r="BU21" s="13">
        <f>IF(預測IC!BU21&gt;預測IC!BU$26,1,0)</f>
        <v>1</v>
      </c>
      <c r="BV21" s="13">
        <f>IF(預測IC!BV21&gt;預測IC!BV$26,1,0)</f>
        <v>1</v>
      </c>
      <c r="BW21" s="13">
        <f>IF(預測IC!BW21&gt;預測IC!BW$26,1,0)</f>
        <v>0</v>
      </c>
      <c r="BX21" s="13">
        <f>IF(預測IC!BX21&gt;預測IC!BX$26,1,0)</f>
        <v>1</v>
      </c>
      <c r="BY21" s="13">
        <f>IF(預測IC!BY21&gt;預測IC!BY$26,1,0)</f>
        <v>1</v>
      </c>
      <c r="BZ21" s="13">
        <f>IF(預測IC!BZ21&gt;預測IC!BZ$26,1,0)</f>
        <v>0</v>
      </c>
      <c r="CA21" s="13">
        <f>IF(預測IC!CA21&gt;預測IC!CA$26,1,0)</f>
        <v>1</v>
      </c>
      <c r="CB21" s="13">
        <f>IF(預測IC!CB21&gt;預測IC!CB$26,1,0)</f>
        <v>0</v>
      </c>
      <c r="CC21" s="13">
        <f>IF(預測IC!CC21&gt;預測IC!CC$26,1,0)</f>
        <v>0</v>
      </c>
      <c r="CD21" s="13">
        <f>IF(預測IC!CD21&gt;預測IC!CD$26,1,0)</f>
        <v>1</v>
      </c>
      <c r="CE21" s="13">
        <f>IF(預測IC!CE21&gt;預測IC!CE$26,1,0)</f>
        <v>0</v>
      </c>
      <c r="CF21" s="13">
        <f>IF(預測IC!CF21&gt;預測IC!CF$26,1,0)</f>
        <v>1</v>
      </c>
      <c r="CG21" s="13">
        <f>IF(預測IC!CG21&gt;預測IC!CG$26,1,0)</f>
        <v>0</v>
      </c>
      <c r="CH21" s="13">
        <f>IF(預測IC!CH21&gt;預測IC!CH$26,1,0)</f>
        <v>1</v>
      </c>
      <c r="CI21" s="13">
        <f>IF(預測IC!CI21&gt;預測IC!CI$26,1,0)</f>
        <v>0</v>
      </c>
      <c r="CJ21" s="13">
        <f>IF(預測IC!CJ21&gt;預測IC!CJ$26,1,0)</f>
        <v>0</v>
      </c>
      <c r="CK21" s="13">
        <f>IF(預測IC!CK21&gt;預測IC!CK$26,1,0)</f>
        <v>1</v>
      </c>
      <c r="CL21" s="13">
        <f>IF(預測IC!CL21&gt;預測IC!CL$26,1,0)</f>
        <v>0</v>
      </c>
      <c r="CM21" s="13">
        <f>IF(預測IC!CM21&gt;預測IC!CM$26,1,0)</f>
        <v>1</v>
      </c>
      <c r="CN21" s="13">
        <f>IF(預測IC!CN21&gt;預測IC!CN$26,1,0)</f>
        <v>0</v>
      </c>
      <c r="CO21" s="13">
        <f>IF(預測IC!CO21&gt;預測IC!CO$26,1,0)</f>
        <v>0</v>
      </c>
      <c r="CP21" s="13">
        <f>IF(預測IC!CP21&gt;預測IC!CP$26,1,0)</f>
        <v>1</v>
      </c>
      <c r="CQ21" s="13">
        <f>IF(預測IC!CQ21&gt;預測IC!CQ$26,1,0)</f>
        <v>1</v>
      </c>
      <c r="CR21" s="13">
        <f>IF(預測IC!CR21&gt;預測IC!CR$26,1,0)</f>
        <v>1</v>
      </c>
      <c r="CS21" s="13">
        <f>IF(預測IC!CS21&gt;預測IC!CS$26,1,0)</f>
        <v>1</v>
      </c>
      <c r="CT21" s="13">
        <f>IF(預測IC!CT21&gt;預測IC!CT$26,1,0)</f>
        <v>1</v>
      </c>
      <c r="CU21" s="13">
        <f>IF(預測IC!CU21&gt;預測IC!CU$26,1,0)</f>
        <v>0</v>
      </c>
      <c r="CV21" s="13">
        <f>IF(預測IC!CV21&gt;預測IC!CV$26,1,0)</f>
        <v>1</v>
      </c>
      <c r="CW21" s="13">
        <f>IF(預測IC!CW21&gt;預測IC!CW$26,1,0)</f>
        <v>1</v>
      </c>
      <c r="CX21" s="13">
        <f>IF(預測IC!CX21&gt;預測IC!CX$26,1,0)</f>
        <v>1</v>
      </c>
      <c r="CY21" s="13">
        <f>IF(預測IC!CY21&gt;預測IC!CY$26,1,0)</f>
        <v>0</v>
      </c>
      <c r="CZ21" s="13">
        <f>IF(預測IC!CZ21&gt;預測IC!CZ$26,1,0)</f>
        <v>1</v>
      </c>
      <c r="DA21" s="13">
        <f>IF(預測IC!DA21&gt;預測IC!DA$26,1,0)</f>
        <v>0</v>
      </c>
      <c r="DB21" s="13">
        <f>IF(預測IC!DB21&gt;預測IC!DB$26,1,0)</f>
        <v>0</v>
      </c>
      <c r="DC21" s="13">
        <f>IF(預測IC!DC21&gt;預測IC!DC$26,1,0)</f>
        <v>1</v>
      </c>
      <c r="DD21" s="13">
        <f>IF(預測IC!DD21&gt;預測IC!DD$26,1,0)</f>
        <v>1</v>
      </c>
      <c r="DE21" s="13">
        <f>IF(預測IC!DE21&gt;預測IC!DE$26,1,0)</f>
        <v>0</v>
      </c>
      <c r="DF21" s="13">
        <f>IF(預測IC!DF21&gt;預測IC!DF$26,1,0)</f>
        <v>1</v>
      </c>
      <c r="DG21" s="13">
        <f>IF(預測IC!DG21&gt;預測IC!DG$26,1,0)</f>
        <v>0</v>
      </c>
      <c r="DH21" s="13">
        <f>IF(預測IC!DH21&gt;預測IC!DH$26,1,0)</f>
        <v>0</v>
      </c>
      <c r="DI21" s="13">
        <f>IF(預測IC!DI21&gt;預測IC!DI$26,1,0)</f>
        <v>1</v>
      </c>
      <c r="DJ21" s="13">
        <f>IF(預測IC!DJ21&gt;預測IC!DJ$26,1,0)</f>
        <v>0</v>
      </c>
      <c r="DK21" s="13">
        <f>IF(預測IC!DK21&gt;預測IC!DK$26,1,0)</f>
        <v>1</v>
      </c>
      <c r="DL21" s="13">
        <f>IF(預測IC!DL21&gt;預測IC!DL$26,1,0)</f>
        <v>1</v>
      </c>
      <c r="DM21" s="13">
        <f>IF(預測IC!DM21&gt;預測IC!DM$26,1,0)</f>
        <v>0</v>
      </c>
      <c r="DN21" s="13">
        <f>IF(預測IC!DN21&gt;預測IC!DN$26,1,0)</f>
        <v>1</v>
      </c>
      <c r="DO21" s="13">
        <f>IF(預測IC!DO21&gt;預測IC!DO$26,1,0)</f>
        <v>1</v>
      </c>
      <c r="DP21" s="13">
        <f>IF(預測IC!DP21&gt;預測IC!DP$26,1,0)</f>
        <v>1</v>
      </c>
      <c r="DQ21" s="13">
        <f>IF(預測IC!DQ21&gt;預測IC!DQ$26,1,0)</f>
        <v>0</v>
      </c>
      <c r="DR21" s="13">
        <f>IF(預測IC!DR21&gt;預測IC!DR$26,1,0)</f>
        <v>1</v>
      </c>
      <c r="DS21" s="13">
        <f>IF(預測IC!DS21&gt;預測IC!DS$26,1,0)</f>
        <v>0</v>
      </c>
      <c r="DT21" s="13">
        <f>IF(預測IC!DT21&gt;預測IC!DT$26,1,0)</f>
        <v>0</v>
      </c>
      <c r="DU21" s="13">
        <f>IF(預測IC!DU21&gt;預測IC!DU$26,1,0)</f>
        <v>0</v>
      </c>
      <c r="DV21" s="13">
        <f>IF(預測IC!DV21&gt;預測IC!DV$26,1,0)</f>
        <v>1</v>
      </c>
      <c r="DW21" s="13">
        <f>IF(預測IC!DW21&gt;預測IC!DW$26,1,0)</f>
        <v>1</v>
      </c>
      <c r="DX21" s="13">
        <f>IF(預測IC!DX21&gt;預測IC!DX$26,1,0)</f>
        <v>0</v>
      </c>
      <c r="DY21" s="13">
        <f>IF(預測IC!DY21&gt;預測IC!DY$26,1,0)</f>
        <v>1</v>
      </c>
      <c r="DZ21" s="13">
        <f>IF(預測IC!DZ21&gt;預測IC!DZ$26,1,0)</f>
        <v>0</v>
      </c>
      <c r="EA21" s="13">
        <f>IF(預測IC!EA21&gt;預測IC!EA$26,1,0)</f>
        <v>0</v>
      </c>
      <c r="EB21" s="13">
        <f>IF(預測IC!EB21&gt;預測IC!EB$26,1,0)</f>
        <v>0</v>
      </c>
      <c r="EC21" s="13">
        <f>IF(預測IC!EC21&gt;預測IC!EC$26,1,0)</f>
        <v>1</v>
      </c>
      <c r="ED21" s="13">
        <f>IF(預測IC!ED21&gt;預測IC!ED$26,1,0)</f>
        <v>0</v>
      </c>
      <c r="EE21" s="13">
        <f>IF(預測IC!EE21&gt;預測IC!EE$26,1,0)</f>
        <v>0</v>
      </c>
      <c r="EF21" s="13">
        <f>IF(預測IC!EF21&gt;預測IC!EF$26,1,0)</f>
        <v>1</v>
      </c>
      <c r="EG21">
        <f t="shared" si="10"/>
        <v>78</v>
      </c>
      <c r="EH21" s="11">
        <f t="shared" si="11"/>
        <v>0.58208955223880599</v>
      </c>
    </row>
    <row r="22" spans="1:138">
      <c r="A22" s="2">
        <v>321</v>
      </c>
      <c r="B22" s="2">
        <v>3</v>
      </c>
      <c r="C22" s="13">
        <f>IF(預測IC!C22&gt;預測IC!C$26,1,0)</f>
        <v>1</v>
      </c>
      <c r="D22" s="13">
        <f>IF(預測IC!D22&gt;預測IC!D$26,1,0)</f>
        <v>1</v>
      </c>
      <c r="E22" s="13">
        <f>IF(預測IC!E22&gt;預測IC!E$26,1,0)</f>
        <v>0</v>
      </c>
      <c r="F22" s="13">
        <f>IF(預測IC!F22&gt;預測IC!F$26,1,0)</f>
        <v>0</v>
      </c>
      <c r="G22" s="13">
        <f>IF(預測IC!G22&gt;預測IC!G$26,1,0)</f>
        <v>0</v>
      </c>
      <c r="H22" s="13">
        <f>IF(預測IC!H22&gt;預測IC!H$26,1,0)</f>
        <v>1</v>
      </c>
      <c r="I22" s="13">
        <f>IF(預測IC!I22&gt;預測IC!I$26,1,0)</f>
        <v>1</v>
      </c>
      <c r="J22" s="13">
        <f>IF(預測IC!J22&gt;預測IC!J$26,1,0)</f>
        <v>0</v>
      </c>
      <c r="K22" s="13">
        <f>IF(預測IC!K22&gt;預測IC!K$26,1,0)</f>
        <v>0</v>
      </c>
      <c r="L22" s="13">
        <f>IF(預測IC!L22&gt;預測IC!L$26,1,0)</f>
        <v>1</v>
      </c>
      <c r="M22" s="13">
        <f>IF(預測IC!M22&gt;預測IC!M$26,1,0)</f>
        <v>0</v>
      </c>
      <c r="N22" s="13">
        <f>IF(預測IC!N22&gt;預測IC!N$26,1,0)</f>
        <v>1</v>
      </c>
      <c r="O22" s="13">
        <f>IF(預測IC!O22&gt;預測IC!O$26,1,0)</f>
        <v>0</v>
      </c>
      <c r="P22" s="13">
        <f>IF(預測IC!P22&gt;預測IC!P$26,1,0)</f>
        <v>1</v>
      </c>
      <c r="Q22" s="13">
        <f>IF(預測IC!Q22&gt;預測IC!Q$26,1,0)</f>
        <v>1</v>
      </c>
      <c r="R22" s="13">
        <f>IF(預測IC!R22&gt;預測IC!R$26,1,0)</f>
        <v>1</v>
      </c>
      <c r="S22" s="13">
        <f>IF(預測IC!S22&gt;預測IC!S$26,1,0)</f>
        <v>0</v>
      </c>
      <c r="T22" s="13">
        <f>IF(預測IC!T22&gt;預測IC!T$26,1,0)</f>
        <v>0</v>
      </c>
      <c r="U22" s="13">
        <f>IF(預測IC!U22&gt;預測IC!U$26,1,0)</f>
        <v>1</v>
      </c>
      <c r="V22" s="13">
        <f>IF(預測IC!V22&gt;預測IC!V$26,1,0)</f>
        <v>0</v>
      </c>
      <c r="W22" s="13">
        <f>IF(預測IC!W22&gt;預測IC!W$26,1,0)</f>
        <v>1</v>
      </c>
      <c r="X22" s="13">
        <f>IF(預測IC!X22&gt;預測IC!X$26,1,0)</f>
        <v>1</v>
      </c>
      <c r="Y22" s="13">
        <f>IF(預測IC!Y22&gt;預測IC!Y$26,1,0)</f>
        <v>0</v>
      </c>
      <c r="Z22" s="13">
        <f>IF(預測IC!Z22&gt;預測IC!Z$26,1,0)</f>
        <v>1</v>
      </c>
      <c r="AA22" s="13">
        <f>IF(預測IC!AA22&gt;預測IC!AA$26,1,0)</f>
        <v>1</v>
      </c>
      <c r="AB22" s="13">
        <f>IF(預測IC!AB22&gt;預測IC!AB$26,1,0)</f>
        <v>0</v>
      </c>
      <c r="AC22" s="13">
        <f>IF(預測IC!AC22&gt;預測IC!AC$26,1,0)</f>
        <v>0</v>
      </c>
      <c r="AD22" s="13">
        <f>IF(預測IC!AD22&gt;預測IC!AD$26,1,0)</f>
        <v>1</v>
      </c>
      <c r="AE22" s="13">
        <f>IF(預測IC!AE22&gt;預測IC!AE$26,1,0)</f>
        <v>0</v>
      </c>
      <c r="AF22" s="13">
        <f>IF(預測IC!AF22&gt;預測IC!AF$26,1,0)</f>
        <v>0</v>
      </c>
      <c r="AG22" s="13">
        <f>IF(預測IC!AG22&gt;預測IC!AG$26,1,0)</f>
        <v>0</v>
      </c>
      <c r="AH22" s="13">
        <f>IF(預測IC!AH22&gt;預測IC!AH$26,1,0)</f>
        <v>1</v>
      </c>
      <c r="AI22" s="13">
        <f>IF(預測IC!AI22&gt;預測IC!AI$26,1,0)</f>
        <v>1</v>
      </c>
      <c r="AJ22" s="13">
        <f>IF(預測IC!AJ22&gt;預測IC!AJ$26,1,0)</f>
        <v>0</v>
      </c>
      <c r="AK22" s="13">
        <f>IF(預測IC!AK22&gt;預測IC!AK$26,1,0)</f>
        <v>0</v>
      </c>
      <c r="AL22" s="13">
        <f>IF(預測IC!AL22&gt;預測IC!AL$26,1,0)</f>
        <v>1</v>
      </c>
      <c r="AM22" s="13">
        <f>IF(預測IC!AM22&gt;預測IC!AM$26,1,0)</f>
        <v>1</v>
      </c>
      <c r="AN22" s="13">
        <f>IF(預測IC!AN22&gt;預測IC!AN$26,1,0)</f>
        <v>1</v>
      </c>
      <c r="AO22" s="13">
        <f>IF(預測IC!AO22&gt;預測IC!AO$26,1,0)</f>
        <v>1</v>
      </c>
      <c r="AP22" s="13">
        <f>IF(預測IC!AP22&gt;預測IC!AP$26,1,0)</f>
        <v>1</v>
      </c>
      <c r="AQ22" s="13">
        <f>IF(預測IC!AQ22&gt;預測IC!AQ$26,1,0)</f>
        <v>1</v>
      </c>
      <c r="AR22" s="13">
        <f>IF(預測IC!AR22&gt;預測IC!AR$26,1,0)</f>
        <v>1</v>
      </c>
      <c r="AS22" s="13">
        <f>IF(預測IC!AS22&gt;預測IC!AS$26,1,0)</f>
        <v>1</v>
      </c>
      <c r="AT22" s="13">
        <f>IF(預測IC!AT22&gt;預測IC!AT$26,1,0)</f>
        <v>0</v>
      </c>
      <c r="AU22" s="13">
        <f>IF(預測IC!AU22&gt;預測IC!AU$26,1,0)</f>
        <v>1</v>
      </c>
      <c r="AV22" s="13">
        <f>IF(預測IC!AV22&gt;預測IC!AV$26,1,0)</f>
        <v>0</v>
      </c>
      <c r="AW22" s="13">
        <f>IF(預測IC!AW22&gt;預測IC!AW$26,1,0)</f>
        <v>0</v>
      </c>
      <c r="AX22" s="13">
        <f>IF(預測IC!AX22&gt;預測IC!AX$26,1,0)</f>
        <v>0</v>
      </c>
      <c r="AY22" s="13">
        <f>IF(預測IC!AY22&gt;預測IC!AY$26,1,0)</f>
        <v>1</v>
      </c>
      <c r="AZ22" s="13">
        <f>IF(預測IC!AZ22&gt;預測IC!AZ$26,1,0)</f>
        <v>0</v>
      </c>
      <c r="BA22" s="13">
        <f>IF(預測IC!BA22&gt;預測IC!BA$26,1,0)</f>
        <v>0</v>
      </c>
      <c r="BB22" s="13">
        <f>IF(預測IC!BB22&gt;預測IC!BB$26,1,0)</f>
        <v>1</v>
      </c>
      <c r="BC22" s="13">
        <f>IF(預測IC!BC22&gt;預測IC!BC$26,1,0)</f>
        <v>0</v>
      </c>
      <c r="BD22" s="13">
        <f>IF(預測IC!BD22&gt;預測IC!BD$26,1,0)</f>
        <v>0</v>
      </c>
      <c r="BE22" s="13">
        <f>IF(預測IC!BE22&gt;預測IC!BE$26,1,0)</f>
        <v>1</v>
      </c>
      <c r="BF22" s="13">
        <f>IF(預測IC!BF22&gt;預測IC!BF$26,1,0)</f>
        <v>1</v>
      </c>
      <c r="BG22" s="13">
        <f>IF(預測IC!BG22&gt;預測IC!BG$26,1,0)</f>
        <v>1</v>
      </c>
      <c r="BH22" s="13">
        <f>IF(預測IC!BH22&gt;預測IC!BH$26,1,0)</f>
        <v>0</v>
      </c>
      <c r="BI22" s="13">
        <f>IF(預測IC!BI22&gt;預測IC!BI$26,1,0)</f>
        <v>1</v>
      </c>
      <c r="BJ22" s="13">
        <f>IF(預測IC!BJ22&gt;預測IC!BJ$26,1,0)</f>
        <v>1</v>
      </c>
      <c r="BK22" s="13">
        <f>IF(預測IC!BK22&gt;預測IC!BK$26,1,0)</f>
        <v>0</v>
      </c>
      <c r="BL22" s="13">
        <f>IF(預測IC!BL22&gt;預測IC!BL$26,1,0)</f>
        <v>1</v>
      </c>
      <c r="BM22" s="13">
        <f>IF(預測IC!BM22&gt;預測IC!BM$26,1,0)</f>
        <v>1</v>
      </c>
      <c r="BN22" s="13">
        <f>IF(預測IC!BN22&gt;預測IC!BN$26,1,0)</f>
        <v>0</v>
      </c>
      <c r="BO22" s="13">
        <f>IF(預測IC!BO22&gt;預測IC!BO$26,1,0)</f>
        <v>0</v>
      </c>
      <c r="BP22" s="13">
        <f>IF(預測IC!BP22&gt;預測IC!BP$26,1,0)</f>
        <v>1</v>
      </c>
      <c r="BQ22" s="13">
        <f>IF(預測IC!BQ22&gt;預測IC!BQ$26,1,0)</f>
        <v>1</v>
      </c>
      <c r="BR22" s="13">
        <f>IF(預測IC!BR22&gt;預測IC!BR$26,1,0)</f>
        <v>1</v>
      </c>
      <c r="BS22" s="13">
        <f>IF(預測IC!BS22&gt;預測IC!BS$26,1,0)</f>
        <v>0</v>
      </c>
      <c r="BT22" s="13">
        <f>IF(預測IC!BT22&gt;預測IC!BT$26,1,0)</f>
        <v>1</v>
      </c>
      <c r="BU22" s="13">
        <f>IF(預測IC!BU22&gt;預測IC!BU$26,1,0)</f>
        <v>1</v>
      </c>
      <c r="BV22" s="13">
        <f>IF(預測IC!BV22&gt;預測IC!BV$26,1,0)</f>
        <v>1</v>
      </c>
      <c r="BW22" s="13">
        <f>IF(預測IC!BW22&gt;預測IC!BW$26,1,0)</f>
        <v>0</v>
      </c>
      <c r="BX22" s="13">
        <f>IF(預測IC!BX22&gt;預測IC!BX$26,1,0)</f>
        <v>1</v>
      </c>
      <c r="BY22" s="13">
        <f>IF(預測IC!BY22&gt;預測IC!BY$26,1,0)</f>
        <v>1</v>
      </c>
      <c r="BZ22" s="13">
        <f>IF(預測IC!BZ22&gt;預測IC!BZ$26,1,0)</f>
        <v>0</v>
      </c>
      <c r="CA22" s="13">
        <f>IF(預測IC!CA22&gt;預測IC!CA$26,1,0)</f>
        <v>1</v>
      </c>
      <c r="CB22" s="13">
        <f>IF(預測IC!CB22&gt;預測IC!CB$26,1,0)</f>
        <v>0</v>
      </c>
      <c r="CC22" s="13">
        <f>IF(預測IC!CC22&gt;預測IC!CC$26,1,0)</f>
        <v>0</v>
      </c>
      <c r="CD22" s="13">
        <f>IF(預測IC!CD22&gt;預測IC!CD$26,1,0)</f>
        <v>1</v>
      </c>
      <c r="CE22" s="13">
        <f>IF(預測IC!CE22&gt;預測IC!CE$26,1,0)</f>
        <v>0</v>
      </c>
      <c r="CF22" s="13">
        <f>IF(預測IC!CF22&gt;預測IC!CF$26,1,0)</f>
        <v>1</v>
      </c>
      <c r="CG22" s="13">
        <f>IF(預測IC!CG22&gt;預測IC!CG$26,1,0)</f>
        <v>0</v>
      </c>
      <c r="CH22" s="13">
        <f>IF(預測IC!CH22&gt;預測IC!CH$26,1,0)</f>
        <v>1</v>
      </c>
      <c r="CI22" s="13">
        <f>IF(預測IC!CI22&gt;預測IC!CI$26,1,0)</f>
        <v>0</v>
      </c>
      <c r="CJ22" s="13">
        <f>IF(預測IC!CJ22&gt;預測IC!CJ$26,1,0)</f>
        <v>0</v>
      </c>
      <c r="CK22" s="13">
        <f>IF(預測IC!CK22&gt;預測IC!CK$26,1,0)</f>
        <v>1</v>
      </c>
      <c r="CL22" s="13">
        <f>IF(預測IC!CL22&gt;預測IC!CL$26,1,0)</f>
        <v>0</v>
      </c>
      <c r="CM22" s="13">
        <f>IF(預測IC!CM22&gt;預測IC!CM$26,1,0)</f>
        <v>1</v>
      </c>
      <c r="CN22" s="13">
        <f>IF(預測IC!CN22&gt;預測IC!CN$26,1,0)</f>
        <v>0</v>
      </c>
      <c r="CO22" s="13">
        <f>IF(預測IC!CO22&gt;預測IC!CO$26,1,0)</f>
        <v>0</v>
      </c>
      <c r="CP22" s="13">
        <f>IF(預測IC!CP22&gt;預測IC!CP$26,1,0)</f>
        <v>1</v>
      </c>
      <c r="CQ22" s="13">
        <f>IF(預測IC!CQ22&gt;預測IC!CQ$26,1,0)</f>
        <v>1</v>
      </c>
      <c r="CR22" s="13">
        <f>IF(預測IC!CR22&gt;預測IC!CR$26,1,0)</f>
        <v>1</v>
      </c>
      <c r="CS22" s="13">
        <f>IF(預測IC!CS22&gt;預測IC!CS$26,1,0)</f>
        <v>0</v>
      </c>
      <c r="CT22" s="13">
        <f>IF(預測IC!CT22&gt;預測IC!CT$26,1,0)</f>
        <v>1</v>
      </c>
      <c r="CU22" s="13">
        <f>IF(預測IC!CU22&gt;預測IC!CU$26,1,0)</f>
        <v>0</v>
      </c>
      <c r="CV22" s="13">
        <f>IF(預測IC!CV22&gt;預測IC!CV$26,1,0)</f>
        <v>1</v>
      </c>
      <c r="CW22" s="13">
        <f>IF(預測IC!CW22&gt;預測IC!CW$26,1,0)</f>
        <v>1</v>
      </c>
      <c r="CX22" s="13">
        <f>IF(預測IC!CX22&gt;預測IC!CX$26,1,0)</f>
        <v>1</v>
      </c>
      <c r="CY22" s="13">
        <f>IF(預測IC!CY22&gt;預測IC!CY$26,1,0)</f>
        <v>0</v>
      </c>
      <c r="CZ22" s="13">
        <f>IF(預測IC!CZ22&gt;預測IC!CZ$26,1,0)</f>
        <v>1</v>
      </c>
      <c r="DA22" s="13">
        <f>IF(預測IC!DA22&gt;預測IC!DA$26,1,0)</f>
        <v>0</v>
      </c>
      <c r="DB22" s="13">
        <f>IF(預測IC!DB22&gt;預測IC!DB$26,1,0)</f>
        <v>0</v>
      </c>
      <c r="DC22" s="13">
        <f>IF(預測IC!DC22&gt;預測IC!DC$26,1,0)</f>
        <v>1</v>
      </c>
      <c r="DD22" s="13">
        <f>IF(預測IC!DD22&gt;預測IC!DD$26,1,0)</f>
        <v>1</v>
      </c>
      <c r="DE22" s="13">
        <f>IF(預測IC!DE22&gt;預測IC!DE$26,1,0)</f>
        <v>0</v>
      </c>
      <c r="DF22" s="13">
        <f>IF(預測IC!DF22&gt;預測IC!DF$26,1,0)</f>
        <v>1</v>
      </c>
      <c r="DG22" s="13">
        <f>IF(預測IC!DG22&gt;預測IC!DG$26,1,0)</f>
        <v>0</v>
      </c>
      <c r="DH22" s="13">
        <f>IF(預測IC!DH22&gt;預測IC!DH$26,1,0)</f>
        <v>0</v>
      </c>
      <c r="DI22" s="13">
        <f>IF(預測IC!DI22&gt;預測IC!DI$26,1,0)</f>
        <v>1</v>
      </c>
      <c r="DJ22" s="13">
        <f>IF(預測IC!DJ22&gt;預測IC!DJ$26,1,0)</f>
        <v>0</v>
      </c>
      <c r="DK22" s="13">
        <f>IF(預測IC!DK22&gt;預測IC!DK$26,1,0)</f>
        <v>1</v>
      </c>
      <c r="DL22" s="13">
        <f>IF(預測IC!DL22&gt;預測IC!DL$26,1,0)</f>
        <v>1</v>
      </c>
      <c r="DM22" s="13">
        <f>IF(預測IC!DM22&gt;預測IC!DM$26,1,0)</f>
        <v>0</v>
      </c>
      <c r="DN22" s="13">
        <f>IF(預測IC!DN22&gt;預測IC!DN$26,1,0)</f>
        <v>1</v>
      </c>
      <c r="DO22" s="13">
        <f>IF(預測IC!DO22&gt;預測IC!DO$26,1,0)</f>
        <v>1</v>
      </c>
      <c r="DP22" s="13">
        <f>IF(預測IC!DP22&gt;預測IC!DP$26,1,0)</f>
        <v>1</v>
      </c>
      <c r="DQ22" s="13">
        <f>IF(預測IC!DQ22&gt;預測IC!DQ$26,1,0)</f>
        <v>0</v>
      </c>
      <c r="DR22" s="13">
        <f>IF(預測IC!DR22&gt;預測IC!DR$26,1,0)</f>
        <v>0</v>
      </c>
      <c r="DS22" s="13">
        <f>IF(預測IC!DS22&gt;預測IC!DS$26,1,0)</f>
        <v>0</v>
      </c>
      <c r="DT22" s="13">
        <f>IF(預測IC!DT22&gt;預測IC!DT$26,1,0)</f>
        <v>0</v>
      </c>
      <c r="DU22" s="13">
        <f>IF(預測IC!DU22&gt;預測IC!DU$26,1,0)</f>
        <v>0</v>
      </c>
      <c r="DV22" s="13">
        <f>IF(預測IC!DV22&gt;預測IC!DV$26,1,0)</f>
        <v>1</v>
      </c>
      <c r="DW22" s="13">
        <f>IF(預測IC!DW22&gt;預測IC!DW$26,1,0)</f>
        <v>1</v>
      </c>
      <c r="DX22" s="13">
        <f>IF(預測IC!DX22&gt;預測IC!DX$26,1,0)</f>
        <v>0</v>
      </c>
      <c r="DY22" s="13">
        <f>IF(預測IC!DY22&gt;預測IC!DY$26,1,0)</f>
        <v>1</v>
      </c>
      <c r="DZ22" s="13">
        <f>IF(預測IC!DZ22&gt;預測IC!DZ$26,1,0)</f>
        <v>0</v>
      </c>
      <c r="EA22" s="13">
        <f>IF(預測IC!EA22&gt;預測IC!EA$26,1,0)</f>
        <v>0</v>
      </c>
      <c r="EB22" s="13">
        <f>IF(預測IC!EB22&gt;預測IC!EB$26,1,0)</f>
        <v>0</v>
      </c>
      <c r="EC22" s="13">
        <f>IF(預測IC!EC22&gt;預測IC!EC$26,1,0)</f>
        <v>1</v>
      </c>
      <c r="ED22" s="13">
        <f>IF(預測IC!ED22&gt;預測IC!ED$26,1,0)</f>
        <v>0</v>
      </c>
      <c r="EE22" s="13">
        <f>IF(預測IC!EE22&gt;預測IC!EE$26,1,0)</f>
        <v>1</v>
      </c>
      <c r="EF22" s="13">
        <f>IF(預測IC!EF22&gt;預測IC!EF$26,1,0)</f>
        <v>0</v>
      </c>
      <c r="EG22">
        <f t="shared" si="10"/>
        <v>71</v>
      </c>
      <c r="EH22" s="11">
        <f t="shared" si="11"/>
        <v>0.52985074626865669</v>
      </c>
    </row>
    <row r="23" spans="1:138">
      <c r="A23" s="2">
        <v>482</v>
      </c>
      <c r="B23" s="2">
        <v>2</v>
      </c>
      <c r="C23" s="13">
        <f>IF(預測IC!C23&gt;預測IC!C$26,1,0)</f>
        <v>0</v>
      </c>
      <c r="D23" s="13">
        <f>IF(預測IC!D23&gt;預測IC!D$26,1,0)</f>
        <v>1</v>
      </c>
      <c r="E23" s="13">
        <f>IF(預測IC!E23&gt;預測IC!E$26,1,0)</f>
        <v>0</v>
      </c>
      <c r="F23" s="13">
        <f>IF(預測IC!F23&gt;預測IC!F$26,1,0)</f>
        <v>1</v>
      </c>
      <c r="G23" s="13">
        <f>IF(預測IC!G23&gt;預測IC!G$26,1,0)</f>
        <v>0</v>
      </c>
      <c r="H23" s="13">
        <f>IF(預測IC!H23&gt;預測IC!H$26,1,0)</f>
        <v>0</v>
      </c>
      <c r="I23" s="13">
        <f>IF(預測IC!I23&gt;預測IC!I$26,1,0)</f>
        <v>0</v>
      </c>
      <c r="J23" s="13">
        <f>IF(預測IC!J23&gt;預測IC!J$26,1,0)</f>
        <v>0</v>
      </c>
      <c r="K23" s="13">
        <f>IF(預測IC!K23&gt;預測IC!K$26,1,0)</f>
        <v>0</v>
      </c>
      <c r="L23" s="13">
        <f>IF(預測IC!L23&gt;預測IC!L$26,1,0)</f>
        <v>1</v>
      </c>
      <c r="M23" s="13">
        <f>IF(預測IC!M23&gt;預測IC!M$26,1,0)</f>
        <v>0</v>
      </c>
      <c r="N23" s="13">
        <f>IF(預測IC!N23&gt;預測IC!N$26,1,0)</f>
        <v>1</v>
      </c>
      <c r="O23" s="13">
        <f>IF(預測IC!O23&gt;預測IC!O$26,1,0)</f>
        <v>0</v>
      </c>
      <c r="P23" s="13">
        <f>IF(預測IC!P23&gt;預測IC!P$26,1,0)</f>
        <v>1</v>
      </c>
      <c r="Q23" s="13">
        <f>IF(預測IC!Q23&gt;預測IC!Q$26,1,0)</f>
        <v>1</v>
      </c>
      <c r="R23" s="13">
        <f>IF(預測IC!R23&gt;預測IC!R$26,1,0)</f>
        <v>1</v>
      </c>
      <c r="S23" s="13">
        <f>IF(預測IC!S23&gt;預測IC!S$26,1,0)</f>
        <v>0</v>
      </c>
      <c r="T23" s="13">
        <f>IF(預測IC!T23&gt;預測IC!T$26,1,0)</f>
        <v>0</v>
      </c>
      <c r="U23" s="13">
        <f>IF(預測IC!U23&gt;預測IC!U$26,1,0)</f>
        <v>1</v>
      </c>
      <c r="V23" s="13">
        <f>IF(預測IC!V23&gt;預測IC!V$26,1,0)</f>
        <v>0</v>
      </c>
      <c r="W23" s="13">
        <f>IF(預測IC!W23&gt;預測IC!W$26,1,0)</f>
        <v>1</v>
      </c>
      <c r="X23" s="13">
        <f>IF(預測IC!X23&gt;預測IC!X$26,1,0)</f>
        <v>1</v>
      </c>
      <c r="Y23" s="13">
        <f>IF(預測IC!Y23&gt;預測IC!Y$26,1,0)</f>
        <v>0</v>
      </c>
      <c r="Z23" s="13">
        <f>IF(預測IC!Z23&gt;預測IC!Z$26,1,0)</f>
        <v>1</v>
      </c>
      <c r="AA23" s="13">
        <f>IF(預測IC!AA23&gt;預測IC!AA$26,1,0)</f>
        <v>1</v>
      </c>
      <c r="AB23" s="13">
        <f>IF(預測IC!AB23&gt;預測IC!AB$26,1,0)</f>
        <v>0</v>
      </c>
      <c r="AC23" s="13">
        <f>IF(預測IC!AC23&gt;預測IC!AC$26,1,0)</f>
        <v>0</v>
      </c>
      <c r="AD23" s="13">
        <f>IF(預測IC!AD23&gt;預測IC!AD$26,1,0)</f>
        <v>1</v>
      </c>
      <c r="AE23" s="13">
        <f>IF(預測IC!AE23&gt;預測IC!AE$26,1,0)</f>
        <v>0</v>
      </c>
      <c r="AF23" s="13">
        <f>IF(預測IC!AF23&gt;預測IC!AF$26,1,0)</f>
        <v>0</v>
      </c>
      <c r="AG23" s="13">
        <f>IF(預測IC!AG23&gt;預測IC!AG$26,1,0)</f>
        <v>0</v>
      </c>
      <c r="AH23" s="13">
        <f>IF(預測IC!AH23&gt;預測IC!AH$26,1,0)</f>
        <v>1</v>
      </c>
      <c r="AI23" s="13">
        <f>IF(預測IC!AI23&gt;預測IC!AI$26,1,0)</f>
        <v>1</v>
      </c>
      <c r="AJ23" s="13">
        <f>IF(預測IC!AJ23&gt;預測IC!AJ$26,1,0)</f>
        <v>1</v>
      </c>
      <c r="AK23" s="13">
        <f>IF(預測IC!AK23&gt;預測IC!AK$26,1,0)</f>
        <v>1</v>
      </c>
      <c r="AL23" s="13">
        <f>IF(預測IC!AL23&gt;預測IC!AL$26,1,0)</f>
        <v>1</v>
      </c>
      <c r="AM23" s="13">
        <f>IF(預測IC!AM23&gt;預測IC!AM$26,1,0)</f>
        <v>0</v>
      </c>
      <c r="AN23" s="13">
        <f>IF(預測IC!AN23&gt;預測IC!AN$26,1,0)</f>
        <v>1</v>
      </c>
      <c r="AO23" s="13">
        <f>IF(預測IC!AO23&gt;預測IC!AO$26,1,0)</f>
        <v>0</v>
      </c>
      <c r="AP23" s="13">
        <f>IF(預測IC!AP23&gt;預測IC!AP$26,1,0)</f>
        <v>0</v>
      </c>
      <c r="AQ23" s="13">
        <f>IF(預測IC!AQ23&gt;預測IC!AQ$26,1,0)</f>
        <v>1</v>
      </c>
      <c r="AR23" s="13">
        <f>IF(預測IC!AR23&gt;預測IC!AR$26,1,0)</f>
        <v>1</v>
      </c>
      <c r="AS23" s="13">
        <f>IF(預測IC!AS23&gt;預測IC!AS$26,1,0)</f>
        <v>0</v>
      </c>
      <c r="AT23" s="13">
        <f>IF(預測IC!AT23&gt;預測IC!AT$26,1,0)</f>
        <v>0</v>
      </c>
      <c r="AU23" s="13">
        <f>IF(預測IC!AU23&gt;預測IC!AU$26,1,0)</f>
        <v>1</v>
      </c>
      <c r="AV23" s="13">
        <f>IF(預測IC!AV23&gt;預測IC!AV$26,1,0)</f>
        <v>0</v>
      </c>
      <c r="AW23" s="13">
        <f>IF(預測IC!AW23&gt;預測IC!AW$26,1,0)</f>
        <v>0</v>
      </c>
      <c r="AX23" s="13">
        <f>IF(預測IC!AX23&gt;預測IC!AX$26,1,0)</f>
        <v>1</v>
      </c>
      <c r="AY23" s="13">
        <f>IF(預測IC!AY23&gt;預測IC!AY$26,1,0)</f>
        <v>1</v>
      </c>
      <c r="AZ23" s="13">
        <f>IF(預測IC!AZ23&gt;預測IC!AZ$26,1,0)</f>
        <v>0</v>
      </c>
      <c r="BA23" s="13">
        <f>IF(預測IC!BA23&gt;預測IC!BA$26,1,0)</f>
        <v>1</v>
      </c>
      <c r="BB23" s="13">
        <f>IF(預測IC!BB23&gt;預測IC!BB$26,1,0)</f>
        <v>0</v>
      </c>
      <c r="BC23" s="13">
        <f>IF(預測IC!BC23&gt;預測IC!BC$26,1,0)</f>
        <v>0</v>
      </c>
      <c r="BD23" s="13">
        <f>IF(預測IC!BD23&gt;預測IC!BD$26,1,0)</f>
        <v>1</v>
      </c>
      <c r="BE23" s="13">
        <f>IF(預測IC!BE23&gt;預測IC!BE$26,1,0)</f>
        <v>0</v>
      </c>
      <c r="BF23" s="13">
        <f>IF(預測IC!BF23&gt;預測IC!BF$26,1,0)</f>
        <v>0</v>
      </c>
      <c r="BG23" s="13">
        <f>IF(預測IC!BG23&gt;預測IC!BG$26,1,0)</f>
        <v>1</v>
      </c>
      <c r="BH23" s="13">
        <f>IF(預測IC!BH23&gt;預測IC!BH$26,1,0)</f>
        <v>0</v>
      </c>
      <c r="BI23" s="13">
        <f>IF(預測IC!BI23&gt;預測IC!BI$26,1,0)</f>
        <v>1</v>
      </c>
      <c r="BJ23" s="13">
        <f>IF(預測IC!BJ23&gt;預測IC!BJ$26,1,0)</f>
        <v>1</v>
      </c>
      <c r="BK23" s="13">
        <f>IF(預測IC!BK23&gt;預測IC!BK$26,1,0)</f>
        <v>0</v>
      </c>
      <c r="BL23" s="13">
        <f>IF(預測IC!BL23&gt;預測IC!BL$26,1,0)</f>
        <v>1</v>
      </c>
      <c r="BM23" s="13">
        <f>IF(預測IC!BM23&gt;預測IC!BM$26,1,0)</f>
        <v>1</v>
      </c>
      <c r="BN23" s="13">
        <f>IF(預測IC!BN23&gt;預測IC!BN$26,1,0)</f>
        <v>0</v>
      </c>
      <c r="BO23" s="13">
        <f>IF(預測IC!BO23&gt;預測IC!BO$26,1,0)</f>
        <v>1</v>
      </c>
      <c r="BP23" s="13">
        <f>IF(預測IC!BP23&gt;預測IC!BP$26,1,0)</f>
        <v>1</v>
      </c>
      <c r="BQ23" s="13">
        <f>IF(預測IC!BQ23&gt;預測IC!BQ$26,1,0)</f>
        <v>1</v>
      </c>
      <c r="BR23" s="13">
        <f>IF(預測IC!BR23&gt;預測IC!BR$26,1,0)</f>
        <v>1</v>
      </c>
      <c r="BS23" s="13">
        <f>IF(預測IC!BS23&gt;預測IC!BS$26,1,0)</f>
        <v>0</v>
      </c>
      <c r="BT23" s="13">
        <f>IF(預測IC!BT23&gt;預測IC!BT$26,1,0)</f>
        <v>1</v>
      </c>
      <c r="BU23" s="13">
        <f>IF(預測IC!BU23&gt;預測IC!BU$26,1,0)</f>
        <v>1</v>
      </c>
      <c r="BV23" s="13">
        <f>IF(預測IC!BV23&gt;預測IC!BV$26,1,0)</f>
        <v>1</v>
      </c>
      <c r="BW23" s="13">
        <f>IF(預測IC!BW23&gt;預測IC!BW$26,1,0)</f>
        <v>0</v>
      </c>
      <c r="BX23" s="13">
        <f>IF(預測IC!BX23&gt;預測IC!BX$26,1,0)</f>
        <v>1</v>
      </c>
      <c r="BY23" s="13">
        <f>IF(預測IC!BY23&gt;預測IC!BY$26,1,0)</f>
        <v>1</v>
      </c>
      <c r="BZ23" s="13">
        <f>IF(預測IC!BZ23&gt;預測IC!BZ$26,1,0)</f>
        <v>0</v>
      </c>
      <c r="CA23" s="13">
        <f>IF(預測IC!CA23&gt;預測IC!CA$26,1,0)</f>
        <v>1</v>
      </c>
      <c r="CB23" s="13">
        <f>IF(預測IC!CB23&gt;預測IC!CB$26,1,0)</f>
        <v>0</v>
      </c>
      <c r="CC23" s="13">
        <f>IF(預測IC!CC23&gt;預測IC!CC$26,1,0)</f>
        <v>1</v>
      </c>
      <c r="CD23" s="13">
        <f>IF(預測IC!CD23&gt;預測IC!CD$26,1,0)</f>
        <v>1</v>
      </c>
      <c r="CE23" s="13">
        <f>IF(預測IC!CE23&gt;預測IC!CE$26,1,0)</f>
        <v>0</v>
      </c>
      <c r="CF23" s="13">
        <f>IF(預測IC!CF23&gt;預測IC!CF$26,1,0)</f>
        <v>1</v>
      </c>
      <c r="CG23" s="13">
        <f>IF(預測IC!CG23&gt;預測IC!CG$26,1,0)</f>
        <v>0</v>
      </c>
      <c r="CH23" s="13">
        <f>IF(預測IC!CH23&gt;預測IC!CH$26,1,0)</f>
        <v>1</v>
      </c>
      <c r="CI23" s="13">
        <f>IF(預測IC!CI23&gt;預測IC!CI$26,1,0)</f>
        <v>0</v>
      </c>
      <c r="CJ23" s="13">
        <f>IF(預測IC!CJ23&gt;預測IC!CJ$26,1,0)</f>
        <v>0</v>
      </c>
      <c r="CK23" s="13">
        <f>IF(預測IC!CK23&gt;預測IC!CK$26,1,0)</f>
        <v>1</v>
      </c>
      <c r="CL23" s="13">
        <f>IF(預測IC!CL23&gt;預測IC!CL$26,1,0)</f>
        <v>0</v>
      </c>
      <c r="CM23" s="13">
        <f>IF(預測IC!CM23&gt;預測IC!CM$26,1,0)</f>
        <v>1</v>
      </c>
      <c r="CN23" s="13">
        <f>IF(預測IC!CN23&gt;預測IC!CN$26,1,0)</f>
        <v>0</v>
      </c>
      <c r="CO23" s="13">
        <f>IF(預測IC!CO23&gt;預測IC!CO$26,1,0)</f>
        <v>0</v>
      </c>
      <c r="CP23" s="13">
        <f>IF(預測IC!CP23&gt;預測IC!CP$26,1,0)</f>
        <v>1</v>
      </c>
      <c r="CQ23" s="13">
        <f>IF(預測IC!CQ23&gt;預測IC!CQ$26,1,0)</f>
        <v>1</v>
      </c>
      <c r="CR23" s="13">
        <f>IF(預測IC!CR23&gt;預測IC!CR$26,1,0)</f>
        <v>1</v>
      </c>
      <c r="CS23" s="13">
        <f>IF(預測IC!CS23&gt;預測IC!CS$26,1,0)</f>
        <v>0</v>
      </c>
      <c r="CT23" s="13">
        <f>IF(預測IC!CT23&gt;預測IC!CT$26,1,0)</f>
        <v>1</v>
      </c>
      <c r="CU23" s="13">
        <f>IF(預測IC!CU23&gt;預測IC!CU$26,1,0)</f>
        <v>1</v>
      </c>
      <c r="CV23" s="13">
        <f>IF(預測IC!CV23&gt;預測IC!CV$26,1,0)</f>
        <v>0</v>
      </c>
      <c r="CW23" s="13">
        <f>IF(預測IC!CW23&gt;預測IC!CW$26,1,0)</f>
        <v>1</v>
      </c>
      <c r="CX23" s="13">
        <f>IF(預測IC!CX23&gt;預測IC!CX$26,1,0)</f>
        <v>0</v>
      </c>
      <c r="CY23" s="13">
        <f>IF(預測IC!CY23&gt;預測IC!CY$26,1,0)</f>
        <v>1</v>
      </c>
      <c r="CZ23" s="13">
        <f>IF(預測IC!CZ23&gt;預測IC!CZ$26,1,0)</f>
        <v>1</v>
      </c>
      <c r="DA23" s="13">
        <f>IF(預測IC!DA23&gt;預測IC!DA$26,1,0)</f>
        <v>0</v>
      </c>
      <c r="DB23" s="13">
        <f>IF(預測IC!DB23&gt;預測IC!DB$26,1,0)</f>
        <v>0</v>
      </c>
      <c r="DC23" s="13">
        <f>IF(預測IC!DC23&gt;預測IC!DC$26,1,0)</f>
        <v>1</v>
      </c>
      <c r="DD23" s="13">
        <f>IF(預測IC!DD23&gt;預測IC!DD$26,1,0)</f>
        <v>1</v>
      </c>
      <c r="DE23" s="13">
        <f>IF(預測IC!DE23&gt;預測IC!DE$26,1,0)</f>
        <v>0</v>
      </c>
      <c r="DF23" s="13">
        <f>IF(預測IC!DF23&gt;預測IC!DF$26,1,0)</f>
        <v>1</v>
      </c>
      <c r="DG23" s="13">
        <f>IF(預測IC!DG23&gt;預測IC!DG$26,1,0)</f>
        <v>0</v>
      </c>
      <c r="DH23" s="13">
        <f>IF(預測IC!DH23&gt;預測IC!DH$26,1,0)</f>
        <v>1</v>
      </c>
      <c r="DI23" s="13">
        <f>IF(預測IC!DI23&gt;預測IC!DI$26,1,0)</f>
        <v>1</v>
      </c>
      <c r="DJ23" s="13">
        <f>IF(預測IC!DJ23&gt;預測IC!DJ$26,1,0)</f>
        <v>0</v>
      </c>
      <c r="DK23" s="13">
        <f>IF(預測IC!DK23&gt;預測IC!DK$26,1,0)</f>
        <v>1</v>
      </c>
      <c r="DL23" s="13">
        <f>IF(預測IC!DL23&gt;預測IC!DL$26,1,0)</f>
        <v>1</v>
      </c>
      <c r="DM23" s="13">
        <f>IF(預測IC!DM23&gt;預測IC!DM$26,1,0)</f>
        <v>0</v>
      </c>
      <c r="DN23" s="13">
        <f>IF(預測IC!DN23&gt;預測IC!DN$26,1,0)</f>
        <v>1</v>
      </c>
      <c r="DO23" s="13">
        <f>IF(預測IC!DO23&gt;預測IC!DO$26,1,0)</f>
        <v>1</v>
      </c>
      <c r="DP23" s="13">
        <f>IF(預測IC!DP23&gt;預測IC!DP$26,1,0)</f>
        <v>1</v>
      </c>
      <c r="DQ23" s="13">
        <f>IF(預測IC!DQ23&gt;預測IC!DQ$26,1,0)</f>
        <v>0</v>
      </c>
      <c r="DR23" s="13">
        <f>IF(預測IC!DR23&gt;預測IC!DR$26,1,0)</f>
        <v>0</v>
      </c>
      <c r="DS23" s="13">
        <f>IF(預測IC!DS23&gt;預測IC!DS$26,1,0)</f>
        <v>0</v>
      </c>
      <c r="DT23" s="13">
        <f>IF(預測IC!DT23&gt;預測IC!DT$26,1,0)</f>
        <v>0</v>
      </c>
      <c r="DU23" s="13">
        <f>IF(預測IC!DU23&gt;預測IC!DU$26,1,0)</f>
        <v>0</v>
      </c>
      <c r="DV23" s="13">
        <f>IF(預測IC!DV23&gt;預測IC!DV$26,1,0)</f>
        <v>1</v>
      </c>
      <c r="DW23" s="13">
        <f>IF(預測IC!DW23&gt;預測IC!DW$26,1,0)</f>
        <v>1</v>
      </c>
      <c r="DX23" s="13">
        <f>IF(預測IC!DX23&gt;預測IC!DX$26,1,0)</f>
        <v>0</v>
      </c>
      <c r="DY23" s="13">
        <f>IF(預測IC!DY23&gt;預測IC!DY$26,1,0)</f>
        <v>1</v>
      </c>
      <c r="DZ23" s="13">
        <f>IF(預測IC!DZ23&gt;預測IC!DZ$26,1,0)</f>
        <v>0</v>
      </c>
      <c r="EA23" s="13">
        <f>IF(預測IC!EA23&gt;預測IC!EA$26,1,0)</f>
        <v>0</v>
      </c>
      <c r="EB23" s="13">
        <f>IF(預測IC!EB23&gt;預測IC!EB$26,1,0)</f>
        <v>0</v>
      </c>
      <c r="EC23" s="13">
        <f>IF(預測IC!EC23&gt;預測IC!EC$26,1,0)</f>
        <v>0</v>
      </c>
      <c r="ED23" s="13">
        <f>IF(預測IC!ED23&gt;預測IC!ED$26,1,0)</f>
        <v>0</v>
      </c>
      <c r="EE23" s="13">
        <f>IF(預測IC!EE23&gt;預測IC!EE$26,1,0)</f>
        <v>1</v>
      </c>
      <c r="EF23" s="13">
        <f>IF(預測IC!EF23&gt;預測IC!EF$26,1,0)</f>
        <v>0</v>
      </c>
      <c r="EG23">
        <f t="shared" si="10"/>
        <v>69</v>
      </c>
      <c r="EH23" s="11">
        <f t="shared" si="11"/>
        <v>0.5149253731343284</v>
      </c>
    </row>
    <row r="24" spans="1:138">
      <c r="A24" s="2">
        <v>964</v>
      </c>
      <c r="B24" s="2">
        <v>1</v>
      </c>
      <c r="C24" s="13">
        <f>IF(預測IC!C24&gt;預測IC!C$26,1,0)</f>
        <v>1</v>
      </c>
      <c r="D24" s="13">
        <f>IF(預測IC!D24&gt;預測IC!D$26,1,0)</f>
        <v>1</v>
      </c>
      <c r="E24" s="13">
        <f>IF(預測IC!E24&gt;預測IC!E$26,1,0)</f>
        <v>1</v>
      </c>
      <c r="F24" s="13">
        <f>IF(預測IC!F24&gt;預測IC!F$26,1,0)</f>
        <v>1</v>
      </c>
      <c r="G24" s="13">
        <f>IF(預測IC!G24&gt;預測IC!G$26,1,0)</f>
        <v>1</v>
      </c>
      <c r="H24" s="13">
        <f>IF(預測IC!H24&gt;預測IC!H$26,1,0)</f>
        <v>1</v>
      </c>
      <c r="I24" s="13">
        <f>IF(預測IC!I24&gt;預測IC!I$26,1,0)</f>
        <v>1</v>
      </c>
      <c r="J24" s="13">
        <f>IF(預測IC!J24&gt;預測IC!J$26,1,0)</f>
        <v>0</v>
      </c>
      <c r="K24" s="13">
        <f>IF(預測IC!K24&gt;預測IC!K$26,1,0)</f>
        <v>1</v>
      </c>
      <c r="L24" s="13">
        <f>IF(預測IC!L24&gt;預測IC!L$26,1,0)</f>
        <v>1</v>
      </c>
      <c r="M24" s="13">
        <f>IF(預測IC!M24&gt;預測IC!M$26,1,0)</f>
        <v>0</v>
      </c>
      <c r="N24" s="13">
        <f>IF(預測IC!N24&gt;預測IC!N$26,1,0)</f>
        <v>1</v>
      </c>
      <c r="O24" s="13">
        <f>IF(預測IC!O24&gt;預測IC!O$26,1,0)</f>
        <v>0</v>
      </c>
      <c r="P24" s="13">
        <f>IF(預測IC!P24&gt;預測IC!P$26,1,0)</f>
        <v>0</v>
      </c>
      <c r="Q24" s="13">
        <f>IF(預測IC!Q24&gt;預測IC!Q$26,1,0)</f>
        <v>1</v>
      </c>
      <c r="R24" s="13">
        <f>IF(預測IC!R24&gt;預測IC!R$26,1,0)</f>
        <v>0</v>
      </c>
      <c r="S24" s="13">
        <f>IF(預測IC!S24&gt;預測IC!S$26,1,0)</f>
        <v>1</v>
      </c>
      <c r="T24" s="13">
        <f>IF(預測IC!T24&gt;預測IC!T$26,1,0)</f>
        <v>0</v>
      </c>
      <c r="U24" s="13">
        <f>IF(預測IC!U24&gt;預測IC!U$26,1,0)</f>
        <v>1</v>
      </c>
      <c r="V24" s="13">
        <f>IF(預測IC!V24&gt;預測IC!V$26,1,0)</f>
        <v>0</v>
      </c>
      <c r="W24" s="13">
        <f>IF(預測IC!W24&gt;預測IC!W$26,1,0)</f>
        <v>0</v>
      </c>
      <c r="X24" s="13">
        <f>IF(預測IC!X24&gt;預測IC!X$26,1,0)</f>
        <v>0</v>
      </c>
      <c r="Y24" s="13">
        <f>IF(預測IC!Y24&gt;預測IC!Y$26,1,0)</f>
        <v>0</v>
      </c>
      <c r="Z24" s="13">
        <f>IF(預測IC!Z24&gt;預測IC!Z$26,1,0)</f>
        <v>0</v>
      </c>
      <c r="AA24" s="13">
        <f>IF(預測IC!AA24&gt;預測IC!AA$26,1,0)</f>
        <v>1</v>
      </c>
      <c r="AB24" s="13">
        <f>IF(預測IC!AB24&gt;預測IC!AB$26,1,0)</f>
        <v>0</v>
      </c>
      <c r="AC24" s="13">
        <f>IF(預測IC!AC24&gt;預測IC!AC$26,1,0)</f>
        <v>0</v>
      </c>
      <c r="AD24" s="13">
        <f>IF(預測IC!AD24&gt;預測IC!AD$26,1,0)</f>
        <v>1</v>
      </c>
      <c r="AE24" s="13">
        <f>IF(預測IC!AE24&gt;預測IC!AE$26,1,0)</f>
        <v>0</v>
      </c>
      <c r="AF24" s="13">
        <f>IF(預測IC!AF24&gt;預測IC!AF$26,1,0)</f>
        <v>0</v>
      </c>
      <c r="AG24" s="13">
        <f>IF(預測IC!AG24&gt;預測IC!AG$26,1,0)</f>
        <v>1</v>
      </c>
      <c r="AH24" s="13">
        <f>IF(預測IC!AH24&gt;預測IC!AH$26,1,0)</f>
        <v>1</v>
      </c>
      <c r="AI24" s="13">
        <f>IF(預測IC!AI24&gt;預測IC!AI$26,1,0)</f>
        <v>1</v>
      </c>
      <c r="AJ24" s="13">
        <f>IF(預測IC!AJ24&gt;預測IC!AJ$26,1,0)</f>
        <v>1</v>
      </c>
      <c r="AK24" s="13">
        <f>IF(預測IC!AK24&gt;預測IC!AK$26,1,0)</f>
        <v>1</v>
      </c>
      <c r="AL24" s="13">
        <f>IF(預測IC!AL24&gt;預測IC!AL$26,1,0)</f>
        <v>0</v>
      </c>
      <c r="AM24" s="13">
        <f>IF(預測IC!AM24&gt;預測IC!AM$26,1,0)</f>
        <v>0</v>
      </c>
      <c r="AN24" s="13">
        <f>IF(預測IC!AN24&gt;預測IC!AN$26,1,0)</f>
        <v>1</v>
      </c>
      <c r="AO24" s="13">
        <f>IF(預測IC!AO24&gt;預測IC!AO$26,1,0)</f>
        <v>1</v>
      </c>
      <c r="AP24" s="13">
        <f>IF(預測IC!AP24&gt;預測IC!AP$26,1,0)</f>
        <v>0</v>
      </c>
      <c r="AQ24" s="13">
        <f>IF(預測IC!AQ24&gt;預測IC!AQ$26,1,0)</f>
        <v>1</v>
      </c>
      <c r="AR24" s="13">
        <f>IF(預測IC!AR24&gt;預測IC!AR$26,1,0)</f>
        <v>0</v>
      </c>
      <c r="AS24" s="13">
        <f>IF(預測IC!AS24&gt;預測IC!AS$26,1,0)</f>
        <v>0</v>
      </c>
      <c r="AT24" s="13">
        <f>IF(預測IC!AT24&gt;預測IC!AT$26,1,0)</f>
        <v>1</v>
      </c>
      <c r="AU24" s="13">
        <f>IF(預測IC!AU24&gt;預測IC!AU$26,1,0)</f>
        <v>1</v>
      </c>
      <c r="AV24" s="13">
        <f>IF(預測IC!AV24&gt;預測IC!AV$26,1,0)</f>
        <v>0</v>
      </c>
      <c r="AW24" s="13">
        <f>IF(預測IC!AW24&gt;預測IC!AW$26,1,0)</f>
        <v>1</v>
      </c>
      <c r="AX24" s="13">
        <f>IF(預測IC!AX24&gt;預測IC!AX$26,1,0)</f>
        <v>0</v>
      </c>
      <c r="AY24" s="13">
        <f>IF(預測IC!AY24&gt;預測IC!AY$26,1,0)</f>
        <v>1</v>
      </c>
      <c r="AZ24" s="13">
        <f>IF(預測IC!AZ24&gt;預測IC!AZ$26,1,0)</f>
        <v>1</v>
      </c>
      <c r="BA24" s="13">
        <f>IF(預測IC!BA24&gt;預測IC!BA$26,1,0)</f>
        <v>0</v>
      </c>
      <c r="BB24" s="13">
        <f>IF(預測IC!BB24&gt;預測IC!BB$26,1,0)</f>
        <v>0</v>
      </c>
      <c r="BC24" s="13">
        <f>IF(預測IC!BC24&gt;預測IC!BC$26,1,0)</f>
        <v>0</v>
      </c>
      <c r="BD24" s="13">
        <f>IF(預測IC!BD24&gt;預測IC!BD$26,1,0)</f>
        <v>1</v>
      </c>
      <c r="BE24" s="13">
        <f>IF(預測IC!BE24&gt;預測IC!BE$26,1,0)</f>
        <v>0</v>
      </c>
      <c r="BF24" s="13">
        <f>IF(預測IC!BF24&gt;預測IC!BF$26,1,0)</f>
        <v>1</v>
      </c>
      <c r="BG24" s="13">
        <f>IF(預測IC!BG24&gt;預測IC!BG$26,1,0)</f>
        <v>1</v>
      </c>
      <c r="BH24" s="13">
        <f>IF(預測IC!BH24&gt;預測IC!BH$26,1,0)</f>
        <v>0</v>
      </c>
      <c r="BI24" s="13">
        <f>IF(預測IC!BI24&gt;預測IC!BI$26,1,0)</f>
        <v>1</v>
      </c>
      <c r="BJ24" s="13">
        <f>IF(預測IC!BJ24&gt;預測IC!BJ$26,1,0)</f>
        <v>1</v>
      </c>
      <c r="BK24" s="13">
        <f>IF(預測IC!BK24&gt;預測IC!BK$26,1,0)</f>
        <v>0</v>
      </c>
      <c r="BL24" s="13">
        <f>IF(預測IC!BL24&gt;預測IC!BL$26,1,0)</f>
        <v>1</v>
      </c>
      <c r="BM24" s="13">
        <f>IF(預測IC!BM24&gt;預測IC!BM$26,1,0)</f>
        <v>0</v>
      </c>
      <c r="BN24" s="13">
        <f>IF(預測IC!BN24&gt;預測IC!BN$26,1,0)</f>
        <v>0</v>
      </c>
      <c r="BO24" s="13">
        <f>IF(預測IC!BO24&gt;預測IC!BO$26,1,0)</f>
        <v>0</v>
      </c>
      <c r="BP24" s="13">
        <f>IF(預測IC!BP24&gt;預測IC!BP$26,1,0)</f>
        <v>1</v>
      </c>
      <c r="BQ24" s="13">
        <f>IF(預測IC!BQ24&gt;預測IC!BQ$26,1,0)</f>
        <v>0</v>
      </c>
      <c r="BR24" s="13">
        <f>IF(預測IC!BR24&gt;預測IC!BR$26,1,0)</f>
        <v>1</v>
      </c>
      <c r="BS24" s="13">
        <f>IF(預測IC!BS24&gt;預測IC!BS$26,1,0)</f>
        <v>0</v>
      </c>
      <c r="BT24" s="13">
        <f>IF(預測IC!BT24&gt;預測IC!BT$26,1,0)</f>
        <v>1</v>
      </c>
      <c r="BU24" s="13">
        <f>IF(預測IC!BU24&gt;預測IC!BU$26,1,0)</f>
        <v>1</v>
      </c>
      <c r="BV24" s="13">
        <f>IF(預測IC!BV24&gt;預測IC!BV$26,1,0)</f>
        <v>1</v>
      </c>
      <c r="BW24" s="13">
        <f>IF(預測IC!BW24&gt;預測IC!BW$26,1,0)</f>
        <v>0</v>
      </c>
      <c r="BX24" s="13">
        <f>IF(預測IC!BX24&gt;預測IC!BX$26,1,0)</f>
        <v>0</v>
      </c>
      <c r="BY24" s="13">
        <f>IF(預測IC!BY24&gt;預測IC!BY$26,1,0)</f>
        <v>1</v>
      </c>
      <c r="BZ24" s="13">
        <f>IF(預測IC!BZ24&gt;預測IC!BZ$26,1,0)</f>
        <v>1</v>
      </c>
      <c r="CA24" s="13">
        <f>IF(預測IC!CA24&gt;預測IC!CA$26,1,0)</f>
        <v>1</v>
      </c>
      <c r="CB24" s="13">
        <f>IF(預測IC!CB24&gt;預測IC!CB$26,1,0)</f>
        <v>1</v>
      </c>
      <c r="CC24" s="13">
        <f>IF(預測IC!CC24&gt;預測IC!CC$26,1,0)</f>
        <v>1</v>
      </c>
      <c r="CD24" s="13">
        <f>IF(預測IC!CD24&gt;預測IC!CD$26,1,0)</f>
        <v>1</v>
      </c>
      <c r="CE24" s="13">
        <f>IF(預測IC!CE24&gt;預測IC!CE$26,1,0)</f>
        <v>0</v>
      </c>
      <c r="CF24" s="13">
        <f>IF(預測IC!CF24&gt;預測IC!CF$26,1,0)</f>
        <v>1</v>
      </c>
      <c r="CG24" s="13">
        <f>IF(預測IC!CG24&gt;預測IC!CG$26,1,0)</f>
        <v>0</v>
      </c>
      <c r="CH24" s="13">
        <f>IF(預測IC!CH24&gt;預測IC!CH$26,1,0)</f>
        <v>1</v>
      </c>
      <c r="CI24" s="13">
        <f>IF(預測IC!CI24&gt;預測IC!CI$26,1,0)</f>
        <v>1</v>
      </c>
      <c r="CJ24" s="13">
        <f>IF(預測IC!CJ24&gt;預測IC!CJ$26,1,0)</f>
        <v>0</v>
      </c>
      <c r="CK24" s="13">
        <f>IF(預測IC!CK24&gt;預測IC!CK$26,1,0)</f>
        <v>1</v>
      </c>
      <c r="CL24" s="13">
        <f>IF(預測IC!CL24&gt;預測IC!CL$26,1,0)</f>
        <v>1</v>
      </c>
      <c r="CM24" s="13">
        <f>IF(預測IC!CM24&gt;預測IC!CM$26,1,0)</f>
        <v>1</v>
      </c>
      <c r="CN24" s="13">
        <f>IF(預測IC!CN24&gt;預測IC!CN$26,1,0)</f>
        <v>0</v>
      </c>
      <c r="CO24" s="13">
        <f>IF(預測IC!CO24&gt;預測IC!CO$26,1,0)</f>
        <v>0</v>
      </c>
      <c r="CP24" s="13">
        <f>IF(預測IC!CP24&gt;預測IC!CP$26,1,0)</f>
        <v>1</v>
      </c>
      <c r="CQ24" s="13">
        <f>IF(預測IC!CQ24&gt;預測IC!CQ$26,1,0)</f>
        <v>1</v>
      </c>
      <c r="CR24" s="13">
        <f>IF(預測IC!CR24&gt;預測IC!CR$26,1,0)</f>
        <v>1</v>
      </c>
      <c r="CS24" s="13">
        <f>IF(預測IC!CS24&gt;預測IC!CS$26,1,0)</f>
        <v>0</v>
      </c>
      <c r="CT24" s="13">
        <f>IF(預測IC!CT24&gt;預測IC!CT$26,1,0)</f>
        <v>1</v>
      </c>
      <c r="CU24" s="13">
        <f>IF(預測IC!CU24&gt;預測IC!CU$26,1,0)</f>
        <v>0</v>
      </c>
      <c r="CV24" s="13">
        <f>IF(預測IC!CV24&gt;預測IC!CV$26,1,0)</f>
        <v>1</v>
      </c>
      <c r="CW24" s="13">
        <f>IF(預測IC!CW24&gt;預測IC!CW$26,1,0)</f>
        <v>1</v>
      </c>
      <c r="CX24" s="13">
        <f>IF(預測IC!CX24&gt;預測IC!CX$26,1,0)</f>
        <v>1</v>
      </c>
      <c r="CY24" s="13">
        <f>IF(預測IC!CY24&gt;預測IC!CY$26,1,0)</f>
        <v>0</v>
      </c>
      <c r="CZ24" s="13">
        <f>IF(預測IC!CZ24&gt;預測IC!CZ$26,1,0)</f>
        <v>1</v>
      </c>
      <c r="DA24" s="13">
        <f>IF(預測IC!DA24&gt;預測IC!DA$26,1,0)</f>
        <v>1</v>
      </c>
      <c r="DB24" s="13">
        <f>IF(預測IC!DB24&gt;預測IC!DB$26,1,0)</f>
        <v>0</v>
      </c>
      <c r="DC24" s="13">
        <f>IF(預測IC!DC24&gt;預測IC!DC$26,1,0)</f>
        <v>1</v>
      </c>
      <c r="DD24" s="13">
        <f>IF(預測IC!DD24&gt;預測IC!DD$26,1,0)</f>
        <v>1</v>
      </c>
      <c r="DE24" s="13">
        <f>IF(預測IC!DE24&gt;預測IC!DE$26,1,0)</f>
        <v>0</v>
      </c>
      <c r="DF24" s="13">
        <f>IF(預測IC!DF24&gt;預測IC!DF$26,1,0)</f>
        <v>0</v>
      </c>
      <c r="DG24" s="13">
        <f>IF(預測IC!DG24&gt;預測IC!DG$26,1,0)</f>
        <v>0</v>
      </c>
      <c r="DH24" s="13">
        <f>IF(預測IC!DH24&gt;預測IC!DH$26,1,0)</f>
        <v>0</v>
      </c>
      <c r="DI24" s="13">
        <f>IF(預測IC!DI24&gt;預測IC!DI$26,1,0)</f>
        <v>1</v>
      </c>
      <c r="DJ24" s="13">
        <f>IF(預測IC!DJ24&gt;預測IC!DJ$26,1,0)</f>
        <v>0</v>
      </c>
      <c r="DK24" s="13">
        <f>IF(預測IC!DK24&gt;預測IC!DK$26,1,0)</f>
        <v>1</v>
      </c>
      <c r="DL24" s="13">
        <f>IF(預測IC!DL24&gt;預測IC!DL$26,1,0)</f>
        <v>1</v>
      </c>
      <c r="DM24" s="13">
        <f>IF(預測IC!DM24&gt;預測IC!DM$26,1,0)</f>
        <v>0</v>
      </c>
      <c r="DN24" s="13">
        <f>IF(預測IC!DN24&gt;預測IC!DN$26,1,0)</f>
        <v>1</v>
      </c>
      <c r="DO24" s="13">
        <f>IF(預測IC!DO24&gt;預測IC!DO$26,1,0)</f>
        <v>1</v>
      </c>
      <c r="DP24" s="13">
        <f>IF(預測IC!DP24&gt;預測IC!DP$26,1,0)</f>
        <v>1</v>
      </c>
      <c r="DQ24" s="13">
        <f>IF(預測IC!DQ24&gt;預測IC!DQ$26,1,0)</f>
        <v>0</v>
      </c>
      <c r="DR24" s="13">
        <f>IF(預測IC!DR24&gt;預測IC!DR$26,1,0)</f>
        <v>0</v>
      </c>
      <c r="DS24" s="13">
        <f>IF(預測IC!DS24&gt;預測IC!DS$26,1,0)</f>
        <v>0</v>
      </c>
      <c r="DT24" s="13">
        <f>IF(預測IC!DT24&gt;預測IC!DT$26,1,0)</f>
        <v>0</v>
      </c>
      <c r="DU24" s="13">
        <f>IF(預測IC!DU24&gt;預測IC!DU$26,1,0)</f>
        <v>0</v>
      </c>
      <c r="DV24" s="13">
        <f>IF(預測IC!DV24&gt;預測IC!DV$26,1,0)</f>
        <v>1</v>
      </c>
      <c r="DW24" s="13">
        <f>IF(預測IC!DW24&gt;預測IC!DW$26,1,0)</f>
        <v>1</v>
      </c>
      <c r="DX24" s="13">
        <f>IF(預測IC!DX24&gt;預測IC!DX$26,1,0)</f>
        <v>0</v>
      </c>
      <c r="DY24" s="13">
        <f>IF(預測IC!DY24&gt;預測IC!DY$26,1,0)</f>
        <v>1</v>
      </c>
      <c r="DZ24" s="13">
        <f>IF(預測IC!DZ24&gt;預測IC!DZ$26,1,0)</f>
        <v>0</v>
      </c>
      <c r="EA24" s="13">
        <f>IF(預測IC!EA24&gt;預測IC!EA$26,1,0)</f>
        <v>1</v>
      </c>
      <c r="EB24" s="13">
        <f>IF(預測IC!EB24&gt;預測IC!EB$26,1,0)</f>
        <v>0</v>
      </c>
      <c r="EC24" s="13">
        <f>IF(預測IC!EC24&gt;預測IC!EC$26,1,0)</f>
        <v>1</v>
      </c>
      <c r="ED24" s="13">
        <f>IF(預測IC!ED24&gt;預測IC!ED$26,1,0)</f>
        <v>0</v>
      </c>
      <c r="EE24" s="13">
        <f>IF(預測IC!EE24&gt;預測IC!EE$26,1,0)</f>
        <v>1</v>
      </c>
      <c r="EF24" s="13">
        <f>IF(預測IC!EF24&gt;預測IC!EF$26,1,0)</f>
        <v>1</v>
      </c>
      <c r="EG24">
        <f t="shared" si="10"/>
        <v>75</v>
      </c>
      <c r="EH24" s="11">
        <f t="shared" si="11"/>
        <v>0.55970149253731338</v>
      </c>
    </row>
    <row r="26" spans="1:138">
      <c r="A26" s="2" t="s">
        <v>144</v>
      </c>
      <c r="B26" s="2" t="s">
        <v>145</v>
      </c>
      <c r="C26" s="4">
        <v>-1.7446770539390338E-2</v>
      </c>
      <c r="D26" s="4">
        <v>2.070106053181563E-2</v>
      </c>
      <c r="E26" s="4">
        <v>2.3982129254766709E-2</v>
      </c>
      <c r="F26" s="4">
        <v>-6.557578972823077E-3</v>
      </c>
      <c r="G26" s="4">
        <v>3.1845129800519692E-2</v>
      </c>
      <c r="H26" s="4">
        <v>3.4348532736990518E-2</v>
      </c>
      <c r="I26" s="4">
        <v>-8.2549327813252367E-3</v>
      </c>
      <c r="J26" s="4">
        <v>1.2843524394052759E-2</v>
      </c>
      <c r="K26" s="4">
        <v>-5.1018524626790823E-2</v>
      </c>
      <c r="L26" s="4">
        <v>8.7394274103658827E-4</v>
      </c>
      <c r="M26" s="4">
        <v>2.3389575505495919E-2</v>
      </c>
      <c r="N26" s="4">
        <v>1.2988972200332851E-2</v>
      </c>
      <c r="O26" s="4">
        <v>5.8545887256348812E-3</v>
      </c>
      <c r="P26" s="4">
        <v>2.7413206571790558E-2</v>
      </c>
      <c r="Q26" s="4">
        <v>-3.7129361176928542E-3</v>
      </c>
      <c r="R26" s="4">
        <v>2.4076614047823328E-2</v>
      </c>
      <c r="S26" s="4">
        <v>-1.219002529903996E-2</v>
      </c>
      <c r="T26" s="4">
        <v>-3.9749578159589592E-2</v>
      </c>
      <c r="U26" s="4">
        <v>-7.3155449831649552E-2</v>
      </c>
      <c r="V26" s="4">
        <v>-5.8260229910114661E-2</v>
      </c>
      <c r="W26" s="4">
        <v>7.7279756550837221E-4</v>
      </c>
      <c r="X26" s="4">
        <v>4.459152113521897E-2</v>
      </c>
      <c r="Y26" s="4">
        <v>-2.7699680050213091E-2</v>
      </c>
      <c r="Z26" s="4">
        <v>2.0950059497436462E-3</v>
      </c>
      <c r="AA26" s="4">
        <v>-2.340055099256411E-2</v>
      </c>
      <c r="AB26" s="4">
        <v>3.2129371097322189E-2</v>
      </c>
      <c r="AC26" s="4">
        <v>3.890327309406643E-2</v>
      </c>
      <c r="AD26" s="4">
        <v>-4.286538217110427E-2</v>
      </c>
      <c r="AE26" s="4">
        <v>1.8647194550152159E-2</v>
      </c>
      <c r="AF26" s="4">
        <v>1.5229768322528949E-2</v>
      </c>
      <c r="AG26" s="4">
        <v>3.6016603778892417E-2</v>
      </c>
      <c r="AH26" s="4">
        <v>9.3546113853161701E-3</v>
      </c>
      <c r="AI26" s="4">
        <v>1.0748251336838139E-2</v>
      </c>
      <c r="AJ26" s="4">
        <v>1.335775405308097E-2</v>
      </c>
      <c r="AK26" s="4">
        <v>-5.3327473290953921E-3</v>
      </c>
      <c r="AL26" s="4">
        <v>1.383135807261675E-3</v>
      </c>
      <c r="AM26" s="4">
        <v>2.079592842007446E-2</v>
      </c>
      <c r="AN26" s="4">
        <v>3.1517702220390638E-2</v>
      </c>
      <c r="AO26" s="4">
        <v>6.2417165333294418E-3</v>
      </c>
      <c r="AP26" s="4">
        <v>6.1452616535713897E-3</v>
      </c>
      <c r="AQ26" s="4">
        <v>1.694635767669651E-2</v>
      </c>
      <c r="AR26" s="4">
        <v>3.4682830454308228E-2</v>
      </c>
      <c r="AS26" s="4">
        <v>3.0985886171969678E-3</v>
      </c>
      <c r="AT26" s="4">
        <v>1.508134714348611E-2</v>
      </c>
      <c r="AU26" s="4">
        <v>-1.9251209229863991E-2</v>
      </c>
      <c r="AV26" s="4">
        <v>3.8711513387631437E-2</v>
      </c>
      <c r="AW26" s="4">
        <v>-2.1856951135736599E-2</v>
      </c>
      <c r="AX26" s="4">
        <v>7.7743007097896798E-3</v>
      </c>
      <c r="AY26" s="4">
        <v>4.2397246695325942E-2</v>
      </c>
      <c r="AZ26" s="4">
        <v>-2.630897486115975E-2</v>
      </c>
      <c r="BA26" s="4">
        <v>9.5717493087162323E-3</v>
      </c>
      <c r="BB26" s="4">
        <v>-2.424974126627483E-2</v>
      </c>
      <c r="BC26" s="4">
        <v>2.0163374143915822E-2</v>
      </c>
      <c r="BD26" s="4">
        <v>-3.5049987821160239E-3</v>
      </c>
      <c r="BE26" s="4">
        <v>2.0151935098542271E-2</v>
      </c>
      <c r="BF26" s="4">
        <v>5.8133623077027128E-4</v>
      </c>
      <c r="BG26" s="4">
        <v>-5.2197009532526043E-3</v>
      </c>
      <c r="BH26" s="4">
        <v>-0.11587176140213</v>
      </c>
      <c r="BI26" s="4">
        <v>8.7252256924373536E-3</v>
      </c>
      <c r="BJ26" s="4">
        <v>-1.6377260977822151E-2</v>
      </c>
      <c r="BK26" s="4">
        <v>2.0840371600260421E-2</v>
      </c>
      <c r="BL26" s="4">
        <v>4.4975872102114713E-2</v>
      </c>
      <c r="BM26" s="4">
        <v>2.3954306081863871E-2</v>
      </c>
      <c r="BN26" s="4">
        <v>3.0239101391442601E-2</v>
      </c>
      <c r="BO26" s="4">
        <v>-4.372588759108751E-2</v>
      </c>
      <c r="BP26" s="4">
        <v>2.1889469568198618E-2</v>
      </c>
      <c r="BQ26" s="4">
        <v>8.6274302635084028E-3</v>
      </c>
      <c r="BR26" s="4">
        <v>-1.9192953994658781E-2</v>
      </c>
      <c r="BS26" s="4">
        <v>1.973512988813305E-2</v>
      </c>
      <c r="BT26" s="4">
        <v>4.7694337483699438E-2</v>
      </c>
      <c r="BU26" s="4">
        <v>1.145481680658339E-2</v>
      </c>
      <c r="BV26" s="4">
        <v>4.3228620735213191E-2</v>
      </c>
      <c r="BW26" s="4">
        <v>-4.2747430436922793E-2</v>
      </c>
      <c r="BX26" s="4">
        <v>-1.781129242779457E-2</v>
      </c>
      <c r="BY26" s="4">
        <v>-0.1511530968690756</v>
      </c>
      <c r="BZ26" s="4">
        <v>0.12422400361957529</v>
      </c>
      <c r="CA26" s="4">
        <v>-4.5572538445296431E-3</v>
      </c>
      <c r="CB26" s="4">
        <v>6.0211240204911178E-2</v>
      </c>
      <c r="CC26" s="4">
        <v>8.5992033482502284E-2</v>
      </c>
      <c r="CD26" s="4">
        <v>-5.8084795823660634E-3</v>
      </c>
      <c r="CE26" s="4">
        <v>-6.0413469889680736E-3</v>
      </c>
      <c r="CF26" s="4">
        <v>2.4523243722520739E-3</v>
      </c>
      <c r="CG26" s="4">
        <v>8.963625193702289E-2</v>
      </c>
      <c r="CH26" s="4">
        <v>7.099273252675789E-2</v>
      </c>
      <c r="CI26" s="4">
        <v>2.7170642901783448E-2</v>
      </c>
      <c r="CJ26" s="4">
        <v>5.2468428425330033E-2</v>
      </c>
      <c r="CK26" s="4">
        <v>2.9480660943049509E-2</v>
      </c>
      <c r="CL26" s="4">
        <v>6.6825081060201283E-2</v>
      </c>
      <c r="CM26" s="4">
        <v>-2.8772229019816971E-2</v>
      </c>
      <c r="CN26" s="4">
        <v>3.9462515901637851E-2</v>
      </c>
      <c r="CO26" s="4">
        <v>-2.9031086977359909E-2</v>
      </c>
      <c r="CP26" s="4">
        <v>1.3983882519467901E-2</v>
      </c>
      <c r="CQ26" s="4">
        <v>-3.2276964959333833E-2</v>
      </c>
      <c r="CR26" s="4">
        <v>3.1035766128940231E-3</v>
      </c>
      <c r="CS26" s="4">
        <v>2.5591855767083171E-2</v>
      </c>
      <c r="CT26" s="4">
        <v>4.4391886287193302E-2</v>
      </c>
      <c r="CU26" s="4">
        <v>-3.0338958549577438E-2</v>
      </c>
      <c r="CV26" s="4">
        <v>-1.2579764545717069E-3</v>
      </c>
      <c r="CW26" s="4">
        <v>2.336356455857952E-3</v>
      </c>
      <c r="CX26" s="4">
        <v>-6.4264144925906069E-2</v>
      </c>
      <c r="CY26" s="4">
        <v>1.2909779458992439E-2</v>
      </c>
      <c r="CZ26" s="4">
        <v>-0.12547709467085871</v>
      </c>
      <c r="DA26" s="4">
        <v>1.1690682939792569E-2</v>
      </c>
      <c r="DB26" s="4">
        <v>6.3378437007417512E-3</v>
      </c>
      <c r="DC26" s="4">
        <v>-0.1173053564693855</v>
      </c>
      <c r="DD26" s="4">
        <v>-3.6010872049446613E-2</v>
      </c>
      <c r="DE26" s="4">
        <v>0.1389113040722679</v>
      </c>
      <c r="DF26" s="4">
        <v>-5.1143506226105737E-2</v>
      </c>
      <c r="DG26" s="4">
        <v>7.6731447181969059E-2</v>
      </c>
      <c r="DH26" s="4">
        <v>1.550878219700816E-2</v>
      </c>
      <c r="DI26" s="4">
        <v>2.3223773674755831E-2</v>
      </c>
      <c r="DJ26" s="4">
        <v>-1.8372876361227891E-2</v>
      </c>
      <c r="DK26" s="4">
        <v>6.2199014085099431E-2</v>
      </c>
      <c r="DL26" s="4">
        <v>2.0098304486957191E-2</v>
      </c>
      <c r="DM26" s="4">
        <v>1.349893974806809E-2</v>
      </c>
      <c r="DN26" s="4">
        <v>-3.025221272842088E-2</v>
      </c>
      <c r="DO26" s="4">
        <v>-1.7022835708053841E-2</v>
      </c>
      <c r="DP26" s="4">
        <v>-2.1788523272461981E-2</v>
      </c>
      <c r="DQ26" s="4">
        <v>8.5745624585137223E-2</v>
      </c>
      <c r="DR26" s="4">
        <v>2.8106743604973752E-2</v>
      </c>
      <c r="DS26" s="4">
        <v>-2.3031598073594501E-3</v>
      </c>
      <c r="DT26" s="4">
        <v>5.8471198131487503E-2</v>
      </c>
      <c r="DU26" s="4">
        <v>6.7658949048647651E-2</v>
      </c>
      <c r="DV26" s="4">
        <v>5.0207706404322644E-3</v>
      </c>
      <c r="DW26" s="4">
        <v>3.7416183675207063E-2</v>
      </c>
      <c r="DX26" s="4">
        <v>8.4111003746042121E-2</v>
      </c>
      <c r="DY26" s="4">
        <v>-3.6832398544012837E-2</v>
      </c>
      <c r="DZ26" s="4">
        <v>3.0917028169369942E-3</v>
      </c>
      <c r="EA26" s="4">
        <v>-1.957628214294549E-3</v>
      </c>
      <c r="EB26" s="4">
        <v>2.6459103603519739E-2</v>
      </c>
      <c r="EC26" s="4">
        <v>-2.4752538760690269E-2</v>
      </c>
      <c r="ED26" s="4">
        <v>3.4115490982559941E-2</v>
      </c>
      <c r="EE26" s="4">
        <v>2.1061973989032982E-2</v>
      </c>
      <c r="EF26" s="4">
        <v>-2.0277392706005919E-2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F26"/>
  <sheetViews>
    <sheetView zoomScale="125" zoomScaleNormal="90" workbookViewId="0">
      <selection activeCell="C15" sqref="C15"/>
    </sheetView>
  </sheetViews>
  <sheetFormatPr baseColWidth="10" defaultColWidth="8.83203125" defaultRowHeight="15"/>
  <sheetData>
    <row r="1" spans="1:136" s="1" customFormat="1">
      <c r="A1" s="2" t="s">
        <v>0</v>
      </c>
    </row>
    <row r="2" spans="1:136" s="1" customFormat="1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 s="1" customFormat="1">
      <c r="B3" s="2" t="s">
        <v>136</v>
      </c>
      <c r="C3" s="13">
        <v>3.1330205500125892E-2</v>
      </c>
      <c r="D3" s="13">
        <v>-1.7543647438287732E-2</v>
      </c>
      <c r="E3" s="13">
        <v>2.9643896967172619E-2</v>
      </c>
      <c r="F3" s="13">
        <v>2.8182985261082649E-2</v>
      </c>
      <c r="G3" s="13">
        <v>4.1800491511821747E-2</v>
      </c>
      <c r="H3" s="13">
        <v>1.7699908465147018E-2</v>
      </c>
      <c r="I3" s="13">
        <v>1.256205607205629E-2</v>
      </c>
      <c r="J3" s="13">
        <v>1.2357430532574649E-3</v>
      </c>
      <c r="K3" s="13">
        <v>3.5791270434856408E-2</v>
      </c>
      <c r="L3" s="13">
        <v>6.6725820302963257E-2</v>
      </c>
      <c r="M3" s="13">
        <v>1.32761662825942E-2</v>
      </c>
      <c r="N3" s="13">
        <v>-1.340599730610847E-3</v>
      </c>
      <c r="O3" s="13">
        <v>-3.9153536781668663E-3</v>
      </c>
      <c r="P3" s="13">
        <v>2.3424895480275151E-2</v>
      </c>
      <c r="Q3" s="13">
        <v>2.038630656898022E-2</v>
      </c>
      <c r="R3" s="13">
        <v>1.957200467586517E-2</v>
      </c>
      <c r="S3" s="13">
        <v>2.2870888933539391E-2</v>
      </c>
      <c r="T3" s="13">
        <v>4.3855453841388234E-3</v>
      </c>
      <c r="U3" s="13">
        <v>-8.5439961403608322E-3</v>
      </c>
      <c r="V3" s="13">
        <v>-8.516303263604641E-3</v>
      </c>
      <c r="W3" s="13">
        <v>-1.7971992492675781E-2</v>
      </c>
      <c r="X3" s="13">
        <v>-1.1634783819317819E-2</v>
      </c>
      <c r="Y3" s="13">
        <v>-2.656730450689793E-2</v>
      </c>
      <c r="Z3" s="13">
        <v>-2.7729809284210209E-2</v>
      </c>
      <c r="AA3" s="13">
        <v>7.4403420090675354E-2</v>
      </c>
      <c r="AB3" s="13">
        <v>-2.764703705906868E-2</v>
      </c>
      <c r="AC3" s="13">
        <v>-2.7917437255382541E-2</v>
      </c>
      <c r="AD3" s="13">
        <v>-3.129136934876442E-2</v>
      </c>
      <c r="AE3" s="13">
        <v>-2.063364535570145E-2</v>
      </c>
      <c r="AF3" s="13">
        <v>-3.5181421786546707E-2</v>
      </c>
      <c r="AG3" s="13">
        <v>-1.2474990449845791E-2</v>
      </c>
      <c r="AH3" s="13">
        <v>-2.2227592766284939E-2</v>
      </c>
      <c r="AI3" s="13">
        <v>2.8354397043585781E-2</v>
      </c>
      <c r="AJ3" s="13">
        <v>1.7696382477879521E-2</v>
      </c>
      <c r="AK3" s="13">
        <v>-1.5488248318433759E-3</v>
      </c>
      <c r="AL3" s="13">
        <v>6.0541510581970208E-2</v>
      </c>
      <c r="AM3" s="13">
        <v>4.2939703911542892E-2</v>
      </c>
      <c r="AN3" s="13">
        <v>4.6451166272163391E-2</v>
      </c>
      <c r="AO3" s="13">
        <v>4.6414647251367569E-2</v>
      </c>
      <c r="AP3" s="13">
        <v>2.7322841808199879E-2</v>
      </c>
      <c r="AQ3" s="13">
        <v>4.9711406230926507E-2</v>
      </c>
      <c r="AR3" s="13">
        <v>4.072609543800354E-2</v>
      </c>
      <c r="AS3" s="13">
        <v>3.7940710783004761E-2</v>
      </c>
      <c r="AT3" s="13">
        <v>4.3215282261371613E-2</v>
      </c>
      <c r="AU3" s="13">
        <v>3.5848293453454971E-2</v>
      </c>
      <c r="AV3" s="13">
        <v>4.8106551170349121E-2</v>
      </c>
      <c r="AW3" s="13">
        <v>0.25755825638771063</v>
      </c>
      <c r="AX3" s="13">
        <v>2.3971892893314362E-2</v>
      </c>
      <c r="AY3" s="13">
        <v>5.6368216872215271E-2</v>
      </c>
      <c r="AZ3" s="13">
        <v>4.440823569893837E-2</v>
      </c>
      <c r="BA3" s="13">
        <v>4.0217362344264977E-2</v>
      </c>
      <c r="BB3" s="13">
        <v>3.9215490221977227E-2</v>
      </c>
      <c r="BC3" s="13">
        <v>5.1480397582054138E-2</v>
      </c>
      <c r="BD3" s="13">
        <v>4.9942176789045327E-2</v>
      </c>
      <c r="BE3" s="13">
        <v>4.9302525818347931E-2</v>
      </c>
      <c r="BF3" s="13">
        <v>5.0215017050504678E-2</v>
      </c>
      <c r="BG3" s="13">
        <v>4.4806387275457382E-2</v>
      </c>
      <c r="BH3" s="13">
        <v>7.2218522429466248E-2</v>
      </c>
      <c r="BI3" s="13">
        <v>5.3198006004095078E-2</v>
      </c>
      <c r="BJ3" s="13">
        <v>5.0947383046150208E-2</v>
      </c>
      <c r="BK3" s="13">
        <v>4.6847827732563019E-2</v>
      </c>
      <c r="BL3" s="13">
        <v>5.1777664572000497E-2</v>
      </c>
      <c r="BM3" s="13">
        <v>4.5751150697469711E-2</v>
      </c>
      <c r="BN3" s="13">
        <v>5.1456984132528312E-2</v>
      </c>
      <c r="BO3" s="13">
        <v>5.444614589214325E-2</v>
      </c>
      <c r="BP3" s="13">
        <v>5.1880281418561942E-2</v>
      </c>
      <c r="BQ3" s="13">
        <v>4.9081109464168549E-2</v>
      </c>
      <c r="BR3" s="13">
        <v>3.0115354806184769E-2</v>
      </c>
      <c r="BS3" s="13">
        <v>4.8800110816955573E-2</v>
      </c>
      <c r="BT3" s="13">
        <v>4.8635218292474747E-2</v>
      </c>
      <c r="BU3" s="13">
        <v>4.5633736997842789E-2</v>
      </c>
      <c r="BV3" s="13">
        <v>4.947228729724884E-2</v>
      </c>
      <c r="BW3" s="13">
        <v>4.4601880013942719E-2</v>
      </c>
      <c r="BX3" s="13">
        <v>4.56710085272789E-2</v>
      </c>
      <c r="BY3" s="13">
        <v>3.6897704005241387E-2</v>
      </c>
      <c r="BZ3" s="13">
        <v>0.21394279599189761</v>
      </c>
      <c r="CA3" s="13">
        <v>2.7052136138081551E-2</v>
      </c>
      <c r="CB3" s="13">
        <v>4.6074997633695602E-2</v>
      </c>
      <c r="CC3" s="13">
        <v>7.2226598858833313E-2</v>
      </c>
      <c r="CD3" s="13">
        <v>3.4700907766819E-2</v>
      </c>
      <c r="CE3" s="13">
        <v>3.6362294107675552E-2</v>
      </c>
      <c r="CF3" s="13">
        <v>4.7756139189004898E-2</v>
      </c>
      <c r="CG3" s="13">
        <v>3.6376580595970147E-2</v>
      </c>
      <c r="CH3" s="13">
        <v>4.3285507708787918E-2</v>
      </c>
      <c r="CI3" s="13">
        <v>4.2804375290870673E-2</v>
      </c>
      <c r="CJ3" s="13">
        <v>4.3789677321910858E-2</v>
      </c>
      <c r="CK3" s="13">
        <v>4.193609207868576E-2</v>
      </c>
      <c r="CL3" s="13">
        <v>4.5073911547660828E-2</v>
      </c>
      <c r="CM3" s="13">
        <v>5.7426575571298599E-2</v>
      </c>
      <c r="CN3" s="13">
        <v>4.8870686441659927E-2</v>
      </c>
      <c r="CO3" s="13">
        <v>4.6467091888189323E-2</v>
      </c>
      <c r="CP3" s="13">
        <v>4.5427285134792328E-2</v>
      </c>
      <c r="CQ3" s="13">
        <v>4.3254118412733078E-2</v>
      </c>
      <c r="CR3" s="13">
        <v>4.2831581085920327E-2</v>
      </c>
      <c r="CS3" s="13">
        <v>4.1360333561897278E-2</v>
      </c>
      <c r="CT3" s="13">
        <v>2.374728582799435E-2</v>
      </c>
      <c r="CU3" s="13">
        <v>3.9278171956539147E-2</v>
      </c>
      <c r="CV3" s="13">
        <v>4.09957654774189E-2</v>
      </c>
      <c r="CW3" s="13">
        <v>3.6699786782264709E-2</v>
      </c>
      <c r="CX3" s="13">
        <v>3.8764949887990952E-2</v>
      </c>
      <c r="CY3" s="13">
        <v>3.7805531173944473E-2</v>
      </c>
      <c r="CZ3" s="13">
        <v>4.325726255774498E-2</v>
      </c>
      <c r="DA3" s="13">
        <v>4.4850636273622513E-2</v>
      </c>
      <c r="DB3" s="13">
        <v>4.3851811438798897E-2</v>
      </c>
      <c r="DC3" s="13">
        <v>4.9191009253263467E-2</v>
      </c>
      <c r="DD3" s="13">
        <v>4.212004691362381E-2</v>
      </c>
      <c r="DE3" s="13">
        <v>4.7127000987529748E-2</v>
      </c>
      <c r="DF3" s="13">
        <v>3.8079626858234412E-2</v>
      </c>
      <c r="DG3" s="13">
        <v>3.8307089358568192E-2</v>
      </c>
      <c r="DH3" s="13">
        <v>3.9209745824337013E-2</v>
      </c>
      <c r="DI3" s="13">
        <v>5.0754562020301819E-2</v>
      </c>
      <c r="DJ3" s="13">
        <v>4.9327295273542397E-2</v>
      </c>
      <c r="DK3" s="13">
        <v>4.6511236578226089E-2</v>
      </c>
      <c r="DL3" s="13">
        <v>4.22775037586689E-2</v>
      </c>
      <c r="DM3" s="13">
        <v>3.2305262982845313E-2</v>
      </c>
      <c r="DN3" s="13">
        <v>4.6072427183389657E-2</v>
      </c>
      <c r="DO3" s="13">
        <v>4.8485249280929572E-2</v>
      </c>
      <c r="DP3" s="13">
        <v>4.6022161841392517E-2</v>
      </c>
      <c r="DQ3" s="13">
        <v>4.4537413865327842E-2</v>
      </c>
      <c r="DR3" s="13">
        <v>4.4425271451473243E-2</v>
      </c>
      <c r="DS3" s="13">
        <v>4.2646575719118118E-2</v>
      </c>
      <c r="DT3" s="13">
        <v>4.6090584248304367E-2</v>
      </c>
      <c r="DU3" s="13">
        <v>4.3128091841936111E-2</v>
      </c>
      <c r="DV3" s="13">
        <v>4.1349083185195923E-2</v>
      </c>
      <c r="DW3" s="13">
        <v>4.0377732366323471E-2</v>
      </c>
      <c r="DX3" s="13">
        <v>4.6240631490945823E-2</v>
      </c>
      <c r="DY3" s="13">
        <v>4.529276117682457E-2</v>
      </c>
      <c r="DZ3" s="13">
        <v>3.8002155721187592E-2</v>
      </c>
      <c r="EA3" s="13">
        <v>4.3337244540452957E-2</v>
      </c>
      <c r="EB3" s="13">
        <v>3.5762075334787369E-2</v>
      </c>
      <c r="EC3" s="13">
        <v>3.0851878225803379E-2</v>
      </c>
      <c r="ED3" s="13">
        <v>4.0065716952085488E-2</v>
      </c>
      <c r="EE3" s="13">
        <v>4.3372519314289093E-2</v>
      </c>
      <c r="EF3" s="13">
        <v>4.6325836330652237E-2</v>
      </c>
    </row>
    <row r="4" spans="1:136" s="1" customFormat="1">
      <c r="B4" s="2" t="s">
        <v>137</v>
      </c>
      <c r="C4" s="13">
        <v>-2.2946899756789211E-2</v>
      </c>
      <c r="D4" s="13">
        <v>-3.2528996467590332E-2</v>
      </c>
      <c r="E4" s="13">
        <v>-2.231709286570549E-2</v>
      </c>
      <c r="F4" s="13">
        <v>-3.0678801238536831E-2</v>
      </c>
      <c r="G4" s="13">
        <v>-3.2594364136457443E-2</v>
      </c>
      <c r="H4" s="13">
        <v>-2.7283268049359322E-2</v>
      </c>
      <c r="I4" s="13">
        <v>-3.6774773150682449E-2</v>
      </c>
      <c r="J4" s="13">
        <v>-3.694760799407959E-2</v>
      </c>
      <c r="K4" s="13">
        <v>-3.4350186586379998E-2</v>
      </c>
      <c r="L4" s="13">
        <v>-3.5141970962286002E-2</v>
      </c>
      <c r="M4" s="13">
        <v>-3.6390375345945358E-2</v>
      </c>
      <c r="N4" s="13">
        <v>-2.7910143136978149E-2</v>
      </c>
      <c r="O4" s="13">
        <v>-3.4657396376132972E-2</v>
      </c>
      <c r="P4" s="13">
        <v>-3.7157066166400909E-2</v>
      </c>
      <c r="Q4" s="13">
        <v>-3.2246530055999763E-2</v>
      </c>
      <c r="R4" s="13">
        <v>-3.2251663506031043E-2</v>
      </c>
      <c r="S4" s="13">
        <v>-2.9913196340203289E-2</v>
      </c>
      <c r="T4" s="13">
        <v>-2.9206940904259682E-2</v>
      </c>
      <c r="U4" s="13">
        <v>-2.8744202107191089E-2</v>
      </c>
      <c r="V4" s="13">
        <v>-2.8017682954668999E-2</v>
      </c>
      <c r="W4" s="13">
        <v>-2.7434077113866809E-2</v>
      </c>
      <c r="X4" s="13">
        <v>-2.876461856067181E-2</v>
      </c>
      <c r="Y4" s="13">
        <v>-3.1099813058972359E-2</v>
      </c>
      <c r="Z4" s="13">
        <v>-3.0133392661809921E-2</v>
      </c>
      <c r="AA4" s="13">
        <v>-2.9746487736701969E-2</v>
      </c>
      <c r="AB4" s="13">
        <v>-2.964571118354797E-2</v>
      </c>
      <c r="AC4" s="13">
        <v>-2.9567878693342209E-2</v>
      </c>
      <c r="AD4" s="13">
        <v>-2.8945522382855419E-2</v>
      </c>
      <c r="AE4" s="13">
        <v>-2.8935028240084652E-2</v>
      </c>
      <c r="AF4" s="13">
        <v>-2.8917042538523671E-2</v>
      </c>
      <c r="AG4" s="13">
        <v>-2.828941494226456E-2</v>
      </c>
      <c r="AH4" s="13">
        <v>-1.883991435170174E-2</v>
      </c>
      <c r="AI4" s="13">
        <v>-4.0709320455789573E-2</v>
      </c>
      <c r="AJ4" s="13">
        <v>-3.4136712551116943E-2</v>
      </c>
      <c r="AK4" s="13">
        <v>-2.7761854231357571E-2</v>
      </c>
      <c r="AL4" s="13">
        <v>-2.6954172179102901E-2</v>
      </c>
      <c r="AM4" s="13">
        <v>-2.9749177396297451E-2</v>
      </c>
      <c r="AN4" s="13">
        <v>-2.958561293780804E-2</v>
      </c>
      <c r="AO4" s="13">
        <v>-3.5846035927534103E-2</v>
      </c>
      <c r="AP4" s="13">
        <v>-3.5248521715402603E-2</v>
      </c>
      <c r="AQ4" s="13">
        <v>-2.2184915840625759E-2</v>
      </c>
      <c r="AR4" s="13">
        <v>-2.593911811709404E-2</v>
      </c>
      <c r="AS4" s="13">
        <v>-2.9777109622955319E-2</v>
      </c>
      <c r="AT4" s="13">
        <v>-2.5417083874344829E-2</v>
      </c>
      <c r="AU4" s="13">
        <v>-3.08467410504818E-2</v>
      </c>
      <c r="AV4" s="13">
        <v>-3.2425623387098312E-2</v>
      </c>
      <c r="AW4" s="13">
        <v>-2.665197849273682E-2</v>
      </c>
      <c r="AX4" s="13">
        <v>-2.6401566341519359E-2</v>
      </c>
      <c r="AY4" s="13">
        <v>-3.4196376800537109E-2</v>
      </c>
      <c r="AZ4" s="13">
        <v>-2.7192108333110809E-2</v>
      </c>
      <c r="BA4" s="13">
        <v>-3.141489252448082E-2</v>
      </c>
      <c r="BB4" s="13">
        <v>-3.3737760037183762E-2</v>
      </c>
      <c r="BC4" s="13">
        <v>-3.037294372916222E-2</v>
      </c>
      <c r="BD4" s="13">
        <v>-3.122984804213047E-2</v>
      </c>
      <c r="BE4" s="13">
        <v>-3.2925654202699661E-2</v>
      </c>
      <c r="BF4" s="13">
        <v>-3.0702147632837299E-2</v>
      </c>
      <c r="BG4" s="13">
        <v>-3.2038435339927673E-2</v>
      </c>
      <c r="BH4" s="13">
        <v>-2.992494776844978E-2</v>
      </c>
      <c r="BI4" s="13">
        <v>-3.1321626156568527E-2</v>
      </c>
      <c r="BJ4" s="13">
        <v>-3.0535932630300518E-2</v>
      </c>
      <c r="BK4" s="13">
        <v>-3.2727848738431931E-2</v>
      </c>
      <c r="BL4" s="13">
        <v>-3.1020708382129669E-2</v>
      </c>
      <c r="BM4" s="13">
        <v>-3.1905554234981537E-2</v>
      </c>
      <c r="BN4" s="13">
        <v>-1.146291196346283E-2</v>
      </c>
      <c r="BO4" s="13">
        <v>-2.2440502420067791E-2</v>
      </c>
      <c r="BP4" s="13">
        <v>-2.6134863495826721E-2</v>
      </c>
      <c r="BQ4" s="13">
        <v>-3.2739493995904922E-2</v>
      </c>
      <c r="BR4" s="13">
        <v>-1.1072360910475251E-2</v>
      </c>
      <c r="BS4" s="13">
        <v>-3.3545445650815957E-2</v>
      </c>
      <c r="BT4" s="13">
        <v>-2.5867762044072151E-2</v>
      </c>
      <c r="BU4" s="13">
        <v>-3.5770893096923828E-2</v>
      </c>
      <c r="BV4" s="13">
        <v>-3.3611096441745758E-2</v>
      </c>
      <c r="BW4" s="13">
        <v>-2.3763570934534069E-2</v>
      </c>
      <c r="BX4" s="13">
        <v>-3.2385952770709991E-2</v>
      </c>
      <c r="BY4" s="13">
        <v>-3.174808993935585E-2</v>
      </c>
      <c r="BZ4" s="13">
        <v>-3.5722728818655007E-2</v>
      </c>
      <c r="CA4" s="13">
        <v>-3.2349672168493271E-2</v>
      </c>
      <c r="CB4" s="13">
        <v>-2.4401739239692691E-2</v>
      </c>
      <c r="CC4" s="13">
        <v>-2.9154768213629719E-2</v>
      </c>
      <c r="CD4" s="13">
        <v>-2.6064924895763401E-2</v>
      </c>
      <c r="CE4" s="13">
        <v>-3.1504537910223007E-2</v>
      </c>
      <c r="CF4" s="13">
        <v>-3.0558105558156971E-2</v>
      </c>
      <c r="CG4" s="13">
        <v>-3.0557489022612572E-2</v>
      </c>
      <c r="CH4" s="13">
        <v>-3.119574673473835E-2</v>
      </c>
      <c r="CI4" s="13">
        <v>-3.099741600453854E-2</v>
      </c>
      <c r="CJ4" s="13">
        <v>-3.2932452857494347E-2</v>
      </c>
      <c r="CK4" s="13">
        <v>-3.1934447586536407E-2</v>
      </c>
      <c r="CL4" s="13">
        <v>-3.1415339559316642E-2</v>
      </c>
      <c r="CM4" s="13">
        <v>-3.0473604798316959E-2</v>
      </c>
      <c r="CN4" s="13">
        <v>-3.1549032777547843E-2</v>
      </c>
      <c r="CO4" s="13">
        <v>-3.048702701926231E-2</v>
      </c>
      <c r="CP4" s="13">
        <v>-3.008273430168629E-2</v>
      </c>
      <c r="CQ4" s="13">
        <v>-3.185567632317543E-2</v>
      </c>
      <c r="CR4" s="13">
        <v>-2.9665300622582439E-2</v>
      </c>
      <c r="CS4" s="13">
        <v>-3.06941531598568E-2</v>
      </c>
      <c r="CT4" s="13">
        <v>-2.3139951750636101E-2</v>
      </c>
      <c r="CU4" s="13">
        <v>-2.7379043400287632E-2</v>
      </c>
      <c r="CV4" s="13">
        <v>-2.8476610779762272E-2</v>
      </c>
      <c r="CW4" s="13">
        <v>-3.2229896634817123E-2</v>
      </c>
      <c r="CX4" s="13">
        <v>-2.7671042829751968E-2</v>
      </c>
      <c r="CY4" s="13">
        <v>-2.780521847307682E-2</v>
      </c>
      <c r="CZ4" s="13">
        <v>-2.5955270975828171E-2</v>
      </c>
      <c r="DA4" s="13">
        <v>-2.869330532848835E-2</v>
      </c>
      <c r="DB4" s="13">
        <v>-3.3299807459115982E-2</v>
      </c>
      <c r="DC4" s="13">
        <v>-3.2515127211809158E-2</v>
      </c>
      <c r="DD4" s="13">
        <v>-3.2184645533561707E-2</v>
      </c>
      <c r="DE4" s="13">
        <v>-2.9689539223909382E-2</v>
      </c>
      <c r="DF4" s="13">
        <v>-3.0039757490158081E-2</v>
      </c>
      <c r="DG4" s="13">
        <v>-2.7630811557173729E-2</v>
      </c>
      <c r="DH4" s="13">
        <v>-2.948114275932312E-2</v>
      </c>
      <c r="DI4" s="13">
        <v>-2.9837131500244141E-2</v>
      </c>
      <c r="DJ4" s="13">
        <v>-3.0152346938848499E-2</v>
      </c>
      <c r="DK4" s="13">
        <v>-2.9910968616604802E-2</v>
      </c>
      <c r="DL4" s="13">
        <v>-3.0357034876942631E-2</v>
      </c>
      <c r="DM4" s="13">
        <v>-2.8307907283306118E-2</v>
      </c>
      <c r="DN4" s="13">
        <v>-2.7425747364759449E-2</v>
      </c>
      <c r="DO4" s="13">
        <v>-2.8660286217927929E-2</v>
      </c>
      <c r="DP4" s="13">
        <v>-2.6614684611558911E-2</v>
      </c>
      <c r="DQ4" s="13">
        <v>-2.7624152600765228E-2</v>
      </c>
      <c r="DR4" s="13">
        <v>-2.8681257739663121E-2</v>
      </c>
      <c r="DS4" s="13">
        <v>-2.8064034879207611E-2</v>
      </c>
      <c r="DT4" s="13">
        <v>-2.8476167470216751E-2</v>
      </c>
      <c r="DU4" s="13">
        <v>-2.8130983933806419E-2</v>
      </c>
      <c r="DV4" s="13">
        <v>-2.8065690770745281E-2</v>
      </c>
      <c r="DW4" s="13">
        <v>-2.618366107344627E-2</v>
      </c>
      <c r="DX4" s="13">
        <v>-2.7583243325352669E-2</v>
      </c>
      <c r="DY4" s="13">
        <v>-2.974858321249485E-2</v>
      </c>
      <c r="DZ4" s="13">
        <v>-2.467053942382336E-2</v>
      </c>
      <c r="EA4" s="13">
        <v>-2.6180332526564602E-2</v>
      </c>
      <c r="EB4" s="13">
        <v>-2.6299703866243359E-2</v>
      </c>
      <c r="EC4" s="13">
        <v>-2.7548244222998619E-2</v>
      </c>
      <c r="ED4" s="13">
        <v>-2.391510829329491E-2</v>
      </c>
      <c r="EE4" s="13">
        <v>-3.1682092696428299E-2</v>
      </c>
      <c r="EF4" s="13">
        <v>-2.8993211686611179E-2</v>
      </c>
    </row>
    <row r="5" spans="1:136" s="1" customFormat="1">
      <c r="B5" s="2" t="s">
        <v>138</v>
      </c>
      <c r="C5" s="13">
        <v>-1.7830728320404889E-3</v>
      </c>
      <c r="D5" s="13">
        <v>-5.807969719171524E-3</v>
      </c>
      <c r="E5" s="13">
        <v>-5.4487348534166813E-3</v>
      </c>
      <c r="F5" s="13">
        <v>-5.0667491741478443E-3</v>
      </c>
      <c r="G5" s="13">
        <v>-7.0356116630136967E-3</v>
      </c>
      <c r="H5" s="13">
        <v>-5.7321330532431602E-3</v>
      </c>
      <c r="I5" s="13">
        <v>-4.5550367794930926E-3</v>
      </c>
      <c r="J5" s="13">
        <v>-6.6406917758285999E-3</v>
      </c>
      <c r="K5" s="13">
        <v>-7.1166539564728737E-3</v>
      </c>
      <c r="L5" s="13">
        <v>-5.1224259659647942E-3</v>
      </c>
      <c r="M5" s="13">
        <v>-6.61063427105546E-3</v>
      </c>
      <c r="N5" s="13">
        <v>5.8811819180846214E-3</v>
      </c>
      <c r="O5" s="13">
        <v>2.1359868347644809E-2</v>
      </c>
      <c r="P5" s="13">
        <v>1.4080207329243419E-3</v>
      </c>
      <c r="Q5" s="13">
        <v>2.8066970407962799E-3</v>
      </c>
      <c r="R5" s="13">
        <v>-6.5349945798516273E-3</v>
      </c>
      <c r="S5" s="13">
        <v>-3.3381129615008831E-3</v>
      </c>
      <c r="T5" s="13">
        <v>4.9602827057242393E-3</v>
      </c>
      <c r="U5" s="13">
        <v>3.3406838774681091E-3</v>
      </c>
      <c r="V5" s="13">
        <v>6.140547338873148E-4</v>
      </c>
      <c r="W5" s="13">
        <v>9.1809040168300271E-4</v>
      </c>
      <c r="X5" s="13">
        <v>-4.8206630162894726E-3</v>
      </c>
      <c r="Y5" s="13">
        <v>-9.6054915338754654E-3</v>
      </c>
      <c r="Z5" s="13">
        <v>-3.1937819439917798E-3</v>
      </c>
      <c r="AA5" s="13">
        <v>-1.071048714220524E-2</v>
      </c>
      <c r="AB5" s="13">
        <v>-8.0073485150933266E-3</v>
      </c>
      <c r="AC5" s="13">
        <v>-9.7105018794536591E-3</v>
      </c>
      <c r="AD5" s="13">
        <v>-1.193892490118742E-2</v>
      </c>
      <c r="AE5" s="13">
        <v>-9.1045163571834564E-3</v>
      </c>
      <c r="AF5" s="13">
        <v>-5.2170734852552414E-3</v>
      </c>
      <c r="AG5" s="13">
        <v>-6.7129302769899368E-3</v>
      </c>
      <c r="AH5" s="13">
        <v>-4.2343703098595142E-3</v>
      </c>
      <c r="AI5" s="13">
        <v>-3.7024291232228279E-3</v>
      </c>
      <c r="AJ5" s="13">
        <v>-3.4234239719808102E-3</v>
      </c>
      <c r="AK5" s="13">
        <v>-5.0286529585719109E-3</v>
      </c>
      <c r="AL5" s="13">
        <v>-5.3550507873296738E-3</v>
      </c>
      <c r="AM5" s="13">
        <v>-6.9953757338225842E-3</v>
      </c>
      <c r="AN5" s="13">
        <v>-1.9440042087808249E-3</v>
      </c>
      <c r="AO5" s="13">
        <v>-5.7561695575714111E-3</v>
      </c>
      <c r="AP5" s="13">
        <v>-5.5434941314160824E-3</v>
      </c>
      <c r="AQ5" s="13">
        <v>-8.768024854362011E-4</v>
      </c>
      <c r="AR5" s="13">
        <v>-3.7110829725861549E-3</v>
      </c>
      <c r="AS5" s="13">
        <v>-1.8258683849126101E-3</v>
      </c>
      <c r="AT5" s="13">
        <v>1.723302528262138E-2</v>
      </c>
      <c r="AU5" s="13">
        <v>-6.8042157217860222E-3</v>
      </c>
      <c r="AV5" s="13">
        <v>1.040650904178619E-2</v>
      </c>
      <c r="AW5" s="13">
        <v>-1.1680858209729189E-2</v>
      </c>
      <c r="AX5" s="13">
        <v>-1.109044998884201E-2</v>
      </c>
      <c r="AY5" s="13">
        <v>-7.5637380359694362E-4</v>
      </c>
      <c r="AZ5" s="13">
        <v>1.07489638030529E-2</v>
      </c>
      <c r="BA5" s="13">
        <v>-1.3510514982044699E-3</v>
      </c>
      <c r="BB5" s="13">
        <v>-7.5233145616948596E-3</v>
      </c>
      <c r="BC5" s="13">
        <v>1.9595171324908729E-3</v>
      </c>
      <c r="BD5" s="13">
        <v>-1.7605321481823921E-2</v>
      </c>
      <c r="BE5" s="13">
        <v>-5.7958187535405159E-3</v>
      </c>
      <c r="BF5" s="13">
        <v>6.0290488181635737E-4</v>
      </c>
      <c r="BG5" s="13">
        <v>-7.3045212775468826E-3</v>
      </c>
      <c r="BH5" s="13">
        <v>-4.3621701188385487E-3</v>
      </c>
      <c r="BI5" s="13">
        <v>6.2929122941568494E-4</v>
      </c>
      <c r="BJ5" s="13">
        <v>1.5743880067020649E-4</v>
      </c>
      <c r="BK5" s="13">
        <v>-8.4008211269974709E-3</v>
      </c>
      <c r="BL5" s="13">
        <v>-1.1468764860183001E-3</v>
      </c>
      <c r="BM5" s="13">
        <v>-2.949054585769773E-3</v>
      </c>
      <c r="BN5" s="13">
        <v>-6.1059690779075027E-4</v>
      </c>
      <c r="BO5" s="13">
        <v>-4.5644012279808521E-3</v>
      </c>
      <c r="BP5" s="13">
        <v>3.4177984343841672E-4</v>
      </c>
      <c r="BQ5" s="13">
        <v>1.0708648478612299E-3</v>
      </c>
      <c r="BR5" s="13">
        <v>4.8396759666502481E-4</v>
      </c>
      <c r="BS5" s="13">
        <v>-7.7918096212670207E-4</v>
      </c>
      <c r="BT5" s="13">
        <v>5.7771807769313455E-4</v>
      </c>
      <c r="BU5" s="13">
        <v>-4.3007326312363148E-3</v>
      </c>
      <c r="BV5" s="13">
        <v>-1.3925109524279831E-3</v>
      </c>
      <c r="BW5" s="13">
        <v>-3.6537761334329839E-3</v>
      </c>
      <c r="BX5" s="13">
        <v>-1.9937008619308472E-3</v>
      </c>
      <c r="BY5" s="13">
        <v>-2.6817773468792439E-3</v>
      </c>
      <c r="BZ5" s="13">
        <v>2.2256071679294109E-3</v>
      </c>
      <c r="CA5" s="13">
        <v>-1.7740057781338692E-2</v>
      </c>
      <c r="CB5" s="13">
        <v>-1.854742132127285E-2</v>
      </c>
      <c r="CC5" s="13">
        <v>-8.9547159150242805E-3</v>
      </c>
      <c r="CD5" s="13">
        <v>-6.0267932713031769E-3</v>
      </c>
      <c r="CE5" s="13">
        <v>4.5224521309137336E-3</v>
      </c>
      <c r="CF5" s="13">
        <v>-4.9523431807756424E-3</v>
      </c>
      <c r="CG5" s="13">
        <v>-1.120204571634531E-3</v>
      </c>
      <c r="CH5" s="13">
        <v>-3.2324404455721378E-3</v>
      </c>
      <c r="CI5" s="13">
        <v>-5.5289170704782009E-3</v>
      </c>
      <c r="CJ5" s="13">
        <v>4.4923755340278149E-3</v>
      </c>
      <c r="CK5" s="13">
        <v>-6.095989141613245E-3</v>
      </c>
      <c r="CL5" s="13">
        <v>-8.0949869006872177E-3</v>
      </c>
      <c r="CM5" s="13">
        <v>5.0488505512475967E-3</v>
      </c>
      <c r="CN5" s="13">
        <v>-1.788548310287297E-3</v>
      </c>
      <c r="CO5" s="13">
        <v>2.7636219747364521E-3</v>
      </c>
      <c r="CP5" s="13">
        <v>-3.583973273634911E-3</v>
      </c>
      <c r="CQ5" s="13">
        <v>-4.7339932061731824E-3</v>
      </c>
      <c r="CR5" s="13">
        <v>1.54245609883219E-3</v>
      </c>
      <c r="CS5" s="13">
        <v>-6.9501805119216442E-3</v>
      </c>
      <c r="CT5" s="13">
        <v>-6.800045957788825E-4</v>
      </c>
      <c r="CU5" s="13">
        <v>-3.5899188369512558E-3</v>
      </c>
      <c r="CV5" s="13">
        <v>-9.6032914007082582E-4</v>
      </c>
      <c r="CW5" s="13">
        <v>-3.6334127653390169E-3</v>
      </c>
      <c r="CX5" s="13">
        <v>-1.5083478065207601E-3</v>
      </c>
      <c r="CY5" s="13">
        <v>-2.2476767189800739E-3</v>
      </c>
      <c r="CZ5" s="13">
        <v>-1.561234821565449E-4</v>
      </c>
      <c r="DA5" s="13">
        <v>-1.49183627218008E-3</v>
      </c>
      <c r="DB5" s="13">
        <v>-3.169323550537229E-3</v>
      </c>
      <c r="DC5" s="13">
        <v>-3.9032646454870701E-3</v>
      </c>
      <c r="DD5" s="13">
        <v>-4.5191487297415733E-3</v>
      </c>
      <c r="DE5" s="13">
        <v>-5.4920930415391922E-3</v>
      </c>
      <c r="DF5" s="13">
        <v>-1.9542425870895389E-2</v>
      </c>
      <c r="DG5" s="13">
        <v>-5.0942343659698963E-3</v>
      </c>
      <c r="DH5" s="13">
        <v>-4.3465639464557171E-3</v>
      </c>
      <c r="DI5" s="13">
        <v>-1.3278067111968991E-2</v>
      </c>
      <c r="DJ5" s="13">
        <v>2.4301805533468719E-3</v>
      </c>
      <c r="DK5" s="13">
        <v>-8.2946429029107094E-3</v>
      </c>
      <c r="DL5" s="13">
        <v>-4.3598045594990253E-3</v>
      </c>
      <c r="DM5" s="13">
        <v>-1.441237283870578E-3</v>
      </c>
      <c r="DN5" s="13">
        <v>-3.749192226678133E-3</v>
      </c>
      <c r="DO5" s="13">
        <v>1.835820032283664E-3</v>
      </c>
      <c r="DP5" s="13">
        <v>-4.5633451081812382E-3</v>
      </c>
      <c r="DQ5" s="13">
        <v>-4.5281355269253254E-3</v>
      </c>
      <c r="DR5" s="13">
        <v>-7.0934956893324852E-3</v>
      </c>
      <c r="DS5" s="13">
        <v>-3.5971722099930048E-3</v>
      </c>
      <c r="DT5" s="13">
        <v>-1.070812228135765E-3</v>
      </c>
      <c r="DU5" s="13">
        <v>-5.7690823450684547E-3</v>
      </c>
      <c r="DV5" s="13">
        <v>-3.1534233130514622E-3</v>
      </c>
      <c r="DW5" s="13">
        <v>-6.9596427492797366E-3</v>
      </c>
      <c r="DX5" s="13">
        <v>-6.651862058788538E-3</v>
      </c>
      <c r="DY5" s="13">
        <v>-3.220914863049984E-3</v>
      </c>
      <c r="DZ5" s="13">
        <v>-1.9205159042030571E-3</v>
      </c>
      <c r="EA5" s="13">
        <v>-2.516824752092361E-3</v>
      </c>
      <c r="EB5" s="13">
        <v>-4.4912919402122498E-3</v>
      </c>
      <c r="EC5" s="13">
        <v>-4.5820055529475212E-3</v>
      </c>
      <c r="ED5" s="13">
        <v>-6.5560955554246902E-3</v>
      </c>
      <c r="EE5" s="13">
        <v>-5.9297331608831882E-3</v>
      </c>
      <c r="EF5" s="13">
        <v>-6.2290588393807411E-3</v>
      </c>
    </row>
    <row r="6" spans="1:136" s="1" customFormat="1">
      <c r="A6" s="2" t="s">
        <v>139</v>
      </c>
      <c r="C6" s="13">
        <f t="array" ref="C6">MATCH(MAX(ABS(C3:C5)),ABS(C3:C5),0)</f>
        <v>1</v>
      </c>
      <c r="D6" s="13">
        <f t="array" ref="D6">MATCH(MAX(ABS(D3:D5)),ABS(D3:D5),0)</f>
        <v>2</v>
      </c>
      <c r="E6" s="13">
        <f t="array" ref="E6">MATCH(MAX(ABS(E3:E5)),ABS(E3:E5),0)</f>
        <v>1</v>
      </c>
      <c r="F6" s="13">
        <f t="array" ref="F6">MATCH(MAX(ABS(F3:F5)),ABS(F3:F5),0)</f>
        <v>2</v>
      </c>
      <c r="G6" s="13">
        <f t="array" ref="G6">MATCH(MAX(ABS(G3:G5)),ABS(G3:G5),0)</f>
        <v>1</v>
      </c>
      <c r="H6" s="13">
        <f t="array" ref="H6">MATCH(MAX(ABS(H3:H5)),ABS(H3:H5),0)</f>
        <v>2</v>
      </c>
      <c r="I6" s="13">
        <f t="array" ref="I6">MATCH(MAX(ABS(I3:I5)),ABS(I3:I5),0)</f>
        <v>2</v>
      </c>
      <c r="J6" s="13">
        <f t="array" ref="J6">MATCH(MAX(ABS(J3:J5)),ABS(J3:J5),0)</f>
        <v>2</v>
      </c>
      <c r="K6" s="13">
        <f t="array" ref="K6">MATCH(MAX(ABS(K3:K5)),ABS(K3:K5),0)</f>
        <v>1</v>
      </c>
      <c r="L6" s="13">
        <f t="array" ref="L6">MATCH(MAX(ABS(L3:L5)),ABS(L3:L5),0)</f>
        <v>1</v>
      </c>
      <c r="M6" s="13">
        <f t="array" ref="M6">MATCH(MAX(ABS(M3:M5)),ABS(M3:M5),0)</f>
        <v>2</v>
      </c>
      <c r="N6" s="13">
        <f t="array" ref="N6">MATCH(MAX(ABS(N3:N5)),ABS(N3:N5),0)</f>
        <v>2</v>
      </c>
      <c r="O6" s="13">
        <f t="array" ref="O6">MATCH(MAX(ABS(O3:O5)),ABS(O3:O5),0)</f>
        <v>2</v>
      </c>
      <c r="P6" s="13">
        <f t="array" ref="P6">MATCH(MAX(ABS(P3:P5)),ABS(P3:P5),0)</f>
        <v>2</v>
      </c>
      <c r="Q6" s="13">
        <f t="array" ref="Q6">MATCH(MAX(ABS(Q3:Q5)),ABS(Q3:Q5),0)</f>
        <v>2</v>
      </c>
      <c r="R6" s="13">
        <f t="array" ref="R6">MATCH(MAX(ABS(R3:R5)),ABS(R3:R5),0)</f>
        <v>2</v>
      </c>
      <c r="S6" s="13">
        <f t="array" ref="S6">MATCH(MAX(ABS(S3:S5)),ABS(S3:S5),0)</f>
        <v>2</v>
      </c>
      <c r="T6" s="13">
        <f t="array" ref="T6">MATCH(MAX(ABS(T3:T5)),ABS(T3:T5),0)</f>
        <v>2</v>
      </c>
      <c r="U6" s="13">
        <f t="array" ref="U6">MATCH(MAX(ABS(U3:U5)),ABS(U3:U5),0)</f>
        <v>2</v>
      </c>
      <c r="V6" s="13">
        <f t="array" ref="V6">MATCH(MAX(ABS(V3:V5)),ABS(V3:V5),0)</f>
        <v>2</v>
      </c>
      <c r="W6" s="13">
        <f t="array" ref="W6">MATCH(MAX(ABS(W3:W5)),ABS(W3:W5),0)</f>
        <v>2</v>
      </c>
      <c r="X6" s="13">
        <f t="array" ref="X6">MATCH(MAX(ABS(X3:X5)),ABS(X3:X5),0)</f>
        <v>2</v>
      </c>
      <c r="Y6" s="13">
        <f t="array" ref="Y6">MATCH(MAX(ABS(Y3:Y5)),ABS(Y3:Y5),0)</f>
        <v>2</v>
      </c>
      <c r="Z6" s="13">
        <f t="array" ref="Z6">MATCH(MAX(ABS(Z3:Z5)),ABS(Z3:Z5),0)</f>
        <v>2</v>
      </c>
      <c r="AA6" s="13">
        <f t="array" ref="AA6">MATCH(MAX(ABS(AA3:AA5)),ABS(AA3:AA5),0)</f>
        <v>1</v>
      </c>
      <c r="AB6" s="13">
        <f t="array" ref="AB6">MATCH(MAX(ABS(AB3:AB5)),ABS(AB3:AB5),0)</f>
        <v>2</v>
      </c>
      <c r="AC6" s="13">
        <f t="array" ref="AC6">MATCH(MAX(ABS(AC3:AC5)),ABS(AC3:AC5),0)</f>
        <v>2</v>
      </c>
      <c r="AD6" s="13">
        <f t="array" ref="AD6">MATCH(MAX(ABS(AD3:AD5)),ABS(AD3:AD5),0)</f>
        <v>1</v>
      </c>
      <c r="AE6" s="13">
        <f t="array" ref="AE6">MATCH(MAX(ABS(AE3:AE5)),ABS(AE3:AE5),0)</f>
        <v>2</v>
      </c>
      <c r="AF6" s="13">
        <f t="array" ref="AF6">MATCH(MAX(ABS(AF3:AF5)),ABS(AF3:AF5),0)</f>
        <v>1</v>
      </c>
      <c r="AG6" s="13">
        <f t="array" ref="AG6">MATCH(MAX(ABS(AG3:AG5)),ABS(AG3:AG5),0)</f>
        <v>2</v>
      </c>
      <c r="AH6" s="13">
        <f t="array" ref="AH6">MATCH(MAX(ABS(AH3:AH5)),ABS(AH3:AH5),0)</f>
        <v>1</v>
      </c>
      <c r="AI6" s="13">
        <f t="array" ref="AI6">MATCH(MAX(ABS(AI3:AI5)),ABS(AI3:AI5),0)</f>
        <v>2</v>
      </c>
      <c r="AJ6" s="13">
        <f t="array" ref="AJ6">MATCH(MAX(ABS(AJ3:AJ5)),ABS(AJ3:AJ5),0)</f>
        <v>2</v>
      </c>
      <c r="AK6" s="13">
        <f t="array" ref="AK6">MATCH(MAX(ABS(AK3:AK5)),ABS(AK3:AK5),0)</f>
        <v>2</v>
      </c>
      <c r="AL6" s="13">
        <f t="array" ref="AL6">MATCH(MAX(ABS(AL3:AL5)),ABS(AL3:AL5),0)</f>
        <v>1</v>
      </c>
      <c r="AM6" s="13">
        <f t="array" ref="AM6">MATCH(MAX(ABS(AM3:AM5)),ABS(AM3:AM5),0)</f>
        <v>1</v>
      </c>
      <c r="AN6" s="13">
        <f t="array" ref="AN6">MATCH(MAX(ABS(AN3:AN5)),ABS(AN3:AN5),0)</f>
        <v>1</v>
      </c>
      <c r="AO6" s="13">
        <f t="array" ref="AO6">MATCH(MAX(ABS(AO3:AO5)),ABS(AO3:AO5),0)</f>
        <v>1</v>
      </c>
      <c r="AP6" s="13">
        <f t="array" ref="AP6">MATCH(MAX(ABS(AP3:AP5)),ABS(AP3:AP5),0)</f>
        <v>2</v>
      </c>
      <c r="AQ6" s="13">
        <f t="array" ref="AQ6">MATCH(MAX(ABS(AQ3:AQ5)),ABS(AQ3:AQ5),0)</f>
        <v>1</v>
      </c>
      <c r="AR6" s="13">
        <f t="array" ref="AR6">MATCH(MAX(ABS(AR3:AR5)),ABS(AR3:AR5),0)</f>
        <v>1</v>
      </c>
      <c r="AS6" s="13">
        <f t="array" ref="AS6">MATCH(MAX(ABS(AS3:AS5)),ABS(AS3:AS5),0)</f>
        <v>1</v>
      </c>
      <c r="AT6" s="13">
        <f t="array" ref="AT6">MATCH(MAX(ABS(AT3:AT5)),ABS(AT3:AT5),0)</f>
        <v>1</v>
      </c>
      <c r="AU6" s="13">
        <f t="array" ref="AU6">MATCH(MAX(ABS(AU3:AU5)),ABS(AU3:AU5),0)</f>
        <v>1</v>
      </c>
      <c r="AV6" s="13">
        <f t="array" ref="AV6">MATCH(MAX(ABS(AV3:AV5)),ABS(AV3:AV5),0)</f>
        <v>1</v>
      </c>
      <c r="AW6" s="13">
        <f t="array" ref="AW6">MATCH(MAX(ABS(AW3:AW5)),ABS(AW3:AW5),0)</f>
        <v>1</v>
      </c>
      <c r="AX6" s="13">
        <f t="array" ref="AX6">MATCH(MAX(ABS(AX3:AX5)),ABS(AX3:AX5),0)</f>
        <v>2</v>
      </c>
      <c r="AY6" s="13">
        <f t="array" ref="AY6">MATCH(MAX(ABS(AY3:AY5)),ABS(AY3:AY5),0)</f>
        <v>1</v>
      </c>
      <c r="AZ6" s="13">
        <f t="array" ref="AZ6">MATCH(MAX(ABS(AZ3:AZ5)),ABS(AZ3:AZ5),0)</f>
        <v>1</v>
      </c>
      <c r="BA6" s="13">
        <f t="array" ref="BA6">MATCH(MAX(ABS(BA3:BA5)),ABS(BA3:BA5),0)</f>
        <v>1</v>
      </c>
      <c r="BB6" s="13">
        <f t="array" ref="BB6">MATCH(MAX(ABS(BB3:BB5)),ABS(BB3:BB5),0)</f>
        <v>1</v>
      </c>
      <c r="BC6" s="13">
        <f t="array" ref="BC6">MATCH(MAX(ABS(BC3:BC5)),ABS(BC3:BC5),0)</f>
        <v>1</v>
      </c>
      <c r="BD6" s="13">
        <f t="array" ref="BD6">MATCH(MAX(ABS(BD3:BD5)),ABS(BD3:BD5),0)</f>
        <v>1</v>
      </c>
      <c r="BE6" s="13">
        <f t="array" ref="BE6">MATCH(MAX(ABS(BE3:BE5)),ABS(BE3:BE5),0)</f>
        <v>1</v>
      </c>
      <c r="BF6" s="13">
        <f t="array" ref="BF6">MATCH(MAX(ABS(BF3:BF5)),ABS(BF3:BF5),0)</f>
        <v>1</v>
      </c>
      <c r="BG6" s="13">
        <f t="array" ref="BG6">MATCH(MAX(ABS(BG3:BG5)),ABS(BG3:BG5),0)</f>
        <v>1</v>
      </c>
      <c r="BH6" s="13">
        <f t="array" ref="BH6">MATCH(MAX(ABS(BH3:BH5)),ABS(BH3:BH5),0)</f>
        <v>1</v>
      </c>
      <c r="BI6" s="13">
        <f t="array" ref="BI6">MATCH(MAX(ABS(BI3:BI5)),ABS(BI3:BI5),0)</f>
        <v>1</v>
      </c>
      <c r="BJ6" s="13">
        <f t="array" ref="BJ6">MATCH(MAX(ABS(BJ3:BJ5)),ABS(BJ3:BJ5),0)</f>
        <v>1</v>
      </c>
      <c r="BK6" s="13">
        <f t="array" ref="BK6">MATCH(MAX(ABS(BK3:BK5)),ABS(BK3:BK5),0)</f>
        <v>1</v>
      </c>
      <c r="BL6" s="13">
        <f t="array" ref="BL6">MATCH(MAX(ABS(BL3:BL5)),ABS(BL3:BL5),0)</f>
        <v>1</v>
      </c>
      <c r="BM6" s="13">
        <f t="array" ref="BM6">MATCH(MAX(ABS(BM3:BM5)),ABS(BM3:BM5),0)</f>
        <v>1</v>
      </c>
      <c r="BN6" s="13">
        <f t="array" ref="BN6">MATCH(MAX(ABS(BN3:BN5)),ABS(BN3:BN5),0)</f>
        <v>1</v>
      </c>
      <c r="BO6" s="13">
        <f t="array" ref="BO6">MATCH(MAX(ABS(BO3:BO5)),ABS(BO3:BO5),0)</f>
        <v>1</v>
      </c>
      <c r="BP6" s="13">
        <f t="array" ref="BP6">MATCH(MAX(ABS(BP3:BP5)),ABS(BP3:BP5),0)</f>
        <v>1</v>
      </c>
      <c r="BQ6" s="13">
        <f t="array" ref="BQ6">MATCH(MAX(ABS(BQ3:BQ5)),ABS(BQ3:BQ5),0)</f>
        <v>1</v>
      </c>
      <c r="BR6" s="13">
        <f t="array" ref="BR6">MATCH(MAX(ABS(BR3:BR5)),ABS(BR3:BR5),0)</f>
        <v>1</v>
      </c>
      <c r="BS6" s="13">
        <f t="array" ref="BS6">MATCH(MAX(ABS(BS3:BS5)),ABS(BS3:BS5),0)</f>
        <v>1</v>
      </c>
      <c r="BT6" s="13">
        <f t="array" ref="BT6">MATCH(MAX(ABS(BT3:BT5)),ABS(BT3:BT5),0)</f>
        <v>1</v>
      </c>
      <c r="BU6" s="13">
        <f t="array" ref="BU6">MATCH(MAX(ABS(BU3:BU5)),ABS(BU3:BU5),0)</f>
        <v>1</v>
      </c>
      <c r="BV6" s="13">
        <f t="array" ref="BV6">MATCH(MAX(ABS(BV3:BV5)),ABS(BV3:BV5),0)</f>
        <v>1</v>
      </c>
      <c r="BW6" s="13">
        <f t="array" ref="BW6">MATCH(MAX(ABS(BW3:BW5)),ABS(BW3:BW5),0)</f>
        <v>1</v>
      </c>
      <c r="BX6" s="13">
        <f t="array" ref="BX6">MATCH(MAX(ABS(BX3:BX5)),ABS(BX3:BX5),0)</f>
        <v>1</v>
      </c>
      <c r="BY6" s="13">
        <f t="array" ref="BY6">MATCH(MAX(ABS(BY3:BY5)),ABS(BY3:BY5),0)</f>
        <v>1</v>
      </c>
      <c r="BZ6" s="13">
        <f t="array" ref="BZ6">MATCH(MAX(ABS(BZ3:BZ5)),ABS(BZ3:BZ5),0)</f>
        <v>1</v>
      </c>
      <c r="CA6" s="13">
        <f t="array" ref="CA6">MATCH(MAX(ABS(CA3:CA5)),ABS(CA3:CA5),0)</f>
        <v>2</v>
      </c>
      <c r="CB6" s="13">
        <f t="array" ref="CB6">MATCH(MAX(ABS(CB3:CB5)),ABS(CB3:CB5),0)</f>
        <v>1</v>
      </c>
      <c r="CC6" s="13">
        <f t="array" ref="CC6">MATCH(MAX(ABS(CC3:CC5)),ABS(CC3:CC5),0)</f>
        <v>1</v>
      </c>
      <c r="CD6" s="13">
        <f t="array" ref="CD6">MATCH(MAX(ABS(CD3:CD5)),ABS(CD3:CD5),0)</f>
        <v>1</v>
      </c>
      <c r="CE6" s="13">
        <f t="array" ref="CE6">MATCH(MAX(ABS(CE3:CE5)),ABS(CE3:CE5),0)</f>
        <v>1</v>
      </c>
      <c r="CF6" s="13">
        <f t="array" ref="CF6">MATCH(MAX(ABS(CF3:CF5)),ABS(CF3:CF5),0)</f>
        <v>1</v>
      </c>
      <c r="CG6" s="13">
        <f t="array" ref="CG6">MATCH(MAX(ABS(CG3:CG5)),ABS(CG3:CG5),0)</f>
        <v>1</v>
      </c>
      <c r="CH6" s="13">
        <f t="array" ref="CH6">MATCH(MAX(ABS(CH3:CH5)),ABS(CH3:CH5),0)</f>
        <v>1</v>
      </c>
      <c r="CI6" s="13">
        <f t="array" ref="CI6">MATCH(MAX(ABS(CI3:CI5)),ABS(CI3:CI5),0)</f>
        <v>1</v>
      </c>
      <c r="CJ6" s="13">
        <f t="array" ref="CJ6">MATCH(MAX(ABS(CJ3:CJ5)),ABS(CJ3:CJ5),0)</f>
        <v>1</v>
      </c>
      <c r="CK6" s="13">
        <f t="array" ref="CK6">MATCH(MAX(ABS(CK3:CK5)),ABS(CK3:CK5),0)</f>
        <v>1</v>
      </c>
      <c r="CL6" s="13">
        <f t="array" ref="CL6">MATCH(MAX(ABS(CL3:CL5)),ABS(CL3:CL5),0)</f>
        <v>1</v>
      </c>
      <c r="CM6" s="13">
        <f t="array" ref="CM6">MATCH(MAX(ABS(CM3:CM5)),ABS(CM3:CM5),0)</f>
        <v>1</v>
      </c>
      <c r="CN6" s="13">
        <f t="array" ref="CN6">MATCH(MAX(ABS(CN3:CN5)),ABS(CN3:CN5),0)</f>
        <v>1</v>
      </c>
      <c r="CO6" s="13">
        <f t="array" ref="CO6">MATCH(MAX(ABS(CO3:CO5)),ABS(CO3:CO5),0)</f>
        <v>1</v>
      </c>
      <c r="CP6" s="13">
        <f t="array" ref="CP6">MATCH(MAX(ABS(CP3:CP5)),ABS(CP3:CP5),0)</f>
        <v>1</v>
      </c>
      <c r="CQ6" s="13">
        <f t="array" ref="CQ6">MATCH(MAX(ABS(CQ3:CQ5)),ABS(CQ3:CQ5),0)</f>
        <v>1</v>
      </c>
      <c r="CR6" s="13">
        <f t="array" ref="CR6">MATCH(MAX(ABS(CR3:CR5)),ABS(CR3:CR5),0)</f>
        <v>1</v>
      </c>
      <c r="CS6" s="13">
        <f t="array" ref="CS6">MATCH(MAX(ABS(CS3:CS5)),ABS(CS3:CS5),0)</f>
        <v>1</v>
      </c>
      <c r="CT6" s="13">
        <f t="array" ref="CT6">MATCH(MAX(ABS(CT3:CT5)),ABS(CT3:CT5),0)</f>
        <v>1</v>
      </c>
      <c r="CU6" s="13">
        <f t="array" ref="CU6">MATCH(MAX(ABS(CU3:CU5)),ABS(CU3:CU5),0)</f>
        <v>1</v>
      </c>
      <c r="CV6" s="13">
        <f t="array" ref="CV6">MATCH(MAX(ABS(CV3:CV5)),ABS(CV3:CV5),0)</f>
        <v>1</v>
      </c>
      <c r="CW6" s="13">
        <f t="array" ref="CW6">MATCH(MAX(ABS(CW3:CW5)),ABS(CW3:CW5),0)</f>
        <v>1</v>
      </c>
      <c r="CX6" s="13">
        <f t="array" ref="CX6">MATCH(MAX(ABS(CX3:CX5)),ABS(CX3:CX5),0)</f>
        <v>1</v>
      </c>
      <c r="CY6" s="13">
        <f t="array" ref="CY6">MATCH(MAX(ABS(CY3:CY5)),ABS(CY3:CY5),0)</f>
        <v>1</v>
      </c>
      <c r="CZ6" s="13">
        <f t="array" ref="CZ6">MATCH(MAX(ABS(CZ3:CZ5)),ABS(CZ3:CZ5),0)</f>
        <v>1</v>
      </c>
      <c r="DA6" s="13">
        <f t="array" ref="DA6">MATCH(MAX(ABS(DA3:DA5)),ABS(DA3:DA5),0)</f>
        <v>1</v>
      </c>
      <c r="DB6" s="13">
        <f t="array" ref="DB6">MATCH(MAX(ABS(DB3:DB5)),ABS(DB3:DB5),0)</f>
        <v>1</v>
      </c>
      <c r="DC6" s="13">
        <f t="array" ref="DC6">MATCH(MAX(ABS(DC3:DC5)),ABS(DC3:DC5),0)</f>
        <v>1</v>
      </c>
      <c r="DD6" s="13">
        <f t="array" ref="DD6">MATCH(MAX(ABS(DD3:DD5)),ABS(DD3:DD5),0)</f>
        <v>1</v>
      </c>
      <c r="DE6" s="13">
        <f t="array" ref="DE6">MATCH(MAX(ABS(DE3:DE5)),ABS(DE3:DE5),0)</f>
        <v>1</v>
      </c>
      <c r="DF6" s="13">
        <f t="array" ref="DF6">MATCH(MAX(ABS(DF3:DF5)),ABS(DF3:DF5),0)</f>
        <v>1</v>
      </c>
      <c r="DG6" s="13">
        <f t="array" ref="DG6">MATCH(MAX(ABS(DG3:DG5)),ABS(DG3:DG5),0)</f>
        <v>1</v>
      </c>
      <c r="DH6" s="13">
        <f t="array" ref="DH6">MATCH(MAX(ABS(DH3:DH5)),ABS(DH3:DH5),0)</f>
        <v>1</v>
      </c>
      <c r="DI6" s="13">
        <f t="array" ref="DI6">MATCH(MAX(ABS(DI3:DI5)),ABS(DI3:DI5),0)</f>
        <v>1</v>
      </c>
      <c r="DJ6" s="13">
        <f t="array" ref="DJ6">MATCH(MAX(ABS(DJ3:DJ5)),ABS(DJ3:DJ5),0)</f>
        <v>1</v>
      </c>
      <c r="DK6" s="13">
        <f t="array" ref="DK6">MATCH(MAX(ABS(DK3:DK5)),ABS(DK3:DK5),0)</f>
        <v>1</v>
      </c>
      <c r="DL6" s="13">
        <f t="array" ref="DL6">MATCH(MAX(ABS(DL3:DL5)),ABS(DL3:DL5),0)</f>
        <v>1</v>
      </c>
      <c r="DM6" s="13">
        <f t="array" ref="DM6">MATCH(MAX(ABS(DM3:DM5)),ABS(DM3:DM5),0)</f>
        <v>1</v>
      </c>
      <c r="DN6" s="13">
        <f t="array" ref="DN6">MATCH(MAX(ABS(DN3:DN5)),ABS(DN3:DN5),0)</f>
        <v>1</v>
      </c>
      <c r="DO6" s="13">
        <f t="array" ref="DO6">MATCH(MAX(ABS(DO3:DO5)),ABS(DO3:DO5),0)</f>
        <v>1</v>
      </c>
      <c r="DP6" s="13">
        <f t="array" ref="DP6">MATCH(MAX(ABS(DP3:DP5)),ABS(DP3:DP5),0)</f>
        <v>1</v>
      </c>
      <c r="DQ6" s="13">
        <f t="array" ref="DQ6">MATCH(MAX(ABS(DQ3:DQ5)),ABS(DQ3:DQ5),0)</f>
        <v>1</v>
      </c>
      <c r="DR6" s="13">
        <f t="array" ref="DR6">MATCH(MAX(ABS(DR3:DR5)),ABS(DR3:DR5),0)</f>
        <v>1</v>
      </c>
      <c r="DS6" s="13">
        <f t="array" ref="DS6">MATCH(MAX(ABS(DS3:DS5)),ABS(DS3:DS5),0)</f>
        <v>1</v>
      </c>
      <c r="DT6" s="13">
        <f t="array" ref="DT6">MATCH(MAX(ABS(DT3:DT5)),ABS(DT3:DT5),0)</f>
        <v>1</v>
      </c>
      <c r="DU6" s="13">
        <f t="array" ref="DU6">MATCH(MAX(ABS(DU3:DU5)),ABS(DU3:DU5),0)</f>
        <v>1</v>
      </c>
      <c r="DV6" s="13">
        <f t="array" ref="DV6">MATCH(MAX(ABS(DV3:DV5)),ABS(DV3:DV5),0)</f>
        <v>1</v>
      </c>
      <c r="DW6" s="13">
        <f t="array" ref="DW6">MATCH(MAX(ABS(DW3:DW5)),ABS(DW3:DW5),0)</f>
        <v>1</v>
      </c>
      <c r="DX6" s="13">
        <f t="array" ref="DX6">MATCH(MAX(ABS(DX3:DX5)),ABS(DX3:DX5),0)</f>
        <v>1</v>
      </c>
      <c r="DY6" s="13">
        <f t="array" ref="DY6">MATCH(MAX(ABS(DY3:DY5)),ABS(DY3:DY5),0)</f>
        <v>1</v>
      </c>
      <c r="DZ6" s="13">
        <f t="array" ref="DZ6">MATCH(MAX(ABS(DZ3:DZ5)),ABS(DZ3:DZ5),0)</f>
        <v>1</v>
      </c>
      <c r="EA6" s="13">
        <f t="array" ref="EA6">MATCH(MAX(ABS(EA3:EA5)),ABS(EA3:EA5),0)</f>
        <v>1</v>
      </c>
      <c r="EB6" s="13">
        <f t="array" ref="EB6">MATCH(MAX(ABS(EB3:EB5)),ABS(EB3:EB5),0)</f>
        <v>1</v>
      </c>
      <c r="EC6" s="13">
        <f t="array" ref="EC6">MATCH(MAX(ABS(EC3:EC5)),ABS(EC3:EC5),0)</f>
        <v>1</v>
      </c>
      <c r="ED6" s="13">
        <f t="array" ref="ED6">MATCH(MAX(ABS(ED3:ED5)),ABS(ED3:ED5),0)</f>
        <v>1</v>
      </c>
      <c r="EE6" s="13">
        <f t="array" ref="EE6">MATCH(MAX(ABS(EE3:EE5)),ABS(EE3:EE5),0)</f>
        <v>1</v>
      </c>
      <c r="EF6" s="13">
        <f t="array" ref="EF6">MATCH(MAX(ABS(EF3:EF5)),ABS(EF3:EF5),0)</f>
        <v>1</v>
      </c>
    </row>
    <row r="7" spans="1:136">
      <c r="C7" s="14" t="str">
        <f t="shared" ref="C7:AH7" si="0">IF(C6=1,"bm",IF(C6=2,"size",IF(C6=3,"mom")))</f>
        <v>bm</v>
      </c>
      <c r="D7" s="14" t="str">
        <f t="shared" si="0"/>
        <v>size</v>
      </c>
      <c r="E7" s="14" t="str">
        <f t="shared" si="0"/>
        <v>bm</v>
      </c>
      <c r="F7" s="14" t="str">
        <f t="shared" si="0"/>
        <v>size</v>
      </c>
      <c r="G7" s="14" t="str">
        <f t="shared" si="0"/>
        <v>bm</v>
      </c>
      <c r="H7" s="14" t="str">
        <f t="shared" si="0"/>
        <v>size</v>
      </c>
      <c r="I7" s="14" t="str">
        <f t="shared" si="0"/>
        <v>size</v>
      </c>
      <c r="J7" s="14" t="str">
        <f t="shared" si="0"/>
        <v>size</v>
      </c>
      <c r="K7" s="14" t="str">
        <f t="shared" si="0"/>
        <v>bm</v>
      </c>
      <c r="L7" s="14" t="str">
        <f t="shared" si="0"/>
        <v>bm</v>
      </c>
      <c r="M7" s="14" t="str">
        <f t="shared" si="0"/>
        <v>size</v>
      </c>
      <c r="N7" s="14" t="str">
        <f t="shared" si="0"/>
        <v>size</v>
      </c>
      <c r="O7" s="14" t="str">
        <f t="shared" si="0"/>
        <v>size</v>
      </c>
      <c r="P7" s="14" t="str">
        <f t="shared" si="0"/>
        <v>size</v>
      </c>
      <c r="Q7" s="14" t="str">
        <f t="shared" si="0"/>
        <v>size</v>
      </c>
      <c r="R7" s="14" t="str">
        <f t="shared" si="0"/>
        <v>size</v>
      </c>
      <c r="S7" s="14" t="str">
        <f t="shared" si="0"/>
        <v>size</v>
      </c>
      <c r="T7" s="14" t="str">
        <f t="shared" si="0"/>
        <v>size</v>
      </c>
      <c r="U7" s="14" t="str">
        <f t="shared" si="0"/>
        <v>size</v>
      </c>
      <c r="V7" s="14" t="str">
        <f t="shared" si="0"/>
        <v>size</v>
      </c>
      <c r="W7" s="14" t="str">
        <f t="shared" si="0"/>
        <v>size</v>
      </c>
      <c r="X7" s="14" t="str">
        <f t="shared" si="0"/>
        <v>size</v>
      </c>
      <c r="Y7" s="14" t="str">
        <f t="shared" si="0"/>
        <v>size</v>
      </c>
      <c r="Z7" s="14" t="str">
        <f t="shared" si="0"/>
        <v>size</v>
      </c>
      <c r="AA7" s="14" t="str">
        <f t="shared" si="0"/>
        <v>bm</v>
      </c>
      <c r="AB7" s="14" t="str">
        <f t="shared" si="0"/>
        <v>size</v>
      </c>
      <c r="AC7" s="14" t="str">
        <f t="shared" si="0"/>
        <v>size</v>
      </c>
      <c r="AD7" s="14" t="str">
        <f t="shared" si="0"/>
        <v>bm</v>
      </c>
      <c r="AE7" s="14" t="str">
        <f t="shared" si="0"/>
        <v>size</v>
      </c>
      <c r="AF7" s="14" t="str">
        <f t="shared" si="0"/>
        <v>bm</v>
      </c>
      <c r="AG7" s="14" t="str">
        <f t="shared" si="0"/>
        <v>size</v>
      </c>
      <c r="AH7" s="14" t="str">
        <f t="shared" si="0"/>
        <v>bm</v>
      </c>
      <c r="AI7" s="14" t="str">
        <f t="shared" ref="AI7:BN7" si="1">IF(AI6=1,"bm",IF(AI6=2,"size",IF(AI6=3,"mom")))</f>
        <v>size</v>
      </c>
      <c r="AJ7" s="14" t="str">
        <f t="shared" si="1"/>
        <v>size</v>
      </c>
      <c r="AK7" s="14" t="str">
        <f t="shared" si="1"/>
        <v>size</v>
      </c>
      <c r="AL7" s="14" t="str">
        <f t="shared" si="1"/>
        <v>bm</v>
      </c>
      <c r="AM7" s="14" t="str">
        <f t="shared" si="1"/>
        <v>bm</v>
      </c>
      <c r="AN7" s="14" t="str">
        <f t="shared" si="1"/>
        <v>bm</v>
      </c>
      <c r="AO7" s="14" t="str">
        <f t="shared" si="1"/>
        <v>bm</v>
      </c>
      <c r="AP7" s="14" t="str">
        <f t="shared" si="1"/>
        <v>size</v>
      </c>
      <c r="AQ7" s="14" t="str">
        <f t="shared" si="1"/>
        <v>bm</v>
      </c>
      <c r="AR7" s="14" t="str">
        <f t="shared" si="1"/>
        <v>bm</v>
      </c>
      <c r="AS7" s="14" t="str">
        <f t="shared" si="1"/>
        <v>bm</v>
      </c>
      <c r="AT7" s="14" t="str">
        <f t="shared" si="1"/>
        <v>bm</v>
      </c>
      <c r="AU7" s="14" t="str">
        <f t="shared" si="1"/>
        <v>bm</v>
      </c>
      <c r="AV7" s="14" t="str">
        <f t="shared" si="1"/>
        <v>bm</v>
      </c>
      <c r="AW7" s="14" t="str">
        <f t="shared" si="1"/>
        <v>bm</v>
      </c>
      <c r="AX7" s="14" t="str">
        <f t="shared" si="1"/>
        <v>size</v>
      </c>
      <c r="AY7" s="14" t="str">
        <f t="shared" si="1"/>
        <v>bm</v>
      </c>
      <c r="AZ7" s="14" t="str">
        <f t="shared" si="1"/>
        <v>bm</v>
      </c>
      <c r="BA7" s="14" t="str">
        <f t="shared" si="1"/>
        <v>bm</v>
      </c>
      <c r="BB7" s="14" t="str">
        <f t="shared" si="1"/>
        <v>bm</v>
      </c>
      <c r="BC7" s="14" t="str">
        <f t="shared" si="1"/>
        <v>bm</v>
      </c>
      <c r="BD7" s="14" t="str">
        <f t="shared" si="1"/>
        <v>bm</v>
      </c>
      <c r="BE7" s="14" t="str">
        <f t="shared" si="1"/>
        <v>bm</v>
      </c>
      <c r="BF7" s="14" t="str">
        <f t="shared" si="1"/>
        <v>bm</v>
      </c>
      <c r="BG7" s="14" t="str">
        <f t="shared" si="1"/>
        <v>bm</v>
      </c>
      <c r="BH7" s="14" t="str">
        <f t="shared" si="1"/>
        <v>bm</v>
      </c>
      <c r="BI7" s="14" t="str">
        <f t="shared" si="1"/>
        <v>bm</v>
      </c>
      <c r="BJ7" s="14" t="str">
        <f t="shared" si="1"/>
        <v>bm</v>
      </c>
      <c r="BK7" s="14" t="str">
        <f t="shared" si="1"/>
        <v>bm</v>
      </c>
      <c r="BL7" s="14" t="str">
        <f t="shared" si="1"/>
        <v>bm</v>
      </c>
      <c r="BM7" s="14" t="str">
        <f t="shared" si="1"/>
        <v>bm</v>
      </c>
      <c r="BN7" s="14" t="str">
        <f t="shared" si="1"/>
        <v>bm</v>
      </c>
      <c r="BO7" s="14" t="str">
        <f t="shared" ref="BO7:CT7" si="2">IF(BO6=1,"bm",IF(BO6=2,"size",IF(BO6=3,"mom")))</f>
        <v>bm</v>
      </c>
      <c r="BP7" s="14" t="str">
        <f t="shared" si="2"/>
        <v>bm</v>
      </c>
      <c r="BQ7" s="14" t="str">
        <f t="shared" si="2"/>
        <v>bm</v>
      </c>
      <c r="BR7" s="14" t="str">
        <f t="shared" si="2"/>
        <v>bm</v>
      </c>
      <c r="BS7" s="14" t="str">
        <f t="shared" si="2"/>
        <v>bm</v>
      </c>
      <c r="BT7" s="14" t="str">
        <f t="shared" si="2"/>
        <v>bm</v>
      </c>
      <c r="BU7" s="14" t="str">
        <f t="shared" si="2"/>
        <v>bm</v>
      </c>
      <c r="BV7" s="14" t="str">
        <f t="shared" si="2"/>
        <v>bm</v>
      </c>
      <c r="BW7" s="14" t="str">
        <f t="shared" si="2"/>
        <v>bm</v>
      </c>
      <c r="BX7" s="14" t="str">
        <f t="shared" si="2"/>
        <v>bm</v>
      </c>
      <c r="BY7" s="14" t="str">
        <f t="shared" si="2"/>
        <v>bm</v>
      </c>
      <c r="BZ7" s="14" t="str">
        <f t="shared" si="2"/>
        <v>bm</v>
      </c>
      <c r="CA7" s="14" t="str">
        <f t="shared" si="2"/>
        <v>size</v>
      </c>
      <c r="CB7" s="14" t="str">
        <f t="shared" si="2"/>
        <v>bm</v>
      </c>
      <c r="CC7" s="14" t="str">
        <f t="shared" si="2"/>
        <v>bm</v>
      </c>
      <c r="CD7" s="14" t="str">
        <f t="shared" si="2"/>
        <v>bm</v>
      </c>
      <c r="CE7" s="14" t="str">
        <f t="shared" si="2"/>
        <v>bm</v>
      </c>
      <c r="CF7" s="14" t="str">
        <f t="shared" si="2"/>
        <v>bm</v>
      </c>
      <c r="CG7" s="14" t="str">
        <f t="shared" si="2"/>
        <v>bm</v>
      </c>
      <c r="CH7" s="14" t="str">
        <f t="shared" si="2"/>
        <v>bm</v>
      </c>
      <c r="CI7" s="14" t="str">
        <f t="shared" si="2"/>
        <v>bm</v>
      </c>
      <c r="CJ7" s="14" t="str">
        <f t="shared" si="2"/>
        <v>bm</v>
      </c>
      <c r="CK7" s="14" t="str">
        <f t="shared" si="2"/>
        <v>bm</v>
      </c>
      <c r="CL7" s="14" t="str">
        <f t="shared" si="2"/>
        <v>bm</v>
      </c>
      <c r="CM7" s="14" t="str">
        <f t="shared" si="2"/>
        <v>bm</v>
      </c>
      <c r="CN7" s="14" t="str">
        <f t="shared" si="2"/>
        <v>bm</v>
      </c>
      <c r="CO7" s="14" t="str">
        <f t="shared" si="2"/>
        <v>bm</v>
      </c>
      <c r="CP7" s="14" t="str">
        <f t="shared" si="2"/>
        <v>bm</v>
      </c>
      <c r="CQ7" s="14" t="str">
        <f t="shared" si="2"/>
        <v>bm</v>
      </c>
      <c r="CR7" s="14" t="str">
        <f t="shared" si="2"/>
        <v>bm</v>
      </c>
      <c r="CS7" s="14" t="str">
        <f t="shared" si="2"/>
        <v>bm</v>
      </c>
      <c r="CT7" s="14" t="str">
        <f t="shared" si="2"/>
        <v>bm</v>
      </c>
      <c r="CU7" s="14" t="str">
        <f t="shared" ref="CU7:DZ7" si="3">IF(CU6=1,"bm",IF(CU6=2,"size",IF(CU6=3,"mom")))</f>
        <v>bm</v>
      </c>
      <c r="CV7" s="14" t="str">
        <f t="shared" si="3"/>
        <v>bm</v>
      </c>
      <c r="CW7" s="14" t="str">
        <f t="shared" si="3"/>
        <v>bm</v>
      </c>
      <c r="CX7" s="14" t="str">
        <f t="shared" si="3"/>
        <v>bm</v>
      </c>
      <c r="CY7" s="14" t="str">
        <f t="shared" si="3"/>
        <v>bm</v>
      </c>
      <c r="CZ7" s="14" t="str">
        <f t="shared" si="3"/>
        <v>bm</v>
      </c>
      <c r="DA7" s="14" t="str">
        <f t="shared" si="3"/>
        <v>bm</v>
      </c>
      <c r="DB7" s="14" t="str">
        <f t="shared" si="3"/>
        <v>bm</v>
      </c>
      <c r="DC7" s="14" t="str">
        <f t="shared" si="3"/>
        <v>bm</v>
      </c>
      <c r="DD7" s="14" t="str">
        <f t="shared" si="3"/>
        <v>bm</v>
      </c>
      <c r="DE7" s="14" t="str">
        <f t="shared" si="3"/>
        <v>bm</v>
      </c>
      <c r="DF7" s="14" t="str">
        <f t="shared" si="3"/>
        <v>bm</v>
      </c>
      <c r="DG7" s="14" t="str">
        <f t="shared" si="3"/>
        <v>bm</v>
      </c>
      <c r="DH7" s="14" t="str">
        <f t="shared" si="3"/>
        <v>bm</v>
      </c>
      <c r="DI7" s="14" t="str">
        <f t="shared" si="3"/>
        <v>bm</v>
      </c>
      <c r="DJ7" s="14" t="str">
        <f t="shared" si="3"/>
        <v>bm</v>
      </c>
      <c r="DK7" s="14" t="str">
        <f t="shared" si="3"/>
        <v>bm</v>
      </c>
      <c r="DL7" s="14" t="str">
        <f t="shared" si="3"/>
        <v>bm</v>
      </c>
      <c r="DM7" s="14" t="str">
        <f t="shared" si="3"/>
        <v>bm</v>
      </c>
      <c r="DN7" s="14" t="str">
        <f t="shared" si="3"/>
        <v>bm</v>
      </c>
      <c r="DO7" s="14" t="str">
        <f t="shared" si="3"/>
        <v>bm</v>
      </c>
      <c r="DP7" s="14" t="str">
        <f t="shared" si="3"/>
        <v>bm</v>
      </c>
      <c r="DQ7" s="14" t="str">
        <f t="shared" si="3"/>
        <v>bm</v>
      </c>
      <c r="DR7" s="14" t="str">
        <f t="shared" si="3"/>
        <v>bm</v>
      </c>
      <c r="DS7" s="14" t="str">
        <f t="shared" si="3"/>
        <v>bm</v>
      </c>
      <c r="DT7" s="14" t="str">
        <f t="shared" si="3"/>
        <v>bm</v>
      </c>
      <c r="DU7" s="14" t="str">
        <f t="shared" si="3"/>
        <v>bm</v>
      </c>
      <c r="DV7" s="14" t="str">
        <f t="shared" si="3"/>
        <v>bm</v>
      </c>
      <c r="DW7" s="14" t="str">
        <f t="shared" si="3"/>
        <v>bm</v>
      </c>
      <c r="DX7" s="14" t="str">
        <f t="shared" si="3"/>
        <v>bm</v>
      </c>
      <c r="DY7" s="14" t="str">
        <f t="shared" si="3"/>
        <v>bm</v>
      </c>
      <c r="DZ7" s="14" t="str">
        <f t="shared" si="3"/>
        <v>bm</v>
      </c>
      <c r="EA7" s="14" t="str">
        <f t="shared" ref="EA7:EF7" si="4">IF(EA6=1,"bm",IF(EA6=2,"size",IF(EA6=3,"mom")))</f>
        <v>bm</v>
      </c>
      <c r="EB7" s="14" t="str">
        <f t="shared" si="4"/>
        <v>bm</v>
      </c>
      <c r="EC7" s="14" t="str">
        <f t="shared" si="4"/>
        <v>bm</v>
      </c>
      <c r="ED7" s="14" t="str">
        <f t="shared" si="4"/>
        <v>bm</v>
      </c>
      <c r="EE7" s="14" t="str">
        <f t="shared" si="4"/>
        <v>bm</v>
      </c>
      <c r="EF7" s="14" t="str">
        <f t="shared" si="4"/>
        <v>bm</v>
      </c>
    </row>
    <row r="8" spans="1:136">
      <c r="C8" s="13">
        <f t="shared" ref="C8:AH8" si="5">IF(C6=1,C3,IF(C6=2,C4,IF(C6=3,C5)))</f>
        <v>3.1330205500125892E-2</v>
      </c>
      <c r="D8" s="13">
        <f t="shared" si="5"/>
        <v>-3.2528996467590332E-2</v>
      </c>
      <c r="E8" s="13">
        <f t="shared" si="5"/>
        <v>2.9643896967172619E-2</v>
      </c>
      <c r="F8" s="13">
        <f t="shared" si="5"/>
        <v>-3.0678801238536831E-2</v>
      </c>
      <c r="G8" s="13">
        <f t="shared" si="5"/>
        <v>4.1800491511821747E-2</v>
      </c>
      <c r="H8" s="13">
        <f t="shared" si="5"/>
        <v>-2.7283268049359322E-2</v>
      </c>
      <c r="I8" s="13">
        <f t="shared" si="5"/>
        <v>-3.6774773150682449E-2</v>
      </c>
      <c r="J8" s="13">
        <f t="shared" si="5"/>
        <v>-3.694760799407959E-2</v>
      </c>
      <c r="K8" s="13">
        <f t="shared" si="5"/>
        <v>3.5791270434856408E-2</v>
      </c>
      <c r="L8" s="13">
        <f t="shared" si="5"/>
        <v>6.6725820302963257E-2</v>
      </c>
      <c r="M8" s="13">
        <f t="shared" si="5"/>
        <v>-3.6390375345945358E-2</v>
      </c>
      <c r="N8" s="13">
        <f t="shared" si="5"/>
        <v>-2.7910143136978149E-2</v>
      </c>
      <c r="O8" s="13">
        <f t="shared" si="5"/>
        <v>-3.4657396376132972E-2</v>
      </c>
      <c r="P8" s="13">
        <f t="shared" si="5"/>
        <v>-3.7157066166400909E-2</v>
      </c>
      <c r="Q8" s="13">
        <f t="shared" si="5"/>
        <v>-3.2246530055999763E-2</v>
      </c>
      <c r="R8" s="13">
        <f t="shared" si="5"/>
        <v>-3.2251663506031043E-2</v>
      </c>
      <c r="S8" s="13">
        <f t="shared" si="5"/>
        <v>-2.9913196340203289E-2</v>
      </c>
      <c r="T8" s="13">
        <f t="shared" si="5"/>
        <v>-2.9206940904259682E-2</v>
      </c>
      <c r="U8" s="13">
        <f t="shared" si="5"/>
        <v>-2.8744202107191089E-2</v>
      </c>
      <c r="V8" s="13">
        <f t="shared" si="5"/>
        <v>-2.8017682954668999E-2</v>
      </c>
      <c r="W8" s="13">
        <f t="shared" si="5"/>
        <v>-2.7434077113866809E-2</v>
      </c>
      <c r="X8" s="13">
        <f t="shared" si="5"/>
        <v>-2.876461856067181E-2</v>
      </c>
      <c r="Y8" s="13">
        <f t="shared" si="5"/>
        <v>-3.1099813058972359E-2</v>
      </c>
      <c r="Z8" s="13">
        <f t="shared" si="5"/>
        <v>-3.0133392661809921E-2</v>
      </c>
      <c r="AA8" s="13">
        <f t="shared" si="5"/>
        <v>7.4403420090675354E-2</v>
      </c>
      <c r="AB8" s="13">
        <f t="shared" si="5"/>
        <v>-2.964571118354797E-2</v>
      </c>
      <c r="AC8" s="13">
        <f t="shared" si="5"/>
        <v>-2.9567878693342209E-2</v>
      </c>
      <c r="AD8" s="13">
        <f t="shared" si="5"/>
        <v>-3.129136934876442E-2</v>
      </c>
      <c r="AE8" s="13">
        <f t="shared" si="5"/>
        <v>-2.8935028240084652E-2</v>
      </c>
      <c r="AF8" s="13">
        <f t="shared" si="5"/>
        <v>-3.5181421786546707E-2</v>
      </c>
      <c r="AG8" s="13">
        <f t="shared" si="5"/>
        <v>-2.828941494226456E-2</v>
      </c>
      <c r="AH8" s="13">
        <f t="shared" si="5"/>
        <v>-2.2227592766284939E-2</v>
      </c>
      <c r="AI8" s="13">
        <f t="shared" ref="AI8:BN8" si="6">IF(AI6=1,AI3,IF(AI6=2,AI4,IF(AI6=3,AI5)))</f>
        <v>-4.0709320455789573E-2</v>
      </c>
      <c r="AJ8" s="13">
        <f t="shared" si="6"/>
        <v>-3.4136712551116943E-2</v>
      </c>
      <c r="AK8" s="13">
        <f t="shared" si="6"/>
        <v>-2.7761854231357571E-2</v>
      </c>
      <c r="AL8" s="13">
        <f t="shared" si="6"/>
        <v>6.0541510581970208E-2</v>
      </c>
      <c r="AM8" s="13">
        <f t="shared" si="6"/>
        <v>4.2939703911542892E-2</v>
      </c>
      <c r="AN8" s="13">
        <f t="shared" si="6"/>
        <v>4.6451166272163391E-2</v>
      </c>
      <c r="AO8" s="13">
        <f t="shared" si="6"/>
        <v>4.6414647251367569E-2</v>
      </c>
      <c r="AP8" s="13">
        <f t="shared" si="6"/>
        <v>-3.5248521715402603E-2</v>
      </c>
      <c r="AQ8" s="13">
        <f t="shared" si="6"/>
        <v>4.9711406230926507E-2</v>
      </c>
      <c r="AR8" s="13">
        <f t="shared" si="6"/>
        <v>4.072609543800354E-2</v>
      </c>
      <c r="AS8" s="13">
        <f t="shared" si="6"/>
        <v>3.7940710783004761E-2</v>
      </c>
      <c r="AT8" s="13">
        <f t="shared" si="6"/>
        <v>4.3215282261371613E-2</v>
      </c>
      <c r="AU8" s="13">
        <f t="shared" si="6"/>
        <v>3.5848293453454971E-2</v>
      </c>
      <c r="AV8" s="13">
        <f t="shared" si="6"/>
        <v>4.8106551170349121E-2</v>
      </c>
      <c r="AW8" s="13">
        <f t="shared" si="6"/>
        <v>0.25755825638771063</v>
      </c>
      <c r="AX8" s="13">
        <f t="shared" si="6"/>
        <v>-2.6401566341519359E-2</v>
      </c>
      <c r="AY8" s="13">
        <f t="shared" si="6"/>
        <v>5.6368216872215271E-2</v>
      </c>
      <c r="AZ8" s="13">
        <f t="shared" si="6"/>
        <v>4.440823569893837E-2</v>
      </c>
      <c r="BA8" s="13">
        <f t="shared" si="6"/>
        <v>4.0217362344264977E-2</v>
      </c>
      <c r="BB8" s="13">
        <f t="shared" si="6"/>
        <v>3.9215490221977227E-2</v>
      </c>
      <c r="BC8" s="13">
        <f t="shared" si="6"/>
        <v>5.1480397582054138E-2</v>
      </c>
      <c r="BD8" s="13">
        <f t="shared" si="6"/>
        <v>4.9942176789045327E-2</v>
      </c>
      <c r="BE8" s="13">
        <f t="shared" si="6"/>
        <v>4.9302525818347931E-2</v>
      </c>
      <c r="BF8" s="13">
        <f t="shared" si="6"/>
        <v>5.0215017050504678E-2</v>
      </c>
      <c r="BG8" s="13">
        <f t="shared" si="6"/>
        <v>4.4806387275457382E-2</v>
      </c>
      <c r="BH8" s="13">
        <f t="shared" si="6"/>
        <v>7.2218522429466248E-2</v>
      </c>
      <c r="BI8" s="13">
        <f t="shared" si="6"/>
        <v>5.3198006004095078E-2</v>
      </c>
      <c r="BJ8" s="13">
        <f t="shared" si="6"/>
        <v>5.0947383046150208E-2</v>
      </c>
      <c r="BK8" s="13">
        <f t="shared" si="6"/>
        <v>4.6847827732563019E-2</v>
      </c>
      <c r="BL8" s="13">
        <f t="shared" si="6"/>
        <v>5.1777664572000497E-2</v>
      </c>
      <c r="BM8" s="13">
        <f t="shared" si="6"/>
        <v>4.5751150697469711E-2</v>
      </c>
      <c r="BN8" s="13">
        <f t="shared" si="6"/>
        <v>5.1456984132528312E-2</v>
      </c>
      <c r="BO8" s="13">
        <f t="shared" ref="BO8:CT8" si="7">IF(BO6=1,BO3,IF(BO6=2,BO4,IF(BO6=3,BO5)))</f>
        <v>5.444614589214325E-2</v>
      </c>
      <c r="BP8" s="13">
        <f t="shared" si="7"/>
        <v>5.1880281418561942E-2</v>
      </c>
      <c r="BQ8" s="13">
        <f t="shared" si="7"/>
        <v>4.9081109464168549E-2</v>
      </c>
      <c r="BR8" s="13">
        <f t="shared" si="7"/>
        <v>3.0115354806184769E-2</v>
      </c>
      <c r="BS8" s="13">
        <f t="shared" si="7"/>
        <v>4.8800110816955573E-2</v>
      </c>
      <c r="BT8" s="13">
        <f t="shared" si="7"/>
        <v>4.8635218292474747E-2</v>
      </c>
      <c r="BU8" s="13">
        <f t="shared" si="7"/>
        <v>4.5633736997842789E-2</v>
      </c>
      <c r="BV8" s="13">
        <f t="shared" si="7"/>
        <v>4.947228729724884E-2</v>
      </c>
      <c r="BW8" s="13">
        <f t="shared" si="7"/>
        <v>4.4601880013942719E-2</v>
      </c>
      <c r="BX8" s="13">
        <f t="shared" si="7"/>
        <v>4.56710085272789E-2</v>
      </c>
      <c r="BY8" s="13">
        <f t="shared" si="7"/>
        <v>3.6897704005241387E-2</v>
      </c>
      <c r="BZ8" s="13">
        <f t="shared" si="7"/>
        <v>0.21394279599189761</v>
      </c>
      <c r="CA8" s="13">
        <f t="shared" si="7"/>
        <v>-3.2349672168493271E-2</v>
      </c>
      <c r="CB8" s="13">
        <f t="shared" si="7"/>
        <v>4.6074997633695602E-2</v>
      </c>
      <c r="CC8" s="13">
        <f t="shared" si="7"/>
        <v>7.2226598858833313E-2</v>
      </c>
      <c r="CD8" s="13">
        <f t="shared" si="7"/>
        <v>3.4700907766819E-2</v>
      </c>
      <c r="CE8" s="13">
        <f t="shared" si="7"/>
        <v>3.6362294107675552E-2</v>
      </c>
      <c r="CF8" s="13">
        <f t="shared" si="7"/>
        <v>4.7756139189004898E-2</v>
      </c>
      <c r="CG8" s="13">
        <f t="shared" si="7"/>
        <v>3.6376580595970147E-2</v>
      </c>
      <c r="CH8" s="13">
        <f t="shared" si="7"/>
        <v>4.3285507708787918E-2</v>
      </c>
      <c r="CI8" s="13">
        <f t="shared" si="7"/>
        <v>4.2804375290870673E-2</v>
      </c>
      <c r="CJ8" s="13">
        <f t="shared" si="7"/>
        <v>4.3789677321910858E-2</v>
      </c>
      <c r="CK8" s="13">
        <f t="shared" si="7"/>
        <v>4.193609207868576E-2</v>
      </c>
      <c r="CL8" s="13">
        <f t="shared" si="7"/>
        <v>4.5073911547660828E-2</v>
      </c>
      <c r="CM8" s="13">
        <f t="shared" si="7"/>
        <v>5.7426575571298599E-2</v>
      </c>
      <c r="CN8" s="13">
        <f t="shared" si="7"/>
        <v>4.8870686441659927E-2</v>
      </c>
      <c r="CO8" s="13">
        <f t="shared" si="7"/>
        <v>4.6467091888189323E-2</v>
      </c>
      <c r="CP8" s="13">
        <f t="shared" si="7"/>
        <v>4.5427285134792328E-2</v>
      </c>
      <c r="CQ8" s="13">
        <f t="shared" si="7"/>
        <v>4.3254118412733078E-2</v>
      </c>
      <c r="CR8" s="13">
        <f t="shared" si="7"/>
        <v>4.2831581085920327E-2</v>
      </c>
      <c r="CS8" s="13">
        <f t="shared" si="7"/>
        <v>4.1360333561897278E-2</v>
      </c>
      <c r="CT8" s="13">
        <f t="shared" si="7"/>
        <v>2.374728582799435E-2</v>
      </c>
      <c r="CU8" s="13">
        <f t="shared" ref="CU8:DZ8" si="8">IF(CU6=1,CU3,IF(CU6=2,CU4,IF(CU6=3,CU5)))</f>
        <v>3.9278171956539147E-2</v>
      </c>
      <c r="CV8" s="13">
        <f t="shared" si="8"/>
        <v>4.09957654774189E-2</v>
      </c>
      <c r="CW8" s="13">
        <f t="shared" si="8"/>
        <v>3.6699786782264709E-2</v>
      </c>
      <c r="CX8" s="13">
        <f t="shared" si="8"/>
        <v>3.8764949887990952E-2</v>
      </c>
      <c r="CY8" s="13">
        <f t="shared" si="8"/>
        <v>3.7805531173944473E-2</v>
      </c>
      <c r="CZ8" s="13">
        <f t="shared" si="8"/>
        <v>4.325726255774498E-2</v>
      </c>
      <c r="DA8" s="13">
        <f t="shared" si="8"/>
        <v>4.4850636273622513E-2</v>
      </c>
      <c r="DB8" s="13">
        <f t="shared" si="8"/>
        <v>4.3851811438798897E-2</v>
      </c>
      <c r="DC8" s="13">
        <f t="shared" si="8"/>
        <v>4.9191009253263467E-2</v>
      </c>
      <c r="DD8" s="13">
        <f t="shared" si="8"/>
        <v>4.212004691362381E-2</v>
      </c>
      <c r="DE8" s="13">
        <f t="shared" si="8"/>
        <v>4.7127000987529748E-2</v>
      </c>
      <c r="DF8" s="13">
        <f t="shared" si="8"/>
        <v>3.8079626858234412E-2</v>
      </c>
      <c r="DG8" s="13">
        <f t="shared" si="8"/>
        <v>3.8307089358568192E-2</v>
      </c>
      <c r="DH8" s="13">
        <f t="shared" si="8"/>
        <v>3.9209745824337013E-2</v>
      </c>
      <c r="DI8" s="13">
        <f t="shared" si="8"/>
        <v>5.0754562020301819E-2</v>
      </c>
      <c r="DJ8" s="13">
        <f t="shared" si="8"/>
        <v>4.9327295273542397E-2</v>
      </c>
      <c r="DK8" s="13">
        <f t="shared" si="8"/>
        <v>4.6511236578226089E-2</v>
      </c>
      <c r="DL8" s="13">
        <f t="shared" si="8"/>
        <v>4.22775037586689E-2</v>
      </c>
      <c r="DM8" s="13">
        <f t="shared" si="8"/>
        <v>3.2305262982845313E-2</v>
      </c>
      <c r="DN8" s="13">
        <f t="shared" si="8"/>
        <v>4.6072427183389657E-2</v>
      </c>
      <c r="DO8" s="13">
        <f t="shared" si="8"/>
        <v>4.8485249280929572E-2</v>
      </c>
      <c r="DP8" s="13">
        <f t="shared" si="8"/>
        <v>4.6022161841392517E-2</v>
      </c>
      <c r="DQ8" s="13">
        <f t="shared" si="8"/>
        <v>4.4537413865327842E-2</v>
      </c>
      <c r="DR8" s="13">
        <f t="shared" si="8"/>
        <v>4.4425271451473243E-2</v>
      </c>
      <c r="DS8" s="13">
        <f t="shared" si="8"/>
        <v>4.2646575719118118E-2</v>
      </c>
      <c r="DT8" s="13">
        <f t="shared" si="8"/>
        <v>4.6090584248304367E-2</v>
      </c>
      <c r="DU8" s="13">
        <f t="shared" si="8"/>
        <v>4.3128091841936111E-2</v>
      </c>
      <c r="DV8" s="13">
        <f t="shared" si="8"/>
        <v>4.1349083185195923E-2</v>
      </c>
      <c r="DW8" s="13">
        <f t="shared" si="8"/>
        <v>4.0377732366323471E-2</v>
      </c>
      <c r="DX8" s="13">
        <f t="shared" si="8"/>
        <v>4.6240631490945823E-2</v>
      </c>
      <c r="DY8" s="13">
        <f t="shared" si="8"/>
        <v>4.529276117682457E-2</v>
      </c>
      <c r="DZ8" s="13">
        <f t="shared" si="8"/>
        <v>3.8002155721187592E-2</v>
      </c>
      <c r="EA8" s="13">
        <f t="shared" ref="EA8:EF8" si="9">IF(EA6=1,EA3,IF(EA6=2,EA4,IF(EA6=3,EA5)))</f>
        <v>4.3337244540452957E-2</v>
      </c>
      <c r="EB8" s="13">
        <f t="shared" si="9"/>
        <v>3.5762075334787369E-2</v>
      </c>
      <c r="EC8" s="13">
        <f t="shared" si="9"/>
        <v>3.0851878225803379E-2</v>
      </c>
      <c r="ED8" s="13">
        <f t="shared" si="9"/>
        <v>4.0065716952085488E-2</v>
      </c>
      <c r="EE8" s="13">
        <f t="shared" si="9"/>
        <v>4.3372519314289093E-2</v>
      </c>
      <c r="EF8" s="13">
        <f t="shared" si="9"/>
        <v>4.6325836330652237E-2</v>
      </c>
    </row>
    <row r="10" spans="1:136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 t="s">
        <v>142</v>
      </c>
      <c r="B11" s="2" t="s">
        <v>143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3" t="s">
        <v>178</v>
      </c>
    </row>
    <row r="12" spans="1:136">
      <c r="A12" s="2">
        <v>10</v>
      </c>
      <c r="B12" s="2">
        <v>96</v>
      </c>
      <c r="C12" s="13">
        <v>4.701350899422875E-2</v>
      </c>
      <c r="D12" s="13">
        <f>C12+預測IC!D12</f>
        <v>0.16170201941089546</v>
      </c>
      <c r="E12" s="13">
        <f>D12+預測IC!E12</f>
        <v>0.15494799105253754</v>
      </c>
      <c r="F12" s="13">
        <f>E12+預測IC!F12</f>
        <v>0.16836939730253753</v>
      </c>
      <c r="G12" s="13">
        <f>F12+預測IC!G12</f>
        <v>0.17627374404846588</v>
      </c>
      <c r="H12" s="13">
        <f>G12+預測IC!H12</f>
        <v>0.21480446279846588</v>
      </c>
      <c r="I12" s="13">
        <f>H12+預測IC!I12</f>
        <v>0.22761441071513253</v>
      </c>
      <c r="J12" s="13">
        <f>I12+預測IC!J12</f>
        <v>0.19820660863179917</v>
      </c>
      <c r="K12" s="13">
        <f>J12+預測IC!K12</f>
        <v>0.18721820477897708</v>
      </c>
      <c r="L12" s="13">
        <f>K12+預測IC!L12</f>
        <v>0.18494097399801382</v>
      </c>
      <c r="M12" s="13">
        <f>L12+預測IC!M12</f>
        <v>0.18454428649801383</v>
      </c>
      <c r="N12" s="13">
        <f>M12+預測IC!N12</f>
        <v>0.25387103649801379</v>
      </c>
      <c r="O12" s="13">
        <f>N12+預測IC!O12</f>
        <v>0.2711118802480138</v>
      </c>
      <c r="P12" s="13">
        <f>O12+預測IC!P12</f>
        <v>0.27134221358134714</v>
      </c>
      <c r="Q12" s="13">
        <f>P12+預測IC!Q12</f>
        <v>0.30661268233134709</v>
      </c>
      <c r="R12" s="13">
        <f>Q12+預測IC!R12</f>
        <v>0.31327576566468041</v>
      </c>
      <c r="S12" s="13">
        <f>R12+預測IC!S12</f>
        <v>0.29680353649801372</v>
      </c>
      <c r="T12" s="13">
        <f>S12+預測IC!T12</f>
        <v>0.28906315108134706</v>
      </c>
      <c r="U12" s="13">
        <f>T12+預測IC!U12</f>
        <v>0.27288435941468037</v>
      </c>
      <c r="V12" s="13">
        <f>U12+預測IC!V12</f>
        <v>0.27908916149801366</v>
      </c>
      <c r="W12" s="13">
        <f>V12+預測IC!W12</f>
        <v>0.34312880733134699</v>
      </c>
      <c r="X12" s="13">
        <f>W12+預測IC!X12</f>
        <v>0.37020254691468035</v>
      </c>
      <c r="Y12" s="13">
        <f>X12+預測IC!Y12</f>
        <v>0.38564265108134704</v>
      </c>
      <c r="Z12" s="13">
        <f>Y12+預測IC!Z12</f>
        <v>0.39080869274801372</v>
      </c>
      <c r="AA12" s="13">
        <f>Z12+預測IC!AA12</f>
        <v>0.35140503134690193</v>
      </c>
      <c r="AB12" s="13">
        <f>AA12+預測IC!AB12</f>
        <v>0.34769370843023528</v>
      </c>
      <c r="AC12" s="13">
        <f>AB12+預測IC!AC12</f>
        <v>0.35286115634690196</v>
      </c>
      <c r="AD12" s="13">
        <f>AC12+預測IC!AD12</f>
        <v>0.34701404634766475</v>
      </c>
      <c r="AE12" s="13">
        <f>AD12+預測IC!AE12</f>
        <v>0.2886970359309981</v>
      </c>
      <c r="AF12" s="13">
        <f>AE12+預測IC!AF12</f>
        <v>0.26826488462713316</v>
      </c>
      <c r="AG12" s="13">
        <f>AF12+預測IC!AG12</f>
        <v>0.28034407212713319</v>
      </c>
      <c r="AH12" s="13">
        <f>AG12+預測IC!AH12</f>
        <v>0.26693826747749994</v>
      </c>
      <c r="AI12" s="13">
        <f>AH12+預測IC!AI12</f>
        <v>0.29018522581083328</v>
      </c>
      <c r="AJ12" s="13">
        <f>AI12+預測IC!AJ12</f>
        <v>0.3112476008108333</v>
      </c>
      <c r="AK12" s="13">
        <f>AJ12+預測IC!AK12</f>
        <v>0.32075164247749999</v>
      </c>
      <c r="AL12" s="13">
        <f>AK12+預測IC!AL12</f>
        <v>0.33861064549942205</v>
      </c>
      <c r="AM12" s="13">
        <f>AL12+預測IC!AM12</f>
        <v>0.36869676111201999</v>
      </c>
      <c r="AN12" s="13">
        <f>AM12+預測IC!AN12</f>
        <v>0.43792999542544853</v>
      </c>
      <c r="AO12" s="13">
        <f>AN12+預測IC!AO12</f>
        <v>0.44015878846512158</v>
      </c>
      <c r="AP12" s="13">
        <f>AO12+預測IC!AP12</f>
        <v>0.43552512179845493</v>
      </c>
      <c r="AQ12" s="13">
        <f>AP12+預測IC!AQ12</f>
        <v>0.4279031854098711</v>
      </c>
      <c r="AR12" s="13">
        <f>AQ12+預測IC!AR12</f>
        <v>0.44142944485983748</v>
      </c>
      <c r="AS12" s="13">
        <f>AR12+預測IC!AS12</f>
        <v>0.46052916331453808</v>
      </c>
      <c r="AT12" s="13">
        <f>AS12+預測IC!AT12</f>
        <v>0.47436406802220926</v>
      </c>
      <c r="AU12" s="13">
        <f>AT12+預測IC!AU12</f>
        <v>0.49507272670308466</v>
      </c>
      <c r="AV12" s="13">
        <f>AU12+預測IC!AV12</f>
        <v>0.45371264195805966</v>
      </c>
      <c r="AW12" s="13">
        <f>AV12+預測IC!AW12</f>
        <v>0.45433411897607573</v>
      </c>
      <c r="AX12" s="13">
        <f>AW12+預測IC!AX12</f>
        <v>0.44567613980940907</v>
      </c>
      <c r="AY12" s="13">
        <f>AX12+預測IC!AY12</f>
        <v>0.47063143287708231</v>
      </c>
      <c r="AZ12" s="13">
        <f>AY12+預測IC!AZ12</f>
        <v>0.46833140680542468</v>
      </c>
      <c r="BA12" s="13">
        <f>AZ12+預測IC!BA12</f>
        <v>0.47326929498866649</v>
      </c>
      <c r="BB12" s="13">
        <f>BA12+預測IC!BB12</f>
        <v>0.48854390024112593</v>
      </c>
      <c r="BC12" s="13">
        <f>BB12+預測IC!BC12</f>
        <v>0.50081668927960243</v>
      </c>
      <c r="BD12" s="13">
        <f>BC12+預測IC!BD12</f>
        <v>0.51444724622125504</v>
      </c>
      <c r="BE12" s="13">
        <f>BD12+預測IC!BE12</f>
        <v>0.53305605606064033</v>
      </c>
      <c r="BF12" s="13">
        <f>BE12+預測IC!BF12</f>
        <v>0.60084840854384047</v>
      </c>
      <c r="BG12" s="13">
        <f>BF12+預測IC!BG12</f>
        <v>0.6345192709851033</v>
      </c>
      <c r="BH12" s="13">
        <f>BG12+預測IC!BH12</f>
        <v>0.64874263099642526</v>
      </c>
      <c r="BI12" s="13">
        <f>BH12+預測IC!BI12</f>
        <v>0.69876388402741607</v>
      </c>
      <c r="BJ12" s="13">
        <f>BI12+預測IC!BJ12</f>
        <v>0.69796789070749821</v>
      </c>
      <c r="BK12" s="13">
        <f>BJ12+預測IC!BK12</f>
        <v>0.67668322574736428</v>
      </c>
      <c r="BL12" s="13">
        <f>BK12+預測IC!BL12</f>
        <v>0.70139247157751294</v>
      </c>
      <c r="BM12" s="13">
        <f>BL12+預測IC!BM12</f>
        <v>0.69622337962128311</v>
      </c>
      <c r="BN12" s="13">
        <f>BM12+預測IC!BN12</f>
        <v>0.70773991513337964</v>
      </c>
      <c r="BO12" s="13">
        <f>BN12+預測IC!BO12</f>
        <v>0.73198622538961655</v>
      </c>
      <c r="BP12" s="13">
        <f>BO12+預測IC!BP12</f>
        <v>0.72147724008432246</v>
      </c>
      <c r="BQ12" s="13">
        <f>BP12+預測IC!BQ12</f>
        <v>0.73537398970306911</v>
      </c>
      <c r="BR12" s="13">
        <f>BQ12+預測IC!BR12</f>
        <v>0.73311298124967028</v>
      </c>
      <c r="BS12" s="13">
        <f>BR12+預測IC!BS12</f>
        <v>0.75197627463406624</v>
      </c>
      <c r="BT12" s="13">
        <f>BS12+預測IC!BT12</f>
        <v>0.77400774331151045</v>
      </c>
      <c r="BU12" s="13">
        <f>BT12+預測IC!BU12</f>
        <v>0.78278926045160691</v>
      </c>
      <c r="BV12" s="13">
        <f>BU12+預測IC!BV12</f>
        <v>0.80585171618479789</v>
      </c>
      <c r="BW12" s="13">
        <f>BV12+預測IC!BW12</f>
        <v>0.77636794746526838</v>
      </c>
      <c r="BX12" s="13">
        <f>BW12+預測IC!BX12</f>
        <v>0.78784510946921849</v>
      </c>
      <c r="BY12" s="13">
        <f>BX12+預測IC!BY12</f>
        <v>0.75447430913764701</v>
      </c>
      <c r="BZ12" s="13">
        <f>BY12+預測IC!BZ12</f>
        <v>0.79983125482892004</v>
      </c>
      <c r="CA12" s="13">
        <f>BZ12+預測IC!CA12</f>
        <v>0.81441183816225338</v>
      </c>
      <c r="CB12" s="13">
        <f>CA12+預測IC!CB12</f>
        <v>0.81635508029401627</v>
      </c>
      <c r="CC12" s="13">
        <f>CB12+預測IC!CC12</f>
        <v>0.79958411589990597</v>
      </c>
      <c r="CD12" s="13">
        <f>CC12+預測IC!CD12</f>
        <v>0.91051774948435849</v>
      </c>
      <c r="CE12" s="13">
        <f>CD12+預測IC!CE12</f>
        <v>0.92213715792658768</v>
      </c>
      <c r="CF12" s="13">
        <f>CE12+預測IC!CF12</f>
        <v>0.94990474134035985</v>
      </c>
      <c r="CG12" s="13">
        <f>CF12+預測IC!CG12</f>
        <v>0.99176197539042288</v>
      </c>
      <c r="CH12" s="13">
        <f>CG12+預測IC!CH12</f>
        <v>1.0550593477683827</v>
      </c>
      <c r="CI12" s="13">
        <f>CH12+預測IC!CI12</f>
        <v>1.0204034353561771</v>
      </c>
      <c r="CJ12" s="13">
        <f>CI12+預測IC!CJ12</f>
        <v>1.0358486158348659</v>
      </c>
      <c r="CK12" s="13">
        <f>CJ12+預測IC!CK12</f>
        <v>1.0486517599897007</v>
      </c>
      <c r="CL12" s="13">
        <f>CK12+預測IC!CL12</f>
        <v>1.1666673676593111</v>
      </c>
      <c r="CM12" s="13">
        <f>CL12+預測IC!CM12</f>
        <v>1.1514476414919703</v>
      </c>
      <c r="CN12" s="13">
        <f>CM12+預測IC!CN12</f>
        <v>1.124363940277411</v>
      </c>
      <c r="CO12" s="13">
        <f>CN12+預測IC!CO12</f>
        <v>1.0970978133973053</v>
      </c>
      <c r="CP12" s="13">
        <f>CO12+預測IC!CP12</f>
        <v>1.142396834864799</v>
      </c>
      <c r="CQ12" s="13">
        <f>CP12+預測IC!CQ12</f>
        <v>1.1789690297747326</v>
      </c>
      <c r="CR12" s="13">
        <f>CQ12+預測IC!CR12</f>
        <v>1.181086908205385</v>
      </c>
      <c r="CS12" s="13">
        <f>CR12+預測IC!CS12</f>
        <v>1.1658852605183394</v>
      </c>
      <c r="CT12" s="13">
        <f>CS12+預測IC!CT12</f>
        <v>1.1650612244948084</v>
      </c>
      <c r="CU12" s="13">
        <f>CT12+預測IC!CU12</f>
        <v>1.2006849401570037</v>
      </c>
      <c r="CV12" s="13">
        <f>CU12+預測IC!CV12</f>
        <v>1.2087975665325408</v>
      </c>
      <c r="CW12" s="13">
        <f>CV12+預測IC!CW12</f>
        <v>1.214345491277073</v>
      </c>
      <c r="CX12" s="13">
        <f>CW12+預測IC!CX12</f>
        <v>1.2753353738140647</v>
      </c>
      <c r="CY12" s="13">
        <f>CX12+預測IC!CY12</f>
        <v>1.2693524316025742</v>
      </c>
      <c r="CZ12" s="13">
        <f>CY12+預測IC!CZ12</f>
        <v>1.3471447589420749</v>
      </c>
      <c r="DA12" s="13">
        <f>CZ12+預測IC!DA12</f>
        <v>1.3527485430124353</v>
      </c>
      <c r="DB12" s="13">
        <f>DA12+預測IC!DB12</f>
        <v>1.3297666670583084</v>
      </c>
      <c r="DC12" s="13">
        <f>DB12+預測IC!DC12</f>
        <v>1.3637398699330832</v>
      </c>
      <c r="DD12" s="13">
        <f>DC12+預測IC!DD12</f>
        <v>1.3886288479903237</v>
      </c>
      <c r="DE12" s="13">
        <f>DD12+預測IC!DE12</f>
        <v>1.3898269563715449</v>
      </c>
      <c r="DF12" s="13">
        <f>DE12+預測IC!DF12</f>
        <v>1.3829924306355044</v>
      </c>
      <c r="DG12" s="13">
        <f>DF12+預測IC!DG12</f>
        <v>1.3820447216961875</v>
      </c>
      <c r="DH12" s="13">
        <f>DG12+預測IC!DH12</f>
        <v>1.3782220397247549</v>
      </c>
      <c r="DI12" s="13">
        <f>DH12+預測IC!DI12</f>
        <v>1.3237788667326225</v>
      </c>
      <c r="DJ12" s="13">
        <f>DI12+預測IC!DJ12</f>
        <v>1.3318414649873929</v>
      </c>
      <c r="DK12" s="13">
        <f>DJ12+預測IC!DK12</f>
        <v>1.3158955118603766</v>
      </c>
      <c r="DL12" s="13">
        <f>DK12+預測IC!DL12</f>
        <v>1.3155408358377327</v>
      </c>
      <c r="DM12" s="13">
        <f>DL12+預測IC!DM12</f>
        <v>1.3107004865926528</v>
      </c>
      <c r="DN12" s="13">
        <f>DM12+預測IC!DN12</f>
        <v>1.3531108519787176</v>
      </c>
      <c r="DO12" s="13">
        <f>DN12+預測IC!DO12</f>
        <v>1.3757105856590464</v>
      </c>
      <c r="DP12" s="13">
        <f>DO12+預測IC!DP12</f>
        <v>1.4082950352593435</v>
      </c>
      <c r="DQ12" s="13">
        <f>DP12+預測IC!DQ12</f>
        <v>1.3855251703503075</v>
      </c>
      <c r="DR12" s="13">
        <f>DQ12+預測IC!DR12</f>
        <v>1.4043041136296945</v>
      </c>
      <c r="DS12" s="13">
        <f>DR12+預測IC!DS12</f>
        <v>1.3685779581779967</v>
      </c>
      <c r="DT12" s="13">
        <f>DS12+預測IC!DT12</f>
        <v>1.3232800747835962</v>
      </c>
      <c r="DU12" s="13">
        <f>DT12+預測IC!DU12</f>
        <v>1.3370327228699788</v>
      </c>
      <c r="DV12" s="13">
        <f>DU12+預測IC!DV12</f>
        <v>1.3855835473475095</v>
      </c>
      <c r="DW12" s="13">
        <f>DV12+預測IC!DW12</f>
        <v>1.4293091115675469</v>
      </c>
      <c r="DX12" s="13">
        <f>DW12+預測IC!DX12</f>
        <v>1.3791570310251853</v>
      </c>
      <c r="DY12" s="13">
        <f>DX12+預測IC!DY12</f>
        <v>1.3945143011436802</v>
      </c>
      <c r="DZ12" s="13">
        <f>DY12+預測IC!DZ12</f>
        <v>1.3903785756635028</v>
      </c>
      <c r="EA12" s="13">
        <f>DZ12+預測IC!EA12</f>
        <v>1.4543825169866997</v>
      </c>
      <c r="EB12" s="13">
        <f>EA12+預測IC!EB12</f>
        <v>1.4572108437615525</v>
      </c>
      <c r="EC12" s="13">
        <f>EB12+預測IC!EC12</f>
        <v>1.4838623533412179</v>
      </c>
      <c r="ED12" s="13">
        <f>EC12+預測IC!ED12</f>
        <v>1.4233542005327338</v>
      </c>
      <c r="EE12" s="13">
        <f>ED12+預測IC!EE12</f>
        <v>1.4352712968052213</v>
      </c>
      <c r="EF12" s="13">
        <f>EE12+預測IC!EF12</f>
        <v>1.4745046448440169</v>
      </c>
    </row>
    <row r="13" spans="1:136">
      <c r="A13" s="2">
        <v>20</v>
      </c>
      <c r="B13" s="2">
        <v>48</v>
      </c>
      <c r="C13" s="13">
        <v>4.2506117601795589E-2</v>
      </c>
      <c r="D13" s="13">
        <f>C13+預測IC!D13</f>
        <v>0.16625122176846219</v>
      </c>
      <c r="E13" s="13">
        <f>D13+預測IC!E13</f>
        <v>0.13175460227710914</v>
      </c>
      <c r="F13" s="13">
        <f>E13+預測IC!F13</f>
        <v>0.12029978977710915</v>
      </c>
      <c r="G13" s="13">
        <f>F13+預測IC!G13</f>
        <v>0.10539181001980576</v>
      </c>
      <c r="H13" s="13">
        <f>G13+預測IC!H13</f>
        <v>0.13538216418647242</v>
      </c>
      <c r="I13" s="13">
        <f>H13+預測IC!I13</f>
        <v>0.16451270585313907</v>
      </c>
      <c r="J13" s="13">
        <f>I13+預測IC!J13</f>
        <v>0.12061389335313905</v>
      </c>
      <c r="K13" s="13">
        <f>J13+預測IC!K13</f>
        <v>7.5282903110920035E-2</v>
      </c>
      <c r="L13" s="13">
        <f>K13+預測IC!L13</f>
        <v>4.6147234073474569E-2</v>
      </c>
      <c r="M13" s="13">
        <f>L13+預測IC!M13</f>
        <v>7.1834525740141236E-2</v>
      </c>
      <c r="N13" s="13">
        <f>M13+預測IC!N13</f>
        <v>0.17164125490680793</v>
      </c>
      <c r="O13" s="13">
        <f>N13+預測IC!O13</f>
        <v>0.21143062990680792</v>
      </c>
      <c r="P13" s="13">
        <f>O13+預測IC!P13</f>
        <v>0.22822277574014124</v>
      </c>
      <c r="Q13" s="13">
        <f>P13+預測IC!Q13</f>
        <v>0.30144779657347454</v>
      </c>
      <c r="R13" s="13">
        <f>Q13+預測IC!R13</f>
        <v>0.31560762990680785</v>
      </c>
      <c r="S13" s="13">
        <f>R13+預測IC!S13</f>
        <v>0.30336431740680786</v>
      </c>
      <c r="T13" s="13">
        <f>S13+預測IC!T13</f>
        <v>0.28125983824014122</v>
      </c>
      <c r="U13" s="13">
        <f>T13+預測IC!U13</f>
        <v>0.28285615074014125</v>
      </c>
      <c r="V13" s="13">
        <f>U13+預測IC!V13</f>
        <v>0.26276202574014129</v>
      </c>
      <c r="W13" s="13">
        <f>V13+預測IC!W13</f>
        <v>0.33823842157347461</v>
      </c>
      <c r="X13" s="13">
        <f>W13+預測IC!X13</f>
        <v>0.39151487990680794</v>
      </c>
      <c r="Y13" s="13">
        <f>X13+預測IC!Y13</f>
        <v>0.40543525490680793</v>
      </c>
      <c r="Z13" s="13">
        <f>Y13+預測IC!Z13</f>
        <v>0.42601917157347458</v>
      </c>
      <c r="AA13" s="13">
        <f>Z13+預測IC!AA13</f>
        <v>0.39389966123500331</v>
      </c>
      <c r="AB13" s="13">
        <f>AA13+預測IC!AB13</f>
        <v>0.37786368206833665</v>
      </c>
      <c r="AC13" s="13">
        <f>AB13+預測IC!AC13</f>
        <v>0.38589495290166997</v>
      </c>
      <c r="AD13" s="13">
        <f>AC13+預測IC!AD13</f>
        <v>0.37931590769912921</v>
      </c>
      <c r="AE13" s="13">
        <f>AD13+預測IC!AE13</f>
        <v>0.3135964285324625</v>
      </c>
      <c r="AF13" s="13">
        <f>AE13+預測IC!AF13</f>
        <v>0.28165596469816129</v>
      </c>
      <c r="AG13" s="13">
        <f>AF13+預測IC!AG13</f>
        <v>0.28493842303149464</v>
      </c>
      <c r="AH13" s="13">
        <f>AG13+預測IC!AH13</f>
        <v>0.27529708379197826</v>
      </c>
      <c r="AI13" s="13">
        <f>AH13+預測IC!AI13</f>
        <v>0.29520712545864491</v>
      </c>
      <c r="AJ13" s="13">
        <f>AI13+預測IC!AJ13</f>
        <v>0.31509304212531158</v>
      </c>
      <c r="AK13" s="13">
        <f>AJ13+預測IC!AK13</f>
        <v>0.31841200045864493</v>
      </c>
      <c r="AL13" s="13">
        <f>AK13+預測IC!AL13</f>
        <v>0.34156342905381598</v>
      </c>
      <c r="AM13" s="13">
        <f>AL13+預測IC!AM13</f>
        <v>0.3878458725906449</v>
      </c>
      <c r="AN13" s="13">
        <f>AM13+預測IC!AN13</f>
        <v>0.493176110726679</v>
      </c>
      <c r="AO13" s="13">
        <f>AN13+預測IC!AO13</f>
        <v>0.50248729862609398</v>
      </c>
      <c r="AP13" s="13">
        <f>AO13+預測IC!AP13</f>
        <v>0.49589948612609397</v>
      </c>
      <c r="AQ13" s="13">
        <f>AP13+預測IC!AQ13</f>
        <v>0.48985019735719426</v>
      </c>
      <c r="AR13" s="13">
        <f>AQ13+預測IC!AR13</f>
        <v>0.50053938289312994</v>
      </c>
      <c r="AS13" s="13">
        <f>AR13+預測IC!AS13</f>
        <v>0.54185250137736407</v>
      </c>
      <c r="AT13" s="13">
        <f>AS13+預測IC!AT13</f>
        <v>0.58231558923180382</v>
      </c>
      <c r="AU13" s="13">
        <f>AT13+預測IC!AU13</f>
        <v>0.62329171570778263</v>
      </c>
      <c r="AV13" s="13">
        <f>AU13+預測IC!AV13</f>
        <v>0.61381624306822957</v>
      </c>
      <c r="AW13" s="13">
        <f>AV13+預測IC!AW13</f>
        <v>0.617896256651293</v>
      </c>
      <c r="AX13" s="13">
        <f>AW13+預測IC!AX13</f>
        <v>0.60601563165129302</v>
      </c>
      <c r="AY13" s="13">
        <f>AX13+預測IC!AY13</f>
        <v>0.62357997799991793</v>
      </c>
      <c r="AZ13" s="13">
        <f>AY13+預測IC!AZ13</f>
        <v>0.61547651053041852</v>
      </c>
      <c r="BA13" s="13">
        <f>AZ13+預測IC!BA13</f>
        <v>0.6220174481374795</v>
      </c>
      <c r="BB13" s="13">
        <f>BA13+預測IC!BB13</f>
        <v>0.66489282263429039</v>
      </c>
      <c r="BC13" s="13">
        <f>BB13+預測IC!BC13</f>
        <v>0.67617658974594808</v>
      </c>
      <c r="BD13" s="13">
        <f>BC13+預測IC!BD13</f>
        <v>0.67952101812962939</v>
      </c>
      <c r="BE13" s="13">
        <f>BD13+預測IC!BE13</f>
        <v>0.70691282443527093</v>
      </c>
      <c r="BF13" s="13">
        <f>BE13+預測IC!BF13</f>
        <v>0.79084223974276768</v>
      </c>
      <c r="BG13" s="13">
        <f>BF13+預測IC!BG13</f>
        <v>0.83740870208147933</v>
      </c>
      <c r="BH13" s="13">
        <f>BG13+預測IC!BH13</f>
        <v>0.84588443189309837</v>
      </c>
      <c r="BI13" s="13">
        <f>BH13+預測IC!BI13</f>
        <v>0.89829356434979979</v>
      </c>
      <c r="BJ13" s="13">
        <f>BI13+預測IC!BJ13</f>
        <v>0.88144647835953494</v>
      </c>
      <c r="BK13" s="13">
        <f>BJ13+預測IC!BK13</f>
        <v>0.86305545347978552</v>
      </c>
      <c r="BL13" s="13">
        <f>BK13+預測IC!BL13</f>
        <v>0.89500331369296071</v>
      </c>
      <c r="BM13" s="13">
        <f>BL13+預測IC!BM13</f>
        <v>0.91192192931184235</v>
      </c>
      <c r="BN13" s="13">
        <f>BM13+預測IC!BN13</f>
        <v>0.92297447118711862</v>
      </c>
      <c r="BO13" s="13">
        <f>BN13+預測IC!BO13</f>
        <v>0.95385318742059277</v>
      </c>
      <c r="BP13" s="13">
        <f>BO13+預測IC!BP13</f>
        <v>0.96328588311524432</v>
      </c>
      <c r="BQ13" s="13">
        <f>BP13+預測IC!BQ13</f>
        <v>1.0049389469046701</v>
      </c>
      <c r="BR13" s="13">
        <f>BQ13+預測IC!BR13</f>
        <v>0.99825752942111268</v>
      </c>
      <c r="BS13" s="13">
        <f>BR13+預測IC!BS13</f>
        <v>1.0056770012613323</v>
      </c>
      <c r="BT13" s="13">
        <f>BS13+預測IC!BT13</f>
        <v>1.0440205068778052</v>
      </c>
      <c r="BU13" s="13">
        <f>BT13+預測IC!BU13</f>
        <v>1.0617270619143591</v>
      </c>
      <c r="BV13" s="13">
        <f>BU13+預測IC!BV13</f>
        <v>1.0823806587905678</v>
      </c>
      <c r="BW13" s="13">
        <f>BV13+預測IC!BW13</f>
        <v>1.0841438966012449</v>
      </c>
      <c r="BX13" s="13">
        <f>BW13+預測IC!BX13</f>
        <v>1.1052219641252714</v>
      </c>
      <c r="BY13" s="13">
        <f>BX13+預測IC!BY13</f>
        <v>1.090709566454781</v>
      </c>
      <c r="BZ13" s="13">
        <f>BY13+預測IC!BZ13</f>
        <v>1.1668476895138311</v>
      </c>
      <c r="CA13" s="13">
        <f>BZ13+預測IC!CA13</f>
        <v>1.190859877013831</v>
      </c>
      <c r="CB13" s="13">
        <f>CA13+預測IC!CB13</f>
        <v>1.1842640502886108</v>
      </c>
      <c r="CC13" s="13">
        <f>CB13+預測IC!CC13</f>
        <v>1.1717331380759775</v>
      </c>
      <c r="CD13" s="13">
        <f>CC13+預測IC!CD13</f>
        <v>1.2768189709683049</v>
      </c>
      <c r="CE13" s="13">
        <f>CD13+預測IC!CE13</f>
        <v>1.2860399552937187</v>
      </c>
      <c r="CF13" s="13">
        <f>CE13+預測IC!CF13</f>
        <v>1.330554222018788</v>
      </c>
      <c r="CG13" s="13">
        <f>CF13+預測IC!CG13</f>
        <v>1.3710032849877432</v>
      </c>
      <c r="CH13" s="13">
        <f>CG13+預測IC!CH13</f>
        <v>1.4293378968149504</v>
      </c>
      <c r="CI13" s="13">
        <f>CH13+預測IC!CI13</f>
        <v>1.377484387680687</v>
      </c>
      <c r="CJ13" s="13">
        <f>CI13+預測IC!CJ13</f>
        <v>1.3743782997087359</v>
      </c>
      <c r="CK13" s="13">
        <f>CJ13+預測IC!CK13</f>
        <v>1.4064235689451998</v>
      </c>
      <c r="CL13" s="13">
        <f>CK13+預測IC!CL13</f>
        <v>1.4878769350473806</v>
      </c>
      <c r="CM13" s="13">
        <f>CL13+預測IC!CM13</f>
        <v>1.4775801312909855</v>
      </c>
      <c r="CN13" s="13">
        <f>CM13+預測IC!CN13</f>
        <v>1.4506925652921332</v>
      </c>
      <c r="CO13" s="13">
        <f>CN13+預測IC!CO13</f>
        <v>1.4372351067289058</v>
      </c>
      <c r="CP13" s="13">
        <f>CO13+預測IC!CP13</f>
        <v>1.50696164700664</v>
      </c>
      <c r="CQ13" s="13">
        <f>CP13+預測IC!CQ13</f>
        <v>1.5451465972027998</v>
      </c>
      <c r="CR13" s="13">
        <f>CQ13+預測IC!CR13</f>
        <v>1.5534263782004483</v>
      </c>
      <c r="CS13" s="13">
        <f>CR13+預測IC!CS13</f>
        <v>1.5642594293157228</v>
      </c>
      <c r="CT13" s="13">
        <f>CS13+預測IC!CT13</f>
        <v>1.5723302286321015</v>
      </c>
      <c r="CU13" s="13">
        <f>CT13+預測IC!CU13</f>
        <v>1.6094916309144127</v>
      </c>
      <c r="CV13" s="13">
        <f>CU13+預測IC!CV13</f>
        <v>1.6065383187411548</v>
      </c>
      <c r="CW13" s="13">
        <f>CV13+預測IC!CW13</f>
        <v>1.6125153495974009</v>
      </c>
      <c r="CX13" s="13">
        <f>CW13+預測IC!CX13</f>
        <v>1.672548604837454</v>
      </c>
      <c r="CY13" s="13">
        <f>CX13+預測IC!CY13</f>
        <v>1.6594298647224415</v>
      </c>
      <c r="CZ13" s="13">
        <f>CY13+預測IC!CZ13</f>
        <v>1.7166540850759267</v>
      </c>
      <c r="DA13" s="13">
        <f>CZ13+預測IC!DA13</f>
        <v>1.7110704081501054</v>
      </c>
      <c r="DB13" s="13">
        <f>DA13+預測IC!DB13</f>
        <v>1.6693088384333208</v>
      </c>
      <c r="DC13" s="13">
        <f>DB13+預測IC!DC13</f>
        <v>1.6990844043116138</v>
      </c>
      <c r="DD13" s="13">
        <f>DC13+預測IC!DD13</f>
        <v>1.7097820049123496</v>
      </c>
      <c r="DE13" s="13">
        <f>DD13+預測IC!DE13</f>
        <v>1.7157109620384245</v>
      </c>
      <c r="DF13" s="13">
        <f>DE13+預測IC!DF13</f>
        <v>1.6871921652447899</v>
      </c>
      <c r="DG13" s="13">
        <f>DF13+預測IC!DG13</f>
        <v>1.6855615080719</v>
      </c>
      <c r="DH13" s="13">
        <f>DG13+預測IC!DH13</f>
        <v>1.696857275953815</v>
      </c>
      <c r="DI13" s="13">
        <f>DH13+預測IC!DI13</f>
        <v>1.6508802508591383</v>
      </c>
      <c r="DJ13" s="13">
        <f>DI13+預測IC!DJ13</f>
        <v>1.6475484946796275</v>
      </c>
      <c r="DK13" s="13">
        <f>DJ13+預測IC!DK13</f>
        <v>1.6599575688982551</v>
      </c>
      <c r="DL13" s="13">
        <f>DK13+預測IC!DL13</f>
        <v>1.6436573224069406</v>
      </c>
      <c r="DM13" s="13">
        <f>DL13+預測IC!DM13</f>
        <v>1.6369984533584967</v>
      </c>
      <c r="DN13" s="13">
        <f>DM13+預測IC!DN13</f>
        <v>1.6484980312810098</v>
      </c>
      <c r="DO13" s="13">
        <f>DN13+預測IC!DO13</f>
        <v>1.6953894436691415</v>
      </c>
      <c r="DP13" s="13">
        <f>DO13+預測IC!DP13</f>
        <v>1.7441760795254109</v>
      </c>
      <c r="DQ13" s="13">
        <f>DP13+預測IC!DQ13</f>
        <v>1.7177459981082821</v>
      </c>
      <c r="DR13" s="13">
        <f>DQ13+預測IC!DR13</f>
        <v>1.731517207380594</v>
      </c>
      <c r="DS13" s="13">
        <f>DR13+預測IC!DS13</f>
        <v>1.6926295795409241</v>
      </c>
      <c r="DT13" s="13">
        <f>DS13+預測IC!DT13</f>
        <v>1.6572032784932593</v>
      </c>
      <c r="DU13" s="13">
        <f>DT13+預測IC!DU13</f>
        <v>1.675908442130404</v>
      </c>
      <c r="DV13" s="13">
        <f>DU13+預測IC!DV13</f>
        <v>1.7555285861545926</v>
      </c>
      <c r="DW13" s="13">
        <f>DV13+預測IC!DW13</f>
        <v>1.7999463757789429</v>
      </c>
      <c r="DX13" s="13">
        <f>DW13+預測IC!DX13</f>
        <v>1.7354229962004468</v>
      </c>
      <c r="DY13" s="13">
        <f>DX13+預測IC!DY13</f>
        <v>1.7708090408542803</v>
      </c>
      <c r="DZ13" s="13">
        <f>DY13+預測IC!DZ13</f>
        <v>1.756200226367062</v>
      </c>
      <c r="EA13" s="13">
        <f>DZ13+預測IC!EA13</f>
        <v>1.829443095409744</v>
      </c>
      <c r="EB13" s="13">
        <f>EA13+預測IC!EB13</f>
        <v>1.8508163136091305</v>
      </c>
      <c r="EC13" s="13">
        <f>EB13+預測IC!EC13</f>
        <v>1.8924760670443594</v>
      </c>
      <c r="ED13" s="13">
        <f>EC13+預測IC!ED13</f>
        <v>1.8267939733851244</v>
      </c>
      <c r="EE13" s="13">
        <f>ED13+預測IC!EE13</f>
        <v>1.8347465669600889</v>
      </c>
      <c r="EF13" s="13">
        <f>EE13+預測IC!EF13</f>
        <v>1.9013237823236451</v>
      </c>
    </row>
    <row r="14" spans="1:136">
      <c r="A14" s="2">
        <v>50</v>
      </c>
      <c r="B14" s="2">
        <v>19</v>
      </c>
      <c r="C14" s="13">
        <v>-3.7017512404591897E-2</v>
      </c>
      <c r="D14" s="13">
        <f>C14+預測IC!D14</f>
        <v>0.18529127706909232</v>
      </c>
      <c r="E14" s="13">
        <f>D14+預測IC!E14</f>
        <v>0.13776533380183631</v>
      </c>
      <c r="F14" s="13">
        <f>E14+預測IC!F14</f>
        <v>0.1723085443281521</v>
      </c>
      <c r="G14" s="13">
        <f>F14+預測IC!G14</f>
        <v>0.13128862783022666</v>
      </c>
      <c r="H14" s="13">
        <f>G14+預測IC!H14</f>
        <v>0.19087757519864768</v>
      </c>
      <c r="I14" s="13">
        <f>H14+預測IC!I14</f>
        <v>0.26799257519864766</v>
      </c>
      <c r="J14" s="13">
        <f>I14+預測IC!J14</f>
        <v>0.16289899625127927</v>
      </c>
      <c r="K14" s="13">
        <f>J14+預測IC!K14</f>
        <v>2.8720292537225772E-2</v>
      </c>
      <c r="L14" s="13">
        <f>K14+預測IC!L14</f>
        <v>3.3567489724932578E-2</v>
      </c>
      <c r="M14" s="13">
        <f>L14+預測IC!M14</f>
        <v>-4.238387869612005E-2</v>
      </c>
      <c r="N14" s="13">
        <f>M14+預測IC!N14</f>
        <v>0.16244880551440627</v>
      </c>
      <c r="O14" s="13">
        <f>N14+預測IC!O14</f>
        <v>0.20209117393545889</v>
      </c>
      <c r="P14" s="13">
        <f>O14+預測IC!P14</f>
        <v>0.24987112130387992</v>
      </c>
      <c r="Q14" s="13">
        <f>P14+預測IC!Q14</f>
        <v>0.30811017393545886</v>
      </c>
      <c r="R14" s="13">
        <f>Q14+預測IC!R14</f>
        <v>0.29395848972493255</v>
      </c>
      <c r="S14" s="13">
        <f>R14+預測IC!S14</f>
        <v>0.33249375288282729</v>
      </c>
      <c r="T14" s="13">
        <f>S14+預測IC!T14</f>
        <v>0.315132016040722</v>
      </c>
      <c r="U14" s="13">
        <f>T14+預測IC!U14</f>
        <v>0.35171027919861675</v>
      </c>
      <c r="V14" s="13">
        <f>U14+預測IC!V14</f>
        <v>0.31333596340914305</v>
      </c>
      <c r="W14" s="13">
        <f>V14+預測IC!W14</f>
        <v>0.42950133183019568</v>
      </c>
      <c r="X14" s="13">
        <f>W14+預測IC!X14</f>
        <v>0.48308312130387987</v>
      </c>
      <c r="Y14" s="13">
        <f>X14+預測IC!Y14</f>
        <v>0.46631954235651146</v>
      </c>
      <c r="Z14" s="13">
        <f>Y14+預測IC!Z14</f>
        <v>0.48757154235651146</v>
      </c>
      <c r="AA14" s="13">
        <f>Z14+預測IC!AA14</f>
        <v>0.44812136205442926</v>
      </c>
      <c r="AB14" s="13">
        <f>AA14+預測IC!AB14</f>
        <v>0.37313873047548191</v>
      </c>
      <c r="AC14" s="13">
        <f>AB14+預測IC!AC14</f>
        <v>0.34384609889653456</v>
      </c>
      <c r="AD14" s="13">
        <f>AC14+預測IC!AD14</f>
        <v>0.3567662055077529</v>
      </c>
      <c r="AE14" s="13">
        <f>AD14+預測IC!AE14</f>
        <v>0.35274715287617397</v>
      </c>
      <c r="AF14" s="13">
        <f>AE14+預測IC!AF14</f>
        <v>0.31232645033377487</v>
      </c>
      <c r="AG14" s="13">
        <f>AF14+預測IC!AG14</f>
        <v>0.31871702928114332</v>
      </c>
      <c r="AH14" s="13">
        <f>AG14+預測IC!AH14</f>
        <v>0.31346675135063728</v>
      </c>
      <c r="AI14" s="13">
        <f>AH14+預測IC!AI14</f>
        <v>0.32443206714011097</v>
      </c>
      <c r="AJ14" s="13">
        <f>AI14+預測IC!AJ14</f>
        <v>0.42072675135063731</v>
      </c>
      <c r="AK14" s="13">
        <f>AJ14+預測IC!AK14</f>
        <v>0.40921733029800572</v>
      </c>
      <c r="AL14" s="13">
        <f>AK14+預測IC!AL14</f>
        <v>0.44718652002046644</v>
      </c>
      <c r="AM14" s="13">
        <f>AL14+預測IC!AM14</f>
        <v>0.50842868639909167</v>
      </c>
      <c r="AN14" s="13">
        <f>AM14+預測IC!AN14</f>
        <v>0.60702335316863543</v>
      </c>
      <c r="AO14" s="13">
        <f>AN14+預測IC!AO14</f>
        <v>0.66792905863404539</v>
      </c>
      <c r="AP14" s="13">
        <f>AO14+預測IC!AP14</f>
        <v>0.67498421652878227</v>
      </c>
      <c r="AQ14" s="13">
        <f>AP14+預測IC!AQ14</f>
        <v>0.67461624879102233</v>
      </c>
      <c r="AR14" s="13">
        <f>AQ14+預測IC!AR14</f>
        <v>0.71226208855328521</v>
      </c>
      <c r="AS14" s="13">
        <f>AR14+預測IC!AS14</f>
        <v>0.79763907450633198</v>
      </c>
      <c r="AT14" s="13">
        <f>AS14+預測IC!AT14</f>
        <v>0.83214565419147646</v>
      </c>
      <c r="AU14" s="13">
        <f>AT14+預測IC!AU14</f>
        <v>0.87213730319478033</v>
      </c>
      <c r="AV14" s="13">
        <f>AU14+預測IC!AV14</f>
        <v>0.85345441776116315</v>
      </c>
      <c r="AW14" s="13">
        <f>AV14+預測IC!AW14</f>
        <v>0.83509148625520568</v>
      </c>
      <c r="AX14" s="13">
        <f>AW14+預測IC!AX14</f>
        <v>0.83591385467625834</v>
      </c>
      <c r="AY14" s="13">
        <f>AX14+預測IC!AY14</f>
        <v>0.85098197344801985</v>
      </c>
      <c r="AZ14" s="13">
        <f>AY14+預測IC!AZ14</f>
        <v>0.79763340427586382</v>
      </c>
      <c r="BA14" s="13">
        <f>AZ14+預測IC!BA14</f>
        <v>0.81525504982010699</v>
      </c>
      <c r="BB14" s="13">
        <f>BA14+預測IC!BB14</f>
        <v>0.87698933182178185</v>
      </c>
      <c r="BC14" s="13">
        <f>BB14+預測IC!BC14</f>
        <v>0.86716833286650441</v>
      </c>
      <c r="BD14" s="13">
        <f>BC14+預測IC!BD14</f>
        <v>0.91049611453390988</v>
      </c>
      <c r="BE14" s="13">
        <f>BD14+預測IC!BE14</f>
        <v>0.95428317706939692</v>
      </c>
      <c r="BF14" s="13">
        <f>BE14+預測IC!BF14</f>
        <v>0.99505369861508675</v>
      </c>
      <c r="BG14" s="13">
        <f>BF14+預測IC!BG14</f>
        <v>1.0364279626890196</v>
      </c>
      <c r="BH14" s="13">
        <f>BG14+預測IC!BH14</f>
        <v>1.0417707182576204</v>
      </c>
      <c r="BI14" s="13">
        <f>BH14+預測IC!BI14</f>
        <v>1.0919559311484741</v>
      </c>
      <c r="BJ14" s="13">
        <f>BI14+預測IC!BJ14</f>
        <v>1.0719387074772408</v>
      </c>
      <c r="BK14" s="13">
        <f>BJ14+預測IC!BK14</f>
        <v>1.0663449558201681</v>
      </c>
      <c r="BL14" s="13">
        <f>BK14+預測IC!BL14</f>
        <v>1.1260827226625385</v>
      </c>
      <c r="BM14" s="13">
        <f>BL14+預測IC!BM14</f>
        <v>1.1653399378689655</v>
      </c>
      <c r="BN14" s="13">
        <f>BM14+預測IC!BN14</f>
        <v>1.186276475941517</v>
      </c>
      <c r="BO14" s="13">
        <f>BN14+預測IC!BO14</f>
        <v>1.2198855216187814</v>
      </c>
      <c r="BP14" s="13">
        <f>BO14+預測IC!BP14</f>
        <v>1.2355592551117405</v>
      </c>
      <c r="BQ14" s="13">
        <f>BP14+預測IC!BQ14</f>
        <v>1.2514027789816913</v>
      </c>
      <c r="BR14" s="13">
        <f>BQ14+預測IC!BR14</f>
        <v>1.2234733494490733</v>
      </c>
      <c r="BS14" s="13">
        <f>BR14+預測IC!BS14</f>
        <v>1.1819793943044954</v>
      </c>
      <c r="BT14" s="13">
        <f>BS14+預測IC!BT14</f>
        <v>1.2559923566408067</v>
      </c>
      <c r="BU14" s="13">
        <f>BT14+預測IC!BU14</f>
        <v>1.2471375212827758</v>
      </c>
      <c r="BV14" s="13">
        <f>BU14+預測IC!BV14</f>
        <v>1.2728647032992031</v>
      </c>
      <c r="BW14" s="13">
        <f>BV14+預測IC!BW14</f>
        <v>1.2853726515567965</v>
      </c>
      <c r="BX14" s="13">
        <f>BW14+預測IC!BX14</f>
        <v>1.3403434116787496</v>
      </c>
      <c r="BY14" s="13">
        <f>BX14+預測IC!BY14</f>
        <v>1.3337471183137846</v>
      </c>
      <c r="BZ14" s="13">
        <f>BY14+預測IC!BZ14</f>
        <v>1.3937811751425668</v>
      </c>
      <c r="CA14" s="13">
        <f>BZ14+預測IC!CA14</f>
        <v>1.4272358067215143</v>
      </c>
      <c r="CB14" s="13">
        <f>CA14+預測IC!CB14</f>
        <v>1.4493634232636892</v>
      </c>
      <c r="CC14" s="13">
        <f>CB14+預測IC!CC14</f>
        <v>1.4365693424785106</v>
      </c>
      <c r="CD14" s="13">
        <f>CC14+預測IC!CD14</f>
        <v>1.5345860524107084</v>
      </c>
      <c r="CE14" s="13">
        <f>CD14+預測IC!CE14</f>
        <v>1.4624293331990106</v>
      </c>
      <c r="CF14" s="13">
        <f>CE14+預測IC!CF14</f>
        <v>1.5547600164810722</v>
      </c>
      <c r="CG14" s="13">
        <f>CF14+預測IC!CG14</f>
        <v>1.6078270447769112</v>
      </c>
      <c r="CH14" s="13">
        <f>CG14+預測IC!CH14</f>
        <v>1.6724884370551283</v>
      </c>
      <c r="CI14" s="13">
        <f>CH14+預測IC!CI14</f>
        <v>1.5666036596917694</v>
      </c>
      <c r="CJ14" s="13">
        <f>CI14+預測IC!CJ14</f>
        <v>1.5379358047475948</v>
      </c>
      <c r="CK14" s="13">
        <f>CJ14+預測IC!CK14</f>
        <v>1.551952169138241</v>
      </c>
      <c r="CL14" s="13">
        <f>CK14+預測IC!CL14</f>
        <v>1.6142221240170775</v>
      </c>
      <c r="CM14" s="13">
        <f>CL14+預測IC!CM14</f>
        <v>1.6462621343853947</v>
      </c>
      <c r="CN14" s="13">
        <f>CM14+預測IC!CN14</f>
        <v>1.6232354457144686</v>
      </c>
      <c r="CO14" s="13">
        <f>CN14+預測IC!CO14</f>
        <v>1.5496477256755756</v>
      </c>
      <c r="CP14" s="13">
        <f>CO14+預測IC!CP14</f>
        <v>1.6494570571573284</v>
      </c>
      <c r="CQ14" s="13">
        <f>CP14+預測IC!CQ14</f>
        <v>1.7026686852490029</v>
      </c>
      <c r="CR14" s="13">
        <f>CQ14+預測IC!CR14</f>
        <v>1.7585778228735043</v>
      </c>
      <c r="CS14" s="13">
        <f>CR14+預測IC!CS14</f>
        <v>1.8176049431371599</v>
      </c>
      <c r="CT14" s="13">
        <f>CS14+預測IC!CT14</f>
        <v>1.8367055196878448</v>
      </c>
      <c r="CU14" s="13">
        <f>CT14+預測IC!CU14</f>
        <v>1.7927884169906301</v>
      </c>
      <c r="CV14" s="13">
        <f>CU14+預測IC!CV14</f>
        <v>1.8155341321288854</v>
      </c>
      <c r="CW14" s="13">
        <f>CV14+預測IC!CW14</f>
        <v>1.8121357496654147</v>
      </c>
      <c r="CX14" s="13">
        <f>CW14+預測IC!CX14</f>
        <v>1.8484351585536538</v>
      </c>
      <c r="CY14" s="13">
        <f>CX14+預測IC!CY14</f>
        <v>1.8196760382621795</v>
      </c>
      <c r="CZ14" s="13">
        <f>CY14+預測IC!CZ14</f>
        <v>1.8837396016125629</v>
      </c>
      <c r="DA14" s="13">
        <f>CZ14+預測IC!DA14</f>
        <v>1.8594353124419785</v>
      </c>
      <c r="DB14" s="13">
        <f>DA14+預測IC!DB14</f>
        <v>1.8358742392537877</v>
      </c>
      <c r="DC14" s="13">
        <f>DB14+預測IC!DC14</f>
        <v>1.8595068484586352</v>
      </c>
      <c r="DD14" s="13">
        <f>DC14+預測IC!DD14</f>
        <v>1.8427482986662187</v>
      </c>
      <c r="DE14" s="13">
        <f>DD14+預測IC!DE14</f>
        <v>1.8481325982739831</v>
      </c>
      <c r="DF14" s="13">
        <f>DE14+預測IC!DF14</f>
        <v>1.8122759677169207</v>
      </c>
      <c r="DG14" s="13">
        <f>DF14+預測IC!DG14</f>
        <v>1.8237225241102379</v>
      </c>
      <c r="DH14" s="13">
        <f>DG14+預測IC!DH14</f>
        <v>1.8284973613531494</v>
      </c>
      <c r="DI14" s="13">
        <f>DH14+預測IC!DI14</f>
        <v>1.7698995416442325</v>
      </c>
      <c r="DJ14" s="13">
        <f>DI14+預測IC!DJ14</f>
        <v>1.7709232659115299</v>
      </c>
      <c r="DK14" s="13">
        <f>DJ14+預測IC!DK14</f>
        <v>1.7899943290291858</v>
      </c>
      <c r="DL14" s="13">
        <f>DK14+預測IC!DL14</f>
        <v>1.7748291674742973</v>
      </c>
      <c r="DM14" s="13">
        <f>DL14+預測IC!DM14</f>
        <v>1.7803334365679477</v>
      </c>
      <c r="DN14" s="13">
        <f>DM14+預測IC!DN14</f>
        <v>1.8229959324612119</v>
      </c>
      <c r="DO14" s="13">
        <f>DN14+預測IC!DO14</f>
        <v>1.8643715776240093</v>
      </c>
      <c r="DP14" s="13">
        <f>DO14+預測IC!DP14</f>
        <v>1.9079112939816614</v>
      </c>
      <c r="DQ14" s="13">
        <f>DP14+預測IC!DQ14</f>
        <v>1.8185434339408495</v>
      </c>
      <c r="DR14" s="13">
        <f>DQ14+預測IC!DR14</f>
        <v>1.871165953399849</v>
      </c>
      <c r="DS14" s="13">
        <f>DR14+預測IC!DS14</f>
        <v>1.8361210471289322</v>
      </c>
      <c r="DT14" s="13">
        <f>DS14+預測IC!DT14</f>
        <v>1.791604093531477</v>
      </c>
      <c r="DU14" s="13">
        <f>DT14+預測IC!DU14</f>
        <v>1.7466891449124951</v>
      </c>
      <c r="DV14" s="13">
        <f>DU14+預測IC!DV14</f>
        <v>1.8549514994426024</v>
      </c>
      <c r="DW14" s="13">
        <f>DV14+預測IC!DW14</f>
        <v>1.9532958664603801</v>
      </c>
      <c r="DX14" s="13">
        <f>DW14+預測IC!DX14</f>
        <v>1.8513643609079591</v>
      </c>
      <c r="DY14" s="13">
        <f>DX14+預測IC!DY14</f>
        <v>1.8893614408548076</v>
      </c>
      <c r="DZ14" s="13">
        <f>DY14+預測IC!DZ14</f>
        <v>1.8674798675363453</v>
      </c>
      <c r="EA14" s="13">
        <f>DZ14+預測IC!EA14</f>
        <v>1.9455851334242815</v>
      </c>
      <c r="EB14" s="13">
        <f>EA14+預測IC!EB14</f>
        <v>1.9787624665368724</v>
      </c>
      <c r="EC14" s="13">
        <f>EB14+預測IC!EC14</f>
        <v>1.9848418486850055</v>
      </c>
      <c r="ED14" s="13">
        <f>EC14+預測IC!ED14</f>
        <v>1.8822121394988185</v>
      </c>
      <c r="EE14" s="13">
        <f>ED14+預測IC!EE14</f>
        <v>1.9010792963437111</v>
      </c>
      <c r="EF14" s="13">
        <f>EE14+預測IC!EF14</f>
        <v>1.9710357168422692</v>
      </c>
    </row>
    <row r="15" spans="1:136">
      <c r="A15" s="2">
        <v>100</v>
      </c>
      <c r="B15" s="2">
        <v>10</v>
      </c>
      <c r="C15" s="13">
        <v>-9.6503141994516081E-2</v>
      </c>
      <c r="D15" s="13">
        <f>C15+預測IC!D15</f>
        <v>0.27620655800548399</v>
      </c>
      <c r="E15" s="13">
        <f>D15+預測IC!E15</f>
        <v>0.26600813173340049</v>
      </c>
      <c r="F15" s="13">
        <f>E15+預測IC!F15</f>
        <v>0.3563127317334005</v>
      </c>
      <c r="G15" s="13">
        <f>F15+預測IC!G15</f>
        <v>0.29567580306186625</v>
      </c>
      <c r="H15" s="13">
        <f>G15+預測IC!H15</f>
        <v>0.41452020306186627</v>
      </c>
      <c r="I15" s="13">
        <f>H15+預測IC!I15</f>
        <v>0.54124910306186624</v>
      </c>
      <c r="J15" s="13">
        <f>I15+預測IC!J15</f>
        <v>0.47672490306186621</v>
      </c>
      <c r="K15" s="13">
        <f>J15+預測IC!K15</f>
        <v>0.19013027532549559</v>
      </c>
      <c r="L15" s="13">
        <f>K15+預測IC!L15</f>
        <v>0.22268878048268023</v>
      </c>
      <c r="M15" s="13">
        <f>L15+預測IC!M15</f>
        <v>3.4197380482680229E-2</v>
      </c>
      <c r="N15" s="13">
        <f>M15+預測IC!N15</f>
        <v>0.36450698048268021</v>
      </c>
      <c r="O15" s="13">
        <f>N15+預測IC!O15</f>
        <v>0.41061048048268023</v>
      </c>
      <c r="P15" s="13">
        <f>O15+預測IC!P15</f>
        <v>0.46359388048268024</v>
      </c>
      <c r="Q15" s="13">
        <f>P15+預測IC!Q15</f>
        <v>0.56397068048268029</v>
      </c>
      <c r="R15" s="13">
        <f>Q15+預測IC!R15</f>
        <v>0.58072588048268026</v>
      </c>
      <c r="S15" s="13">
        <f>R15+預測IC!S15</f>
        <v>0.53769228048268025</v>
      </c>
      <c r="T15" s="13">
        <f>S15+預測IC!T15</f>
        <v>0.48835258048268027</v>
      </c>
      <c r="U15" s="13">
        <f>T15+預測IC!U15</f>
        <v>0.53514128048268028</v>
      </c>
      <c r="V15" s="13">
        <f>U15+預測IC!V15</f>
        <v>0.44946088048268029</v>
      </c>
      <c r="W15" s="13">
        <f>V15+預測IC!W15</f>
        <v>0.55639548048268028</v>
      </c>
      <c r="X15" s="13">
        <f>W15+預測IC!X15</f>
        <v>0.6348319804826803</v>
      </c>
      <c r="Y15" s="13">
        <f>X15+預測IC!Y15</f>
        <v>0.61064228048268032</v>
      </c>
      <c r="Z15" s="13">
        <f>Y15+預測IC!Z15</f>
        <v>0.58698608048268031</v>
      </c>
      <c r="AA15" s="13">
        <f>Z15+預測IC!AA15</f>
        <v>0.53290493345464662</v>
      </c>
      <c r="AB15" s="13">
        <f>AA15+預測IC!AB15</f>
        <v>0.45890953345464663</v>
      </c>
      <c r="AC15" s="13">
        <f>AB15+預測IC!AC15</f>
        <v>0.41885473345464663</v>
      </c>
      <c r="AD15" s="13">
        <f>AC15+預測IC!AD15</f>
        <v>0.39991845042382823</v>
      </c>
      <c r="AE15" s="13">
        <f>AD15+預測IC!AE15</f>
        <v>0.44720405042382821</v>
      </c>
      <c r="AF15" s="13">
        <f>AE15+預測IC!AF15</f>
        <v>0.38138443792678833</v>
      </c>
      <c r="AG15" s="13">
        <f>AF15+預測IC!AG15</f>
        <v>0.37163943792678833</v>
      </c>
      <c r="AH15" s="13">
        <f>AG15+預測IC!AH15</f>
        <v>0.40524381128446479</v>
      </c>
      <c r="AI15" s="13">
        <f>AH15+預測IC!AI15</f>
        <v>0.47952121128446479</v>
      </c>
      <c r="AJ15" s="13">
        <f>AI15+預測IC!AJ15</f>
        <v>0.48370461128446479</v>
      </c>
      <c r="AK15" s="13">
        <f>AJ15+預測IC!AK15</f>
        <v>0.44670651128446481</v>
      </c>
      <c r="AL15" s="13">
        <f>AK15+預測IC!AL15</f>
        <v>0.49113817378027935</v>
      </c>
      <c r="AM15" s="13">
        <f>AL15+預測IC!AM15</f>
        <v>0.54626079591490651</v>
      </c>
      <c r="AN15" s="13">
        <f>AM15+預測IC!AN15</f>
        <v>0.64794950182729005</v>
      </c>
      <c r="AO15" s="13">
        <f>AN15+預測IC!AO15</f>
        <v>0.71131931429075712</v>
      </c>
      <c r="AP15" s="13">
        <f>AO15+預測IC!AP15</f>
        <v>0.72390151429075711</v>
      </c>
      <c r="AQ15" s="13">
        <f>AP15+預測IC!AQ15</f>
        <v>0.68653438749463547</v>
      </c>
      <c r="AR15" s="13">
        <f>AQ15+預測IC!AR15</f>
        <v>0.7768282429705522</v>
      </c>
      <c r="AS15" s="13">
        <f>AR15+預測IC!AS15</f>
        <v>0.83064942200766623</v>
      </c>
      <c r="AT15" s="13">
        <f>AS15+預測IC!AT15</f>
        <v>0.8959044126600948</v>
      </c>
      <c r="AU15" s="13">
        <f>AT15+預測IC!AU15</f>
        <v>0.93584767374956113</v>
      </c>
      <c r="AV15" s="13">
        <f>AU15+預測IC!AV15</f>
        <v>0.88862085542212221</v>
      </c>
      <c r="AW15" s="13">
        <f>AV15+預測IC!AW15</f>
        <v>0.90428079467670319</v>
      </c>
      <c r="AX15" s="13">
        <f>AW15+預測IC!AX15</f>
        <v>0.90844279467670319</v>
      </c>
      <c r="AY15" s="13">
        <f>AX15+預測IC!AY15</f>
        <v>0.9364598587867361</v>
      </c>
      <c r="AZ15" s="13">
        <f>AY15+預測IC!AZ15</f>
        <v>0.84513657871823256</v>
      </c>
      <c r="BA15" s="13">
        <f>AZ15+預測IC!BA15</f>
        <v>0.85575009352588549</v>
      </c>
      <c r="BB15" s="13">
        <f>BA15+預測IC!BB15</f>
        <v>0.96847495960469865</v>
      </c>
      <c r="BC15" s="13">
        <f>BB15+預測IC!BC15</f>
        <v>1.0306301032725289</v>
      </c>
      <c r="BD15" s="13">
        <f>BC15+預測IC!BD15</f>
        <v>1.083673377177325</v>
      </c>
      <c r="BE15" s="13">
        <f>BD15+預測IC!BE15</f>
        <v>1.1321160981949883</v>
      </c>
      <c r="BF15" s="13">
        <f>BE15+預測IC!BF15</f>
        <v>1.1797790776517405</v>
      </c>
      <c r="BG15" s="13">
        <f>BF15+預測IC!BG15</f>
        <v>1.1822686163863056</v>
      </c>
      <c r="BH15" s="13">
        <f>BG15+預測IC!BH15</f>
        <v>1.2167104618679951</v>
      </c>
      <c r="BI15" s="13">
        <f>BH15+預測IC!BI15</f>
        <v>1.2852971209829649</v>
      </c>
      <c r="BJ15" s="13">
        <f>BI15+預測IC!BJ15</f>
        <v>1.2740320938955196</v>
      </c>
      <c r="BK15" s="13">
        <f>BJ15+預測IC!BK15</f>
        <v>1.2748558461633257</v>
      </c>
      <c r="BL15" s="13">
        <f>BK15+預測IC!BL15</f>
        <v>1.3342597175046742</v>
      </c>
      <c r="BM15" s="13">
        <f>BL15+預測IC!BM15</f>
        <v>1.4010845388714035</v>
      </c>
      <c r="BN15" s="13">
        <f>BM15+預測IC!BN15</f>
        <v>1.4412271086045934</v>
      </c>
      <c r="BO15" s="13">
        <f>BN15+預測IC!BO15</f>
        <v>1.4689615845595243</v>
      </c>
      <c r="BP15" s="13">
        <f>BO15+預測IC!BP15</f>
        <v>1.483145805267329</v>
      </c>
      <c r="BQ15" s="13">
        <f>BP15+預測IC!BQ15</f>
        <v>1.4959487365576567</v>
      </c>
      <c r="BR15" s="13">
        <f>BQ15+預測IC!BR15</f>
        <v>1.445791307435597</v>
      </c>
      <c r="BS15" s="13">
        <f>BR15+預測IC!BS15</f>
        <v>1.4289675299853106</v>
      </c>
      <c r="BT15" s="13">
        <f>BS15+預測IC!BT15</f>
        <v>1.518027735716645</v>
      </c>
      <c r="BU15" s="13">
        <f>BT15+預測IC!BU15</f>
        <v>1.5375041555124385</v>
      </c>
      <c r="BV15" s="13">
        <f>BU15+預測IC!BV15</f>
        <v>1.5964191232649871</v>
      </c>
      <c r="BW15" s="13">
        <f>BV15+預測IC!BW15</f>
        <v>1.5604732331355835</v>
      </c>
      <c r="BX15" s="13">
        <f>BW15+預測IC!BX15</f>
        <v>1.589109128201315</v>
      </c>
      <c r="BY15" s="13">
        <f>BX15+預測IC!BY15</f>
        <v>1.5274150367222552</v>
      </c>
      <c r="BZ15" s="13">
        <f>BY15+預測IC!BZ15</f>
        <v>1.6303215056996025</v>
      </c>
      <c r="CA15" s="13">
        <f>BZ15+預測IC!CA15</f>
        <v>1.6602844056996025</v>
      </c>
      <c r="CB15" s="13">
        <f>CA15+預測IC!CB15</f>
        <v>1.675341299711427</v>
      </c>
      <c r="CC15" s="13">
        <f>CB15+預測IC!CC15</f>
        <v>1.5230230346572655</v>
      </c>
      <c r="CD15" s="13">
        <f>CC15+預測IC!CD15</f>
        <v>1.6431751186203498</v>
      </c>
      <c r="CE15" s="13">
        <f>CD15+預測IC!CE15</f>
        <v>1.5266585495502292</v>
      </c>
      <c r="CF15" s="13">
        <f>CE15+預測IC!CF15</f>
        <v>1.6210151999436493</v>
      </c>
      <c r="CG15" s="13">
        <f>CF15+預測IC!CG15</f>
        <v>1.616716320690285</v>
      </c>
      <c r="CH15" s="13">
        <f>CG15+預測IC!CH15</f>
        <v>1.6796022789739864</v>
      </c>
      <c r="CI15" s="13">
        <f>CH15+預測IC!CI15</f>
        <v>1.6408038640790057</v>
      </c>
      <c r="CJ15" s="13">
        <f>CI15+預測IC!CJ15</f>
        <v>1.5537595080062876</v>
      </c>
      <c r="CK15" s="13">
        <f>CJ15+預測IC!CK15</f>
        <v>1.610432153778387</v>
      </c>
      <c r="CL15" s="13">
        <f>CK15+預測IC!CL15</f>
        <v>1.6418541287716353</v>
      </c>
      <c r="CM15" s="13">
        <f>CL15+預測IC!CM15</f>
        <v>1.7164852449000891</v>
      </c>
      <c r="CN15" s="13">
        <f>CM15+預測IC!CN15</f>
        <v>1.6738511291009288</v>
      </c>
      <c r="CO15" s="13">
        <f>CN15+預測IC!CO15</f>
        <v>1.5444021042188874</v>
      </c>
      <c r="CP15" s="13">
        <f>CO15+預測IC!CP15</f>
        <v>1.671937939651837</v>
      </c>
      <c r="CQ15" s="13">
        <f>CP15+預測IC!CQ15</f>
        <v>1.7093159504169659</v>
      </c>
      <c r="CR15" s="13">
        <f>CQ15+預測IC!CR15</f>
        <v>1.7575530207051302</v>
      </c>
      <c r="CS15" s="13">
        <f>CR15+預測IC!CS15</f>
        <v>1.8177381931687249</v>
      </c>
      <c r="CT15" s="13">
        <f>CS15+預測IC!CT15</f>
        <v>1.8251327681441796</v>
      </c>
      <c r="CU15" s="13">
        <f>CT15+預測IC!CU15</f>
        <v>1.7619541082294068</v>
      </c>
      <c r="CV15" s="13">
        <f>CU15+預測IC!CV15</f>
        <v>1.7558122613245979</v>
      </c>
      <c r="CW15" s="13">
        <f>CV15+預測IC!CW15</f>
        <v>1.7433276011441576</v>
      </c>
      <c r="CX15" s="13">
        <f>CW15+預測IC!CX15</f>
        <v>1.7673672081974885</v>
      </c>
      <c r="CY15" s="13">
        <f>CX15+預測IC!CY15</f>
        <v>1.7248965351197261</v>
      </c>
      <c r="CZ15" s="13">
        <f>CY15+預測IC!CZ15</f>
        <v>1.8047834830640683</v>
      </c>
      <c r="DA15" s="13">
        <f>CZ15+預測IC!DA15</f>
        <v>1.7784076476221917</v>
      </c>
      <c r="DB15" s="13">
        <f>DA15+預測IC!DB15</f>
        <v>1.748181029408068</v>
      </c>
      <c r="DC15" s="13">
        <f>DB15+預測IC!DC15</f>
        <v>1.78325617938265</v>
      </c>
      <c r="DD15" s="13">
        <f>DC15+預測IC!DD15</f>
        <v>1.7338624888827654</v>
      </c>
      <c r="DE15" s="13">
        <f>DD15+預測IC!DE15</f>
        <v>1.7588112036278085</v>
      </c>
      <c r="DF15" s="13">
        <f>DE15+預測IC!DF15</f>
        <v>1.7164198972284137</v>
      </c>
      <c r="DG15" s="13">
        <f>DF15+預測IC!DG15</f>
        <v>1.7326166288466549</v>
      </c>
      <c r="DH15" s="13">
        <f>DG15+預測IC!DH15</f>
        <v>1.7139076178027628</v>
      </c>
      <c r="DI15" s="13">
        <f>DH15+預測IC!DI15</f>
        <v>1.7021891687933051</v>
      </c>
      <c r="DJ15" s="13">
        <f>DI15+預測IC!DJ15</f>
        <v>1.6503353156988982</v>
      </c>
      <c r="DK15" s="13">
        <f>DJ15+預測IC!DK15</f>
        <v>1.7521101497503662</v>
      </c>
      <c r="DL15" s="13">
        <f>DK15+預測IC!DL15</f>
        <v>1.8147456438388041</v>
      </c>
      <c r="DM15" s="13">
        <f>DL15+預測IC!DM15</f>
        <v>1.7909370969711353</v>
      </c>
      <c r="DN15" s="13">
        <f>DM15+預測IC!DN15</f>
        <v>1.8349335943947549</v>
      </c>
      <c r="DO15" s="13">
        <f>DN15+預測IC!DO15</f>
        <v>1.8812303216285557</v>
      </c>
      <c r="DP15" s="13">
        <f>DO15+預測IC!DP15</f>
        <v>1.9049659236354484</v>
      </c>
      <c r="DQ15" s="13">
        <f>DP15+預測IC!DQ15</f>
        <v>1.8099250161760199</v>
      </c>
      <c r="DR15" s="13">
        <f>DQ15+預測IC!DR15</f>
        <v>1.8799355827939583</v>
      </c>
      <c r="DS15" s="13">
        <f>DR15+預測IC!DS15</f>
        <v>1.8036936743821612</v>
      </c>
      <c r="DT15" s="13">
        <f>DS15+預測IC!DT15</f>
        <v>1.7315300426639981</v>
      </c>
      <c r="DU15" s="13">
        <f>DT15+預測IC!DU15</f>
        <v>1.6857593137123175</v>
      </c>
      <c r="DV15" s="13">
        <f>DU15+預測IC!DV15</f>
        <v>1.8255276706531889</v>
      </c>
      <c r="DW15" s="13">
        <f>DV15+預測IC!DW15</f>
        <v>1.8510662978000214</v>
      </c>
      <c r="DX15" s="13">
        <f>DW15+預測IC!DX15</f>
        <v>1.732450047150035</v>
      </c>
      <c r="DY15" s="13">
        <f>DX15+預測IC!DY15</f>
        <v>1.8389892137510446</v>
      </c>
      <c r="DZ15" s="13">
        <f>DY15+預測IC!DZ15</f>
        <v>1.8200689696816603</v>
      </c>
      <c r="EA15" s="13">
        <f>DZ15+預測IC!EA15</f>
        <v>1.8474076958915</v>
      </c>
      <c r="EB15" s="13">
        <f>EA15+預測IC!EB15</f>
        <v>1.895926269022745</v>
      </c>
      <c r="EC15" s="13">
        <f>EB15+預測IC!EC15</f>
        <v>1.9620081250706913</v>
      </c>
      <c r="ED15" s="13">
        <f>EC15+預測IC!ED15</f>
        <v>1.8486510691353799</v>
      </c>
      <c r="EE15" s="13">
        <f>ED15+預測IC!EE15</f>
        <v>1.8324056545992917</v>
      </c>
      <c r="EF15" s="13">
        <f>EE15+預測IC!EF15</f>
        <v>1.8981066457381339</v>
      </c>
    </row>
    <row r="16" spans="1:136">
      <c r="A16" s="2">
        <v>107</v>
      </c>
      <c r="B16" s="2">
        <v>9</v>
      </c>
      <c r="C16" s="13">
        <v>-2.7383644610379052E-2</v>
      </c>
      <c r="D16" s="13">
        <f>C16+預測IC!D16</f>
        <v>0.38081179983406532</v>
      </c>
      <c r="E16" s="13">
        <f>D16+預測IC!E16</f>
        <v>0.37798162322397993</v>
      </c>
      <c r="F16" s="13">
        <f>E16+預測IC!F16</f>
        <v>0.50224228989064668</v>
      </c>
      <c r="G16" s="13">
        <f>F16+預測IC!G16</f>
        <v>0.42854602476372283</v>
      </c>
      <c r="H16" s="13">
        <f>G16+預測IC!H16</f>
        <v>0.50139480254150059</v>
      </c>
      <c r="I16" s="13">
        <f>H16+預測IC!I16</f>
        <v>0.6131868025415006</v>
      </c>
      <c r="J16" s="13">
        <f>I16+預測IC!J16</f>
        <v>0.54449335809705612</v>
      </c>
      <c r="K16" s="13">
        <f>J16+預測IC!K16</f>
        <v>0.25982280787052403</v>
      </c>
      <c r="L16" s="13">
        <f>K16+預測IC!L16</f>
        <v>0.26970934245839284</v>
      </c>
      <c r="M16" s="13">
        <f>L16+預測IC!M16</f>
        <v>7.4833564680615056E-2</v>
      </c>
      <c r="N16" s="13">
        <f>M16+預測IC!N16</f>
        <v>0.44182145356950397</v>
      </c>
      <c r="O16" s="13">
        <f>N16+預測IC!O16</f>
        <v>0.45744256468061506</v>
      </c>
      <c r="P16" s="13">
        <f>O16+預測IC!P16</f>
        <v>0.51942234245839281</v>
      </c>
      <c r="Q16" s="13">
        <f>P16+預測IC!Q16</f>
        <v>0.61604223134728175</v>
      </c>
      <c r="R16" s="13">
        <f>Q16+預測IC!R16</f>
        <v>0.63522467579172626</v>
      </c>
      <c r="S16" s="13">
        <f>R16+預測IC!S16</f>
        <v>0.59280956468061519</v>
      </c>
      <c r="T16" s="13">
        <f>S16+預測IC!T16</f>
        <v>0.56958212023617072</v>
      </c>
      <c r="U16" s="13">
        <f>T16+預測IC!U16</f>
        <v>0.61823178690283742</v>
      </c>
      <c r="V16" s="13">
        <f>U16+預測IC!V16</f>
        <v>0.5139165646806152</v>
      </c>
      <c r="W16" s="13">
        <f>V16+預測IC!W16</f>
        <v>0.59229000912505969</v>
      </c>
      <c r="X16" s="13">
        <f>W16+預測IC!X16</f>
        <v>0.66596834245839309</v>
      </c>
      <c r="Y16" s="13">
        <f>X16+預測IC!Y16</f>
        <v>0.66167978690283757</v>
      </c>
      <c r="Z16" s="13">
        <f>Y16+預測IC!Z16</f>
        <v>0.64160400912505977</v>
      </c>
      <c r="AA16" s="13">
        <f>Z16+預測IC!AA16</f>
        <v>0.59811637328906764</v>
      </c>
      <c r="AB16" s="13">
        <f>AA16+預測IC!AB16</f>
        <v>0.52710037328906767</v>
      </c>
      <c r="AC16" s="13">
        <f>AB16+預測IC!AC16</f>
        <v>0.48606026217795656</v>
      </c>
      <c r="AD16" s="13">
        <f>AC16+預測IC!AD16</f>
        <v>0.48493823632888028</v>
      </c>
      <c r="AE16" s="13">
        <f>AD16+預測IC!AE16</f>
        <v>0.5364722363288803</v>
      </c>
      <c r="AF16" s="13">
        <f>AE16+預測IC!AF16</f>
        <v>0.47278639374729114</v>
      </c>
      <c r="AG16" s="13">
        <f>AF16+預測IC!AG16</f>
        <v>0.46448483819173558</v>
      </c>
      <c r="AH16" s="13">
        <f>AG16+預測IC!AH16</f>
        <v>0.49625023864117612</v>
      </c>
      <c r="AI16" s="13">
        <f>AH16+預測IC!AI16</f>
        <v>0.58677334975228723</v>
      </c>
      <c r="AJ16" s="13">
        <f>AI16+預測IC!AJ16</f>
        <v>0.5691433497522872</v>
      </c>
      <c r="AK16" s="13">
        <f>AJ16+預測IC!AK16</f>
        <v>0.56115701641895388</v>
      </c>
      <c r="AL16" s="13">
        <f>AK16+預測IC!AL16</f>
        <v>0.60984594952347715</v>
      </c>
      <c r="AM16" s="13">
        <f>AL16+預測IC!AM16</f>
        <v>0.67592268012527512</v>
      </c>
      <c r="AN16" s="13">
        <f>AM16+預測IC!AN16</f>
        <v>0.78237888021495072</v>
      </c>
      <c r="AO16" s="13">
        <f>AN16+預測IC!AO16</f>
        <v>0.84380355204086299</v>
      </c>
      <c r="AP16" s="13">
        <f>AO16+預測IC!AP16</f>
        <v>0.84904399648530748</v>
      </c>
      <c r="AQ16" s="13">
        <f>AP16+預測IC!AQ16</f>
        <v>0.81057779633923888</v>
      </c>
      <c r="AR16" s="13">
        <f>AQ16+預測IC!AR16</f>
        <v>0.91386897539973133</v>
      </c>
      <c r="AS16" s="13">
        <f>AR16+預測IC!AS16</f>
        <v>0.97893720087370073</v>
      </c>
      <c r="AT16" s="13">
        <f>AS16+預測IC!AT16</f>
        <v>1.0284843561920707</v>
      </c>
      <c r="AU16" s="13">
        <f>AT16+預測IC!AU16</f>
        <v>1.0703111944469659</v>
      </c>
      <c r="AV16" s="13">
        <f>AU16+預測IC!AV16</f>
        <v>1.0612386876669471</v>
      </c>
      <c r="AW16" s="13">
        <f>AV16+預測IC!AW16</f>
        <v>1.1004916177415978</v>
      </c>
      <c r="AX16" s="13">
        <f>AW16+預測IC!AX16</f>
        <v>1.0936360621860421</v>
      </c>
      <c r="AY16" s="13">
        <f>AX16+預測IC!AY16</f>
        <v>1.1274486520303881</v>
      </c>
      <c r="AZ16" s="13">
        <f>AY16+預測IC!AZ16</f>
        <v>1.0225390168516759</v>
      </c>
      <c r="BA16" s="13">
        <f>AZ16+預測IC!BA16</f>
        <v>1.0374621219092619</v>
      </c>
      <c r="BB16" s="13">
        <f>BA16+預測IC!BB16</f>
        <v>1.1455010460620001</v>
      </c>
      <c r="BC16" s="13">
        <f>BB16+預測IC!BC16</f>
        <v>1.2126225121696919</v>
      </c>
      <c r="BD16" s="13">
        <f>BC16+預測IC!BD16</f>
        <v>1.2485592237155958</v>
      </c>
      <c r="BE16" s="13">
        <f>BD16+預測IC!BE16</f>
        <v>1.2999702181100707</v>
      </c>
      <c r="BF16" s="13">
        <f>BE16+預測IC!BF16</f>
        <v>1.364238272429789</v>
      </c>
      <c r="BG16" s="13">
        <f>BF16+預測IC!BG16</f>
        <v>1.3777115544777456</v>
      </c>
      <c r="BH16" s="13">
        <f>BG16+預測IC!BH16</f>
        <v>1.3639359399937838</v>
      </c>
      <c r="BI16" s="13">
        <f>BH16+預測IC!BI16</f>
        <v>1.4053797477570458</v>
      </c>
      <c r="BJ16" s="13">
        <f>BI16+預測IC!BJ16</f>
        <v>1.3848759314738381</v>
      </c>
      <c r="BK16" s="13">
        <f>BJ16+預測IC!BK16</f>
        <v>1.3878479217690352</v>
      </c>
      <c r="BL16" s="13">
        <f>BK16+預測IC!BL16</f>
        <v>1.4584714874765583</v>
      </c>
      <c r="BM16" s="13">
        <f>BL16+預測IC!BM16</f>
        <v>1.5399953625185234</v>
      </c>
      <c r="BN16" s="13">
        <f>BM16+預測IC!BN16</f>
        <v>1.5879011951225506</v>
      </c>
      <c r="BO16" s="13">
        <f>BN16+預測IC!BO16</f>
        <v>1.6097915550762083</v>
      </c>
      <c r="BP16" s="13">
        <f>BO16+預測IC!BP16</f>
        <v>1.6306347386237889</v>
      </c>
      <c r="BQ16" s="13">
        <f>BP16+預測IC!BQ16</f>
        <v>1.6471127548787174</v>
      </c>
      <c r="BR16" s="13">
        <f>BQ16+預測IC!BR16</f>
        <v>1.6208159068572729</v>
      </c>
      <c r="BS16" s="13">
        <f>BR16+預測IC!BS16</f>
        <v>1.6076243337098088</v>
      </c>
      <c r="BT16" s="13">
        <f>BS16+預測IC!BT16</f>
        <v>1.6931075249776084</v>
      </c>
      <c r="BU16" s="13">
        <f>BT16+預測IC!BU16</f>
        <v>1.7508726351624089</v>
      </c>
      <c r="BV16" s="13">
        <f>BU16+預測IC!BV16</f>
        <v>1.8115838746092496</v>
      </c>
      <c r="BW16" s="13">
        <f>BV16+預測IC!BW16</f>
        <v>1.745842947182715</v>
      </c>
      <c r="BX16" s="13">
        <f>BW16+預測IC!BX16</f>
        <v>1.7774021847038459</v>
      </c>
      <c r="BY16" s="13">
        <f>BX16+預測IC!BY16</f>
        <v>1.7268384518566029</v>
      </c>
      <c r="BZ16" s="13">
        <f>BY16+預測IC!BZ16</f>
        <v>1.8383643003582522</v>
      </c>
      <c r="CA16" s="13">
        <f>BZ16+預測IC!CA16</f>
        <v>1.8657953003582521</v>
      </c>
      <c r="CB16" s="13">
        <f>CA16+預測IC!CB16</f>
        <v>1.8643672553690349</v>
      </c>
      <c r="CC16" s="13">
        <f>CB16+預測IC!CC16</f>
        <v>1.7052947408851005</v>
      </c>
      <c r="CD16" s="13">
        <f>CC16+預測IC!CD16</f>
        <v>1.8603660125114623</v>
      </c>
      <c r="CE16" s="13">
        <f>CD16+預測IC!CE16</f>
        <v>1.7277709517179509</v>
      </c>
      <c r="CF16" s="13">
        <f>CE16+預測IC!CF16</f>
        <v>1.832972215727702</v>
      </c>
      <c r="CG16" s="13">
        <f>CF16+預測IC!CG16</f>
        <v>1.8275936966963719</v>
      </c>
      <c r="CH16" s="13">
        <f>CG16+預測IC!CH16</f>
        <v>1.8692911113993991</v>
      </c>
      <c r="CI16" s="13">
        <f>CH16+預測IC!CI16</f>
        <v>1.8305812295708817</v>
      </c>
      <c r="CJ16" s="13">
        <f>CI16+預測IC!CJ16</f>
        <v>1.7850576787832151</v>
      </c>
      <c r="CK16" s="13">
        <f>CJ16+預測IC!CK16</f>
        <v>1.8615306625009054</v>
      </c>
      <c r="CL16" s="13">
        <f>CK16+預測IC!CL16</f>
        <v>1.8774093448356146</v>
      </c>
      <c r="CM16" s="13">
        <f>CL16+預測IC!CM16</f>
        <v>1.9663979729851262</v>
      </c>
      <c r="CN16" s="13">
        <f>CM16+預測IC!CN16</f>
        <v>1.9333404578441762</v>
      </c>
      <c r="CO16" s="13">
        <f>CN16+預測IC!CO16</f>
        <v>1.7508885033043469</v>
      </c>
      <c r="CP16" s="13">
        <f>CO16+預測IC!CP16</f>
        <v>1.8875201927864382</v>
      </c>
      <c r="CQ16" s="13">
        <f>CP16+預測IC!CQ16</f>
        <v>1.9289557984458487</v>
      </c>
      <c r="CR16" s="13">
        <f>CQ16+預測IC!CR16</f>
        <v>1.9772555651291652</v>
      </c>
      <c r="CS16" s="13">
        <f>CR16+預測IC!CS16</f>
        <v>2.043814725003239</v>
      </c>
      <c r="CT16" s="13">
        <f>CS16+預測IC!CT16</f>
        <v>2.0488821315040799</v>
      </c>
      <c r="CU16" s="13">
        <f>CT16+預測IC!CU16</f>
        <v>1.9854474771451052</v>
      </c>
      <c r="CV16" s="13">
        <f>CU16+預測IC!CV16</f>
        <v>1.9686963930643844</v>
      </c>
      <c r="CW16" s="13">
        <f>CV16+預測IC!CW16</f>
        <v>1.9595022335317627</v>
      </c>
      <c r="CX16" s="13">
        <f>CW16+預測IC!CX16</f>
        <v>1.9717425182860127</v>
      </c>
      <c r="CY16" s="13">
        <f>CX16+預測IC!CY16</f>
        <v>1.9226254691693871</v>
      </c>
      <c r="CZ16" s="13">
        <f>CY16+預測IC!CZ16</f>
        <v>2.0252587283475196</v>
      </c>
      <c r="DA16" s="13">
        <f>CZ16+預測IC!DA16</f>
        <v>1.9954539343802842</v>
      </c>
      <c r="DB16" s="13">
        <f>DA16+預測IC!DB16</f>
        <v>1.9527417646000582</v>
      </c>
      <c r="DC16" s="13">
        <f>DB16+預測IC!DC16</f>
        <v>1.9956841269205585</v>
      </c>
      <c r="DD16" s="13">
        <f>DC16+預測IC!DD16</f>
        <v>1.9256131918632009</v>
      </c>
      <c r="DE16" s="13">
        <f>DD16+預測IC!DE16</f>
        <v>1.9600575642044298</v>
      </c>
      <c r="DF16" s="13">
        <f>DE16+預測IC!DF16</f>
        <v>1.9369111309788707</v>
      </c>
      <c r="DG16" s="13">
        <f>DF16+預測IC!DG16</f>
        <v>1.9513640786103092</v>
      </c>
      <c r="DH16" s="13">
        <f>DG16+預測IC!DH16</f>
        <v>1.9322347351923381</v>
      </c>
      <c r="DI16" s="13">
        <f>DH16+預測IC!DI16</f>
        <v>1.919001309479816</v>
      </c>
      <c r="DJ16" s="13">
        <f>DI16+預測IC!DJ16</f>
        <v>1.8898599033991863</v>
      </c>
      <c r="DK16" s="13">
        <f>DJ16+預測IC!DK16</f>
        <v>2.0234542600247671</v>
      </c>
      <c r="DL16" s="13">
        <f>DK16+預測IC!DL16</f>
        <v>2.0885672961534119</v>
      </c>
      <c r="DM16" s="13">
        <f>DL16+預測IC!DM16</f>
        <v>2.0582363463950708</v>
      </c>
      <c r="DN16" s="13">
        <f>DM16+預測IC!DN16</f>
        <v>2.100674199754478</v>
      </c>
      <c r="DO16" s="13">
        <f>DN16+預測IC!DO16</f>
        <v>2.1538961073106218</v>
      </c>
      <c r="DP16" s="13">
        <f>DO16+預測IC!DP16</f>
        <v>2.1737380558898476</v>
      </c>
      <c r="DQ16" s="13">
        <f>DP16+預測IC!DQ16</f>
        <v>2.0907043978128312</v>
      </c>
      <c r="DR16" s="13">
        <f>DQ16+預測IC!DR16</f>
        <v>2.1458956494623465</v>
      </c>
      <c r="DS16" s="13">
        <f>DR16+預測IC!DS16</f>
        <v>2.0521435844725922</v>
      </c>
      <c r="DT16" s="13">
        <f>DS16+預測IC!DT16</f>
        <v>1.9516094566481266</v>
      </c>
      <c r="DU16" s="13">
        <f>DT16+預測IC!DU16</f>
        <v>1.8871357228785879</v>
      </c>
      <c r="DV16" s="13">
        <f>DU16+預測IC!DV16</f>
        <v>2.0240894548963815</v>
      </c>
      <c r="DW16" s="13">
        <f>DV16+預測IC!DW16</f>
        <v>2.0650071845960722</v>
      </c>
      <c r="DX16" s="13">
        <f>DW16+預測IC!DX16</f>
        <v>1.9397224782720948</v>
      </c>
      <c r="DY16" s="13">
        <f>DX16+預測IC!DY16</f>
        <v>2.0560768131824378</v>
      </c>
      <c r="DZ16" s="13">
        <f>DY16+預測IC!DZ16</f>
        <v>2.0247997333577614</v>
      </c>
      <c r="EA16" s="13">
        <f>DZ16+預測IC!EA16</f>
        <v>2.0714611049134883</v>
      </c>
      <c r="EB16" s="13">
        <f>EA16+預測IC!EB16</f>
        <v>2.1500717436566217</v>
      </c>
      <c r="EC16" s="13">
        <f>EB16+預測IC!EC16</f>
        <v>2.2136038102911915</v>
      </c>
      <c r="ED16" s="13">
        <f>EC16+預測IC!ED16</f>
        <v>2.0981870627922703</v>
      </c>
      <c r="EE16" s="13">
        <f>ED16+預測IC!EE16</f>
        <v>2.0750963512676588</v>
      </c>
      <c r="EF16" s="13">
        <f>EE16+預測IC!EF16</f>
        <v>2.1175707527615661</v>
      </c>
    </row>
    <row r="17" spans="1:136">
      <c r="A17" s="2">
        <v>120</v>
      </c>
      <c r="B17" s="2">
        <v>8</v>
      </c>
      <c r="C17" s="13">
        <v>-4.1028984252961823E-2</v>
      </c>
      <c r="D17" s="13">
        <f>C17+預測IC!D17</f>
        <v>0.39855939074703817</v>
      </c>
      <c r="E17" s="13">
        <f>D17+預測IC!E17</f>
        <v>0.40593839224233952</v>
      </c>
      <c r="F17" s="13">
        <f>E17+預測IC!F17</f>
        <v>0.55271039224233953</v>
      </c>
      <c r="G17" s="13">
        <f>F17+預測IC!G17</f>
        <v>0.48148762536415779</v>
      </c>
      <c r="H17" s="13">
        <f>G17+預測IC!H17</f>
        <v>0.58648237536415782</v>
      </c>
      <c r="I17" s="13">
        <f>H17+預測IC!I17</f>
        <v>0.65397162536415787</v>
      </c>
      <c r="J17" s="13">
        <f>I17+預測IC!J17</f>
        <v>0.53867325036415792</v>
      </c>
      <c r="K17" s="13">
        <f>J17+預測IC!K17</f>
        <v>0.24184669926359553</v>
      </c>
      <c r="L17" s="13">
        <f>K17+預測IC!L17</f>
        <v>0.25155758877175355</v>
      </c>
      <c r="M17" s="13">
        <f>L17+預測IC!M17</f>
        <v>2.4617713771753535E-2</v>
      </c>
      <c r="N17" s="13">
        <f>M17+預測IC!N17</f>
        <v>0.42972596377175354</v>
      </c>
      <c r="O17" s="13">
        <f>N17+預測IC!O17</f>
        <v>0.45435808877175354</v>
      </c>
      <c r="P17" s="13">
        <f>O17+預測IC!P17</f>
        <v>0.53127371377175359</v>
      </c>
      <c r="Q17" s="13">
        <f>P17+預測IC!Q17</f>
        <v>0.63770608877175361</v>
      </c>
      <c r="R17" s="13">
        <f>Q17+預測IC!R17</f>
        <v>0.63968108877175367</v>
      </c>
      <c r="S17" s="13">
        <f>R17+預測IC!S17</f>
        <v>0.58454933877175363</v>
      </c>
      <c r="T17" s="13">
        <f>S17+預測IC!T17</f>
        <v>0.56104096377175361</v>
      </c>
      <c r="U17" s="13">
        <f>T17+預測IC!U17</f>
        <v>0.61332933877175366</v>
      </c>
      <c r="V17" s="13">
        <f>U17+預測IC!V17</f>
        <v>0.49697421377175366</v>
      </c>
      <c r="W17" s="13">
        <f>V17+預測IC!W17</f>
        <v>0.57611633877175361</v>
      </c>
      <c r="X17" s="13">
        <f>W17+預測IC!X17</f>
        <v>0.67630271377175366</v>
      </c>
      <c r="Y17" s="13">
        <f>X17+預測IC!Y17</f>
        <v>0.67780183877175371</v>
      </c>
      <c r="Z17" s="13">
        <f>Y17+預測IC!Z17</f>
        <v>0.65619333877175368</v>
      </c>
      <c r="AA17" s="13">
        <f>Z17+預測IC!AA17</f>
        <v>0.62098354918955456</v>
      </c>
      <c r="AB17" s="13">
        <f>AA17+預測IC!AB17</f>
        <v>0.56264917418955451</v>
      </c>
      <c r="AC17" s="13">
        <f>AB17+預測IC!AC17</f>
        <v>0.52185004918955447</v>
      </c>
      <c r="AD17" s="13">
        <f>AC17+預測IC!AD17</f>
        <v>0.49993720501591388</v>
      </c>
      <c r="AE17" s="13">
        <f>AD17+預測IC!AE17</f>
        <v>0.55938045501591382</v>
      </c>
      <c r="AF17" s="13">
        <f>AE17+預測IC!AF17</f>
        <v>0.49795114489397369</v>
      </c>
      <c r="AG17" s="13">
        <f>AF17+預測IC!AG17</f>
        <v>0.49659989489397371</v>
      </c>
      <c r="AH17" s="13">
        <f>AG17+預測IC!AH17</f>
        <v>0.53207251406686251</v>
      </c>
      <c r="AI17" s="13">
        <f>AH17+預測IC!AI17</f>
        <v>0.64693763906686252</v>
      </c>
      <c r="AJ17" s="13">
        <f>AI17+預測IC!AJ17</f>
        <v>0.62472938906686248</v>
      </c>
      <c r="AK17" s="13">
        <f>AJ17+預測IC!AK17</f>
        <v>0.6114047640668625</v>
      </c>
      <c r="AL17" s="13">
        <f>AK17+預測IC!AL17</f>
        <v>0.66212916981541903</v>
      </c>
      <c r="AM17" s="13">
        <f>AL17+預測IC!AM17</f>
        <v>0.73749853740307603</v>
      </c>
      <c r="AN17" s="13">
        <f>AM17+預測IC!AN17</f>
        <v>0.85078565774899373</v>
      </c>
      <c r="AO17" s="13">
        <f>AN17+預測IC!AO17</f>
        <v>0.86341799234471794</v>
      </c>
      <c r="AP17" s="13">
        <f>AO17+預測IC!AP17</f>
        <v>0.86717724234471794</v>
      </c>
      <c r="AQ17" s="13">
        <f>AP17+預測IC!AQ17</f>
        <v>0.80665010494321887</v>
      </c>
      <c r="AR17" s="13">
        <f>AQ17+預測IC!AR17</f>
        <v>0.92058081483803611</v>
      </c>
      <c r="AS17" s="13">
        <f>AR17+預測IC!AS17</f>
        <v>0.97690437687251186</v>
      </c>
      <c r="AT17" s="13">
        <f>AS17+預測IC!AT17</f>
        <v>1.029172183322234</v>
      </c>
      <c r="AU17" s="13">
        <f>AT17+預測IC!AU17</f>
        <v>1.0837276906089217</v>
      </c>
      <c r="AV17" s="13">
        <f>AU17+預測IC!AV17</f>
        <v>1.0625217878266533</v>
      </c>
      <c r="AW17" s="13">
        <f>AV17+預測IC!AW17</f>
        <v>1.07094367586849</v>
      </c>
      <c r="AX17" s="13">
        <f>AW17+預測IC!AX17</f>
        <v>1.0815360508684901</v>
      </c>
      <c r="AY17" s="13">
        <f>AX17+預測IC!AY17</f>
        <v>1.1089597475590911</v>
      </c>
      <c r="AZ17" s="13">
        <f>AY17+預測IC!AZ17</f>
        <v>0.98380214529889998</v>
      </c>
      <c r="BA17" s="13">
        <f>AZ17+預測IC!BA17</f>
        <v>0.99362732440601298</v>
      </c>
      <c r="BB17" s="13">
        <f>BA17+預測IC!BB17</f>
        <v>1.1173913875198573</v>
      </c>
      <c r="BC17" s="13">
        <f>BB17+預測IC!BC17</f>
        <v>1.201254582697671</v>
      </c>
      <c r="BD17" s="13">
        <f>BC17+預測IC!BD17</f>
        <v>1.2236110649438758</v>
      </c>
      <c r="BE17" s="13">
        <f>BD17+預測IC!BE17</f>
        <v>1.3009613071819361</v>
      </c>
      <c r="BF17" s="13">
        <f>BE17+預測IC!BF17</f>
        <v>1.3561588037908898</v>
      </c>
      <c r="BG17" s="13">
        <f>BF17+預測IC!BG17</f>
        <v>1.3207645677028526</v>
      </c>
      <c r="BH17" s="13">
        <f>BG17+預測IC!BH17</f>
        <v>1.3342840285546056</v>
      </c>
      <c r="BI17" s="13">
        <f>BH17+預測IC!BI17</f>
        <v>1.4213959739945528</v>
      </c>
      <c r="BJ17" s="13">
        <f>BI17+預測IC!BJ17</f>
        <v>1.4115379097213163</v>
      </c>
      <c r="BK17" s="13">
        <f>BJ17+預測IC!BK17</f>
        <v>1.3977149576512109</v>
      </c>
      <c r="BL17" s="13">
        <f>BK17+預測IC!BL17</f>
        <v>1.475197924451157</v>
      </c>
      <c r="BM17" s="13">
        <f>BL17+預測IC!BM17</f>
        <v>1.5511956948970169</v>
      </c>
      <c r="BN17" s="13">
        <f>BM17+預測IC!BN17</f>
        <v>1.5981112204908949</v>
      </c>
      <c r="BO17" s="13">
        <f>BN17+預測IC!BO17</f>
        <v>1.6332908359076186</v>
      </c>
      <c r="BP17" s="13">
        <f>BO17+預測IC!BP17</f>
        <v>1.6692868155620995</v>
      </c>
      <c r="BQ17" s="13">
        <f>BP17+預測IC!BQ17</f>
        <v>1.6806633260085511</v>
      </c>
      <c r="BR17" s="13">
        <f>BQ17+預測IC!BR17</f>
        <v>1.6710169508838011</v>
      </c>
      <c r="BS17" s="13">
        <f>BR17+預測IC!BS17</f>
        <v>1.6669134817731945</v>
      </c>
      <c r="BT17" s="13">
        <f>BS17+預測IC!BT17</f>
        <v>1.7763298606436178</v>
      </c>
      <c r="BU17" s="13">
        <f>BT17+預測IC!BU17</f>
        <v>1.8474576793943702</v>
      </c>
      <c r="BV17" s="13">
        <f>BU17+預測IC!BV17</f>
        <v>1.9176679824139986</v>
      </c>
      <c r="BW17" s="13">
        <f>BV17+預測IC!BW17</f>
        <v>1.8372362698147326</v>
      </c>
      <c r="BX17" s="13">
        <f>BW17+預測IC!BX17</f>
        <v>1.8660592344344054</v>
      </c>
      <c r="BY17" s="13">
        <f>BX17+預測IC!BY17</f>
        <v>1.781813766805711</v>
      </c>
      <c r="BZ17" s="13">
        <f>BY17+預測IC!BZ17</f>
        <v>1.9023919226867962</v>
      </c>
      <c r="CA17" s="13">
        <f>BZ17+預測IC!CA17</f>
        <v>1.9295880476867961</v>
      </c>
      <c r="CB17" s="13">
        <f>CA17+預測IC!CB17</f>
        <v>1.9191103401948035</v>
      </c>
      <c r="CC17" s="13">
        <f>CB17+預測IC!CC17</f>
        <v>1.7441523662051226</v>
      </c>
      <c r="CD17" s="13">
        <f>CC17+預測IC!CD17</f>
        <v>1.9171121074242712</v>
      </c>
      <c r="CE17" s="13">
        <f>CD17+預測IC!CE17</f>
        <v>1.7419958619182196</v>
      </c>
      <c r="CF17" s="13">
        <f>CE17+預測IC!CF17</f>
        <v>1.8407420593444181</v>
      </c>
      <c r="CG17" s="13">
        <f>CF17+預測IC!CG17</f>
        <v>1.825214954269341</v>
      </c>
      <c r="CH17" s="13">
        <f>CG17+預測IC!CH17</f>
        <v>1.8838514008763909</v>
      </c>
      <c r="CI17" s="13">
        <f>CH17+預測IC!CI17</f>
        <v>1.8693202158868023</v>
      </c>
      <c r="CJ17" s="13">
        <f>CI17+預測IC!CJ17</f>
        <v>1.8185778944023603</v>
      </c>
      <c r="CK17" s="13">
        <f>CJ17+預測IC!CK17</f>
        <v>1.9103164670602732</v>
      </c>
      <c r="CL17" s="13">
        <f>CK17+預測IC!CL17</f>
        <v>1.900890122291242</v>
      </c>
      <c r="CM17" s="13">
        <f>CL17+預測IC!CM17</f>
        <v>2.0354594667228163</v>
      </c>
      <c r="CN17" s="13">
        <f>CM17+預測IC!CN17</f>
        <v>2.0087414055718291</v>
      </c>
      <c r="CO17" s="13">
        <f>CN17+預測IC!CO17</f>
        <v>1.8062027783088397</v>
      </c>
      <c r="CP17" s="13">
        <f>CO17+預測IC!CP17</f>
        <v>1.9543620475061834</v>
      </c>
      <c r="CQ17" s="13">
        <f>CP17+預測IC!CQ17</f>
        <v>1.9954499806895867</v>
      </c>
      <c r="CR17" s="13">
        <f>CQ17+預測IC!CR17</f>
        <v>2.0461264713918097</v>
      </c>
      <c r="CS17" s="13">
        <f>CR17+預測IC!CS17</f>
        <v>2.1429681026913796</v>
      </c>
      <c r="CT17" s="13">
        <f>CS17+預測IC!CT17</f>
        <v>2.1922281590805728</v>
      </c>
      <c r="CU17" s="13">
        <f>CT17+預測IC!CU17</f>
        <v>2.1178198514973188</v>
      </c>
      <c r="CV17" s="13">
        <f>CU17+預測IC!CV17</f>
        <v>2.121699459437246</v>
      </c>
      <c r="CW17" s="13">
        <f>CV17+預測IC!CW17</f>
        <v>2.1019376055278931</v>
      </c>
      <c r="CX17" s="13">
        <f>CW17+預測IC!CX17</f>
        <v>2.1127100000518411</v>
      </c>
      <c r="CY17" s="13">
        <f>CX17+預測IC!CY17</f>
        <v>2.0633267013357512</v>
      </c>
      <c r="CZ17" s="13">
        <f>CY17+預測IC!CZ17</f>
        <v>2.1875755391833716</v>
      </c>
      <c r="DA17" s="13">
        <f>CZ17+預測IC!DA17</f>
        <v>2.1436796800382374</v>
      </c>
      <c r="DB17" s="13">
        <f>DA17+預測IC!DB17</f>
        <v>2.1087966692457694</v>
      </c>
      <c r="DC17" s="13">
        <f>DB17+預測IC!DC17</f>
        <v>2.1521601382232687</v>
      </c>
      <c r="DD17" s="13">
        <f>DC17+預測IC!DD17</f>
        <v>2.0670262051391148</v>
      </c>
      <c r="DE17" s="13">
        <f>DD17+預測IC!DE17</f>
        <v>2.1107496209224181</v>
      </c>
      <c r="DF17" s="13">
        <f>DE17+預測IC!DF17</f>
        <v>2.099518250595759</v>
      </c>
      <c r="DG17" s="13">
        <f>DF17+預測IC!DG17</f>
        <v>2.0976789686668504</v>
      </c>
      <c r="DH17" s="13">
        <f>DG17+預測IC!DH17</f>
        <v>2.0589523177288376</v>
      </c>
      <c r="DI17" s="13">
        <f>DH17+預測IC!DI17</f>
        <v>2.053659073405055</v>
      </c>
      <c r="DJ17" s="13">
        <f>DI17+預測IC!DJ17</f>
        <v>2.0083229158642353</v>
      </c>
      <c r="DK17" s="13">
        <f>DJ17+預測IC!DK17</f>
        <v>2.1643593439807813</v>
      </c>
      <c r="DL17" s="13">
        <f>DK17+預測IC!DL17</f>
        <v>2.2378749449179525</v>
      </c>
      <c r="DM17" s="13">
        <f>DL17+預測IC!DM17</f>
        <v>2.1856220343356365</v>
      </c>
      <c r="DN17" s="13">
        <f>DM17+預測IC!DN17</f>
        <v>2.2211110670499754</v>
      </c>
      <c r="DO17" s="13">
        <f>DN17+預測IC!DO17</f>
        <v>2.274562437389879</v>
      </c>
      <c r="DP17" s="13">
        <f>DO17+預測IC!DP17</f>
        <v>2.2580439291332555</v>
      </c>
      <c r="DQ17" s="13">
        <f>DP17+預測IC!DQ17</f>
        <v>2.1503414603366249</v>
      </c>
      <c r="DR17" s="13">
        <f>DQ17+預測IC!DR17</f>
        <v>2.2062262752129533</v>
      </c>
      <c r="DS17" s="13">
        <f>DR17+預測IC!DS17</f>
        <v>2.0819101154081423</v>
      </c>
      <c r="DT17" s="13">
        <f>DS17+預測IC!DT17</f>
        <v>1.9887711657229907</v>
      </c>
      <c r="DU17" s="13">
        <f>DT17+預測IC!DU17</f>
        <v>1.9170404596724855</v>
      </c>
      <c r="DV17" s="13">
        <f>DU17+預測IC!DV17</f>
        <v>2.0348058577834398</v>
      </c>
      <c r="DW17" s="13">
        <f>DV17+預測IC!DW17</f>
        <v>2.08348734119759</v>
      </c>
      <c r="DX17" s="13">
        <f>DW17+預測IC!DX17</f>
        <v>1.9539483586011159</v>
      </c>
      <c r="DY17" s="13">
        <f>DX17+預測IC!DY17</f>
        <v>2.0660868134071899</v>
      </c>
      <c r="DZ17" s="13">
        <f>DY17+預測IC!DZ17</f>
        <v>2.0342586408074039</v>
      </c>
      <c r="EA17" s="13">
        <f>DZ17+預測IC!EA17</f>
        <v>2.0460765646731165</v>
      </c>
      <c r="EB17" s="13">
        <f>EA17+預測IC!EB17</f>
        <v>2.1331769138678558</v>
      </c>
      <c r="EC17" s="13">
        <f>EB17+預測IC!EC17</f>
        <v>2.1496021310839164</v>
      </c>
      <c r="ED17" s="13">
        <f>EC17+預測IC!ED17</f>
        <v>2.0212776871550036</v>
      </c>
      <c r="EE17" s="13">
        <f>ED17+預測IC!EE17</f>
        <v>1.9958643268449696</v>
      </c>
      <c r="EF17" s="13">
        <f>EE17+預測IC!EF17</f>
        <v>2.0435740938548212</v>
      </c>
    </row>
    <row r="18" spans="1:136">
      <c r="A18" s="2">
        <v>137</v>
      </c>
      <c r="B18" s="2">
        <v>7</v>
      </c>
      <c r="C18" s="13">
        <v>-5.3942228163147227E-2</v>
      </c>
      <c r="D18" s="13">
        <f>C18+預測IC!D18</f>
        <v>0.34794177183685282</v>
      </c>
      <c r="E18" s="13">
        <f>D18+預測IC!E18</f>
        <v>0.28894111473864503</v>
      </c>
      <c r="F18" s="13">
        <f>E18+預測IC!F18</f>
        <v>0.50103197188150217</v>
      </c>
      <c r="G18" s="13">
        <f>F18+預測IC!G18</f>
        <v>0.42023772486064231</v>
      </c>
      <c r="H18" s="13">
        <f>G18+預測IC!H18</f>
        <v>0.54877772486064225</v>
      </c>
      <c r="I18" s="13">
        <f>H18+預測IC!I18</f>
        <v>0.60373029628921371</v>
      </c>
      <c r="J18" s="13">
        <f>I18+預測IC!J18</f>
        <v>0.47856943914635652</v>
      </c>
      <c r="K18" s="13">
        <f>J18+預測IC!K18</f>
        <v>0.1198873406384568</v>
      </c>
      <c r="L18" s="13">
        <f>K18+預測IC!L18</f>
        <v>0.13286982748543841</v>
      </c>
      <c r="M18" s="13">
        <f>L18+預測IC!M18</f>
        <v>-0.1206430296574188</v>
      </c>
      <c r="N18" s="13">
        <f>M18+預測IC!N18</f>
        <v>0.34117739891400978</v>
      </c>
      <c r="O18" s="13">
        <f>N18+預測IC!O18</f>
        <v>0.36550154177115263</v>
      </c>
      <c r="P18" s="13">
        <f>O18+預測IC!P18</f>
        <v>0.4200712560568669</v>
      </c>
      <c r="Q18" s="13">
        <f>P18+預測IC!Q18</f>
        <v>0.54180997034258116</v>
      </c>
      <c r="R18" s="13">
        <f>Q18+預測IC!R18</f>
        <v>0.56113654177115257</v>
      </c>
      <c r="S18" s="13">
        <f>R18+預測IC!S18</f>
        <v>0.49212325605686685</v>
      </c>
      <c r="T18" s="13">
        <f>S18+預測IC!T18</f>
        <v>0.48709368462829544</v>
      </c>
      <c r="U18" s="13">
        <f>T18+預測IC!U18</f>
        <v>0.51522725605686692</v>
      </c>
      <c r="V18" s="13">
        <f>U18+預測IC!V18</f>
        <v>0.38397425605686691</v>
      </c>
      <c r="W18" s="13">
        <f>V18+預測IC!W18</f>
        <v>0.46127125605686692</v>
      </c>
      <c r="X18" s="13">
        <f>W18+預測IC!X18</f>
        <v>0.58839454177115258</v>
      </c>
      <c r="Y18" s="13">
        <f>X18+預測IC!Y18</f>
        <v>0.6126063989140097</v>
      </c>
      <c r="Z18" s="13">
        <f>Y18+預測IC!Z18</f>
        <v>0.59570082748543829</v>
      </c>
      <c r="AA18" s="13">
        <f>Z18+預測IC!AA18</f>
        <v>0.55399558230271417</v>
      </c>
      <c r="AB18" s="13">
        <f>AA18+預測IC!AB18</f>
        <v>0.49228158230271418</v>
      </c>
      <c r="AC18" s="13">
        <f>AB18+預測IC!AC18</f>
        <v>0.41756172515985701</v>
      </c>
      <c r="AD18" s="13">
        <f>AC18+預測IC!AD18</f>
        <v>0.3909661347807768</v>
      </c>
      <c r="AE18" s="13">
        <f>AD18+預測IC!AE18</f>
        <v>0.46816713478077676</v>
      </c>
      <c r="AF18" s="13">
        <f>AE18+預測IC!AF18</f>
        <v>0.43629371662015115</v>
      </c>
      <c r="AG18" s="13">
        <f>AF18+預測IC!AG18</f>
        <v>0.42767585947729403</v>
      </c>
      <c r="AH18" s="13">
        <f>AG18+預測IC!AH18</f>
        <v>0.46787332044580876</v>
      </c>
      <c r="AI18" s="13">
        <f>AH18+預測IC!AI18</f>
        <v>0.58595974901723735</v>
      </c>
      <c r="AJ18" s="13">
        <f>AI18+預測IC!AJ18</f>
        <v>0.57863160616009446</v>
      </c>
      <c r="AK18" s="13">
        <f>AJ18+預測IC!AK18</f>
        <v>0.6059228918743802</v>
      </c>
      <c r="AL18" s="13">
        <f>AK18+預測IC!AL18</f>
        <v>0.65345065550663795</v>
      </c>
      <c r="AM18" s="13">
        <f>AL18+預測IC!AM18</f>
        <v>0.72009406093140915</v>
      </c>
      <c r="AN18" s="13">
        <f>AM18+預測IC!AN18</f>
        <v>0.79938870088661096</v>
      </c>
      <c r="AO18" s="13">
        <f>AN18+預測IC!AO18</f>
        <v>0.80481623585430373</v>
      </c>
      <c r="AP18" s="13">
        <f>AO18+預測IC!AP18</f>
        <v>0.80683195014001796</v>
      </c>
      <c r="AQ18" s="13">
        <f>AP18+預測IC!AQ18</f>
        <v>0.73060110481356799</v>
      </c>
      <c r="AR18" s="13">
        <f>AQ18+預測IC!AR18</f>
        <v>0.85514661117651225</v>
      </c>
      <c r="AS18" s="13">
        <f>AR18+預測IC!AS18</f>
        <v>0.94097316273048137</v>
      </c>
      <c r="AT18" s="13">
        <f>AS18+預測IC!AT18</f>
        <v>0.98429881255106011</v>
      </c>
      <c r="AU18" s="13">
        <f>AT18+預測IC!AU18</f>
        <v>1.0488744566306516</v>
      </c>
      <c r="AV18" s="13">
        <f>AU18+預測IC!AV18</f>
        <v>1.0201057007489345</v>
      </c>
      <c r="AW18" s="13">
        <f>AV18+預測IC!AW18</f>
        <v>1.0446437349900419</v>
      </c>
      <c r="AX18" s="13">
        <f>AW18+預測IC!AX18</f>
        <v>1.0782480207043277</v>
      </c>
      <c r="AY18" s="13">
        <f>AX18+預測IC!AY18</f>
        <v>1.1130312993454758</v>
      </c>
      <c r="AZ18" s="13">
        <f>AY18+預測IC!AZ18</f>
        <v>0.96462221695657679</v>
      </c>
      <c r="BA18" s="13">
        <f>AZ18+預測IC!BA18</f>
        <v>0.96525452788126231</v>
      </c>
      <c r="BB18" s="13">
        <f>BA18+預測IC!BB18</f>
        <v>1.1029105700385995</v>
      </c>
      <c r="BC18" s="13">
        <f>BB18+預測IC!BC18</f>
        <v>1.1861121426319201</v>
      </c>
      <c r="BD18" s="13">
        <f>BC18+預測IC!BD18</f>
        <v>1.1620958709446196</v>
      </c>
      <c r="BE18" s="13">
        <f>BD18+預測IC!BE18</f>
        <v>1.2304570841827824</v>
      </c>
      <c r="BF18" s="13">
        <f>BE18+預測IC!BF18</f>
        <v>1.2763416204823612</v>
      </c>
      <c r="BG18" s="13">
        <f>BF18+預測IC!BG18</f>
        <v>1.259535379256157</v>
      </c>
      <c r="BH18" s="13">
        <f>BG18+預測IC!BH18</f>
        <v>1.2800392323199625</v>
      </c>
      <c r="BI18" s="13">
        <f>BH18+預測IC!BI18</f>
        <v>1.3890392392386282</v>
      </c>
      <c r="BJ18" s="13">
        <f>BI18+預測IC!BJ18</f>
        <v>1.3949953032890876</v>
      </c>
      <c r="BK18" s="13">
        <f>BJ18+預測IC!BK18</f>
        <v>1.3369920591188851</v>
      </c>
      <c r="BL18" s="13">
        <f>BK18+預測IC!BL18</f>
        <v>1.4181497329390891</v>
      </c>
      <c r="BM18" s="13">
        <f>BL18+預測IC!BM18</f>
        <v>1.5209236720025288</v>
      </c>
      <c r="BN18" s="13">
        <f>BM18+預測IC!BN18</f>
        <v>1.5736980616263589</v>
      </c>
      <c r="BO18" s="13">
        <f>BN18+預測IC!BO18</f>
        <v>1.5939255577327336</v>
      </c>
      <c r="BP18" s="13">
        <f>BO18+預測IC!BP18</f>
        <v>1.6407830980674156</v>
      </c>
      <c r="BQ18" s="13">
        <f>BP18+預測IC!BQ18</f>
        <v>1.6426998821772647</v>
      </c>
      <c r="BR18" s="13">
        <f>BQ18+預測IC!BR18</f>
        <v>1.63695168859331</v>
      </c>
      <c r="BS18" s="13">
        <f>BR18+預測IC!BS18</f>
        <v>1.6329680634961907</v>
      </c>
      <c r="BT18" s="13">
        <f>BS18+預測IC!BT18</f>
        <v>1.7482048115320774</v>
      </c>
      <c r="BU18" s="13">
        <f>BT18+預測IC!BU18</f>
        <v>1.8288822555721183</v>
      </c>
      <c r="BV18" s="13">
        <f>BU18+預測IC!BV18</f>
        <v>1.9098056508491605</v>
      </c>
      <c r="BW18" s="13">
        <f>BV18+預測IC!BW18</f>
        <v>1.8244945639159651</v>
      </c>
      <c r="BX18" s="13">
        <f>BW18+預測IC!BX18</f>
        <v>1.8435130386320007</v>
      </c>
      <c r="BY18" s="13">
        <f>BX18+預測IC!BY18</f>
        <v>1.7204380628079758</v>
      </c>
      <c r="BZ18" s="13">
        <f>BY18+預測IC!BZ18</f>
        <v>1.873758050610574</v>
      </c>
      <c r="CA18" s="13">
        <f>BZ18+預測IC!CA18</f>
        <v>1.9070439077534311</v>
      </c>
      <c r="CB18" s="13">
        <f>CA18+預測IC!CB18</f>
        <v>1.8824665511409828</v>
      </c>
      <c r="CC18" s="13">
        <f>CB18+預測IC!CC18</f>
        <v>1.8542931071215827</v>
      </c>
      <c r="CD18" s="13">
        <f>CC18+預測IC!CD18</f>
        <v>2.0480099257684135</v>
      </c>
      <c r="CE18" s="13">
        <f>CD18+預測IC!CE18</f>
        <v>1.8700835694595361</v>
      </c>
      <c r="CF18" s="13">
        <f>CE18+預測IC!CF18</f>
        <v>1.9419011611599102</v>
      </c>
      <c r="CG18" s="13">
        <f>CF18+預測IC!CG18</f>
        <v>1.9390998022204946</v>
      </c>
      <c r="CH18" s="13">
        <f>CG18+預測IC!CH18</f>
        <v>2.1017568489077276</v>
      </c>
      <c r="CI18" s="13">
        <f>CH18+預測IC!CI18</f>
        <v>2.0628877090300382</v>
      </c>
      <c r="CJ18" s="13">
        <f>CI18+預測IC!CJ18</f>
        <v>2.0005740312051286</v>
      </c>
      <c r="CK18" s="13">
        <f>CJ18+預測IC!CK18</f>
        <v>2.0912418154974124</v>
      </c>
      <c r="CL18" s="13">
        <f>CK18+預測IC!CL18</f>
        <v>2.0602522704392192</v>
      </c>
      <c r="CM18" s="13">
        <f>CL18+預測IC!CM18</f>
        <v>2.2039008136036129</v>
      </c>
      <c r="CN18" s="13">
        <f>CM18+預測IC!CN18</f>
        <v>2.1688145596254365</v>
      </c>
      <c r="CO18" s="13">
        <f>CN18+預測IC!CO18</f>
        <v>1.9372406810760072</v>
      </c>
      <c r="CP18" s="13">
        <f>CO18+預測IC!CP18</f>
        <v>2.1000797900240178</v>
      </c>
      <c r="CQ18" s="13">
        <f>CP18+預測IC!CQ18</f>
        <v>2.1480563264322852</v>
      </c>
      <c r="CR18" s="13">
        <f>CQ18+預測IC!CR18</f>
        <v>2.203212455148877</v>
      </c>
      <c r="CS18" s="13">
        <f>CR18+預測IC!CS18</f>
        <v>2.2812397018808483</v>
      </c>
      <c r="CT18" s="13">
        <f>CS18+預測IC!CT18</f>
        <v>2.3717551308830975</v>
      </c>
      <c r="CU18" s="13">
        <f>CT18+預測IC!CU18</f>
        <v>2.3001064396779873</v>
      </c>
      <c r="CV18" s="13">
        <f>CU18+預測IC!CV18</f>
        <v>2.3911467219082758</v>
      </c>
      <c r="CW18" s="13">
        <f>CV18+預測IC!CW18</f>
        <v>2.3826906363437499</v>
      </c>
      <c r="CX18" s="13">
        <f>CW18+預測IC!CX18</f>
        <v>2.4442508221775281</v>
      </c>
      <c r="CY18" s="13">
        <f>CX18+預測IC!CY18</f>
        <v>2.3928934084027458</v>
      </c>
      <c r="CZ18" s="13">
        <f>CY18+預測IC!CZ18</f>
        <v>2.5257362717045173</v>
      </c>
      <c r="DA18" s="13">
        <f>CZ18+預測IC!DA18</f>
        <v>2.4783553321858238</v>
      </c>
      <c r="DB18" s="13">
        <f>DA18+預測IC!DB18</f>
        <v>2.4326201235070646</v>
      </c>
      <c r="DC18" s="13">
        <f>DB18+預測IC!DC18</f>
        <v>2.4690289050025709</v>
      </c>
      <c r="DD18" s="13">
        <f>DC18+預測IC!DD18</f>
        <v>2.3865665515071566</v>
      </c>
      <c r="DE18" s="13">
        <f>DD18+預測IC!DE18</f>
        <v>2.4357399963987976</v>
      </c>
      <c r="DF18" s="13">
        <f>DE18+預測IC!DF18</f>
        <v>2.4006972176164272</v>
      </c>
      <c r="DG18" s="13">
        <f>DF18+預測IC!DG18</f>
        <v>2.3930777444587994</v>
      </c>
      <c r="DH18" s="13">
        <f>DG18+預測IC!DH18</f>
        <v>2.3650397312101505</v>
      </c>
      <c r="DI18" s="13">
        <f>DH18+預測IC!DI18</f>
        <v>2.3489251019721236</v>
      </c>
      <c r="DJ18" s="13">
        <f>DI18+預測IC!DJ18</f>
        <v>2.3037210621868343</v>
      </c>
      <c r="DK18" s="13">
        <f>DJ18+預測IC!DK18</f>
        <v>2.4622346892792617</v>
      </c>
      <c r="DL18" s="13">
        <f>DK18+預測IC!DL18</f>
        <v>2.5436324321955031</v>
      </c>
      <c r="DM18" s="13">
        <f>DL18+預測IC!DM18</f>
        <v>2.4771242914634648</v>
      </c>
      <c r="DN18" s="13">
        <f>DM18+預測IC!DN18</f>
        <v>2.4604022273854436</v>
      </c>
      <c r="DO18" s="13">
        <f>DN18+預測IC!DO18</f>
        <v>2.5025071349360739</v>
      </c>
      <c r="DP18" s="13">
        <f>DO18+預測IC!DP18</f>
        <v>2.4819024484692083</v>
      </c>
      <c r="DQ18" s="13">
        <f>DP18+預測IC!DQ18</f>
        <v>2.3811751701633765</v>
      </c>
      <c r="DR18" s="13">
        <f>DQ18+預測IC!DR18</f>
        <v>2.4580158249353374</v>
      </c>
      <c r="DS18" s="13">
        <f>DR18+預測IC!DS18</f>
        <v>2.3102938264836048</v>
      </c>
      <c r="DT18" s="13">
        <f>DS18+預測IC!DT18</f>
        <v>2.1942764363726277</v>
      </c>
      <c r="DU18" s="13">
        <f>DT18+預測IC!DU18</f>
        <v>2.0973812502957232</v>
      </c>
      <c r="DV18" s="13">
        <f>DU18+預測IC!DV18</f>
        <v>2.2030218590957853</v>
      </c>
      <c r="DW18" s="13">
        <f>DV18+預測IC!DW18</f>
        <v>2.2849305513801585</v>
      </c>
      <c r="DX18" s="13">
        <f>DW18+預測IC!DX18</f>
        <v>2.1313275739176767</v>
      </c>
      <c r="DY18" s="13">
        <f>DX18+預測IC!DY18</f>
        <v>2.2287556108936264</v>
      </c>
      <c r="DZ18" s="13">
        <f>DY18+預測IC!DZ18</f>
        <v>2.1532392515972609</v>
      </c>
      <c r="EA18" s="13">
        <f>DZ18+預測IC!EA18</f>
        <v>2.1468776888532792</v>
      </c>
      <c r="EB18" s="13">
        <f>EA18+預測IC!EB18</f>
        <v>2.2467240668315998</v>
      </c>
      <c r="EC18" s="13">
        <f>EB18+預測IC!EC18</f>
        <v>2.2494881822569712</v>
      </c>
      <c r="ED18" s="13">
        <f>EC18+預測IC!ED18</f>
        <v>2.1390101603912055</v>
      </c>
      <c r="EE18" s="13">
        <f>ED18+預測IC!EE18</f>
        <v>2.1251564064166986</v>
      </c>
      <c r="EF18" s="13">
        <f>EE18+預測IC!EF18</f>
        <v>2.1741114235271151</v>
      </c>
    </row>
    <row r="19" spans="1:136">
      <c r="A19" s="2">
        <v>160</v>
      </c>
      <c r="B19" s="2">
        <v>6</v>
      </c>
      <c r="C19" s="13">
        <v>-7.7959416087486216E-2</v>
      </c>
      <c r="D19" s="13">
        <f>C19+預測IC!D19</f>
        <v>0.32956191724584716</v>
      </c>
      <c r="E19" s="13">
        <f>D19+預測IC!E19</f>
        <v>0.27466382347843499</v>
      </c>
      <c r="F19" s="13">
        <f>E19+預測IC!F19</f>
        <v>0.51083465681176832</v>
      </c>
      <c r="G19" s="13">
        <f>F19+預測IC!G19</f>
        <v>0.41332256625016817</v>
      </c>
      <c r="H19" s="13">
        <f>G19+預測IC!H19</f>
        <v>0.5909327329168349</v>
      </c>
      <c r="I19" s="13">
        <f>H19+預測IC!I19</f>
        <v>0.6383960662501682</v>
      </c>
      <c r="J19" s="13">
        <f>I19+預測IC!J19</f>
        <v>0.48216689958350151</v>
      </c>
      <c r="K19" s="13">
        <f>J19+預測IC!K19</f>
        <v>6.382904861386729E-2</v>
      </c>
      <c r="L19" s="13">
        <f>K19+預測IC!L19</f>
        <v>0.10687800624903332</v>
      </c>
      <c r="M19" s="13">
        <f>L19+預測IC!M19</f>
        <v>-0.15466366041763335</v>
      </c>
      <c r="N19" s="13">
        <f>M19+預測IC!N19</f>
        <v>0.37771083958236662</v>
      </c>
      <c r="O19" s="13">
        <f>N19+預測IC!O19</f>
        <v>0.35791383958236661</v>
      </c>
      <c r="P19" s="13">
        <f>O19+預測IC!P19</f>
        <v>0.38069917291569993</v>
      </c>
      <c r="Q19" s="13">
        <f>P19+預測IC!Q19</f>
        <v>0.55116350624903321</v>
      </c>
      <c r="R19" s="13">
        <f>Q19+預測IC!R19</f>
        <v>0.59310650624903327</v>
      </c>
      <c r="S19" s="13">
        <f>R19+預測IC!S19</f>
        <v>0.51441033958236659</v>
      </c>
      <c r="T19" s="13">
        <f>S19+預測IC!T19</f>
        <v>0.4048835062490333</v>
      </c>
      <c r="U19" s="13">
        <f>T19+預測IC!U19</f>
        <v>0.44906767291569993</v>
      </c>
      <c r="V19" s="13">
        <f>U19+預測IC!V19</f>
        <v>0.33038417291569994</v>
      </c>
      <c r="W19" s="13">
        <f>V19+預測IC!W19</f>
        <v>0.40280000624903328</v>
      </c>
      <c r="X19" s="13">
        <f>W19+預測IC!X19</f>
        <v>0.52572367291569999</v>
      </c>
      <c r="Y19" s="13">
        <f>X19+預測IC!Y19</f>
        <v>0.54978583958236671</v>
      </c>
      <c r="Z19" s="13">
        <f>Y19+預測IC!Z19</f>
        <v>0.52756283958236672</v>
      </c>
      <c r="AA19" s="13">
        <f>Z19+預測IC!AA19</f>
        <v>0.48599265504421096</v>
      </c>
      <c r="AB19" s="13">
        <f>AA19+預測IC!AB19</f>
        <v>0.42523015504421097</v>
      </c>
      <c r="AC19" s="13">
        <f>AB19+預測IC!AC19</f>
        <v>0.34171732171087765</v>
      </c>
      <c r="AD19" s="13">
        <f>AC19+預測IC!AD19</f>
        <v>0.30662839312292733</v>
      </c>
      <c r="AE19" s="13">
        <f>AD19+預測IC!AE19</f>
        <v>0.42185955978959394</v>
      </c>
      <c r="AF19" s="13">
        <f>AE19+預測IC!AF19</f>
        <v>0.38307389298069416</v>
      </c>
      <c r="AG19" s="13">
        <f>AF19+預測IC!AG19</f>
        <v>0.40237239298069416</v>
      </c>
      <c r="AH19" s="13">
        <f>AG19+預測IC!AH19</f>
        <v>0.45893010820239771</v>
      </c>
      <c r="AI19" s="13">
        <f>AH19+預測IC!AI19</f>
        <v>0.55047944153573103</v>
      </c>
      <c r="AJ19" s="13">
        <f>AI19+預測IC!AJ19</f>
        <v>0.56264577486906431</v>
      </c>
      <c r="AK19" s="13">
        <f>AJ19+預測IC!AK19</f>
        <v>0.61170644153573095</v>
      </c>
      <c r="AL19" s="13">
        <f>AK19+預測IC!AL19</f>
        <v>0.68197738720653645</v>
      </c>
      <c r="AM19" s="13">
        <f>AL19+預測IC!AM19</f>
        <v>0.72508339901794139</v>
      </c>
      <c r="AN19" s="13">
        <f>AM19+預測IC!AN19</f>
        <v>0.80865169338362342</v>
      </c>
      <c r="AO19" s="13">
        <f>AN19+預測IC!AO19</f>
        <v>0.83454459642903778</v>
      </c>
      <c r="AP19" s="13">
        <f>AO19+預測IC!AP19</f>
        <v>0.84425759642903775</v>
      </c>
      <c r="AQ19" s="13">
        <f>AP19+預測IC!AQ19</f>
        <v>0.75600483936838714</v>
      </c>
      <c r="AR19" s="13">
        <f>AQ19+預測IC!AR19</f>
        <v>0.90952240168124454</v>
      </c>
      <c r="AS19" s="13">
        <f>AR19+預測IC!AS19</f>
        <v>1.0073193569495591</v>
      </c>
      <c r="AT19" s="13">
        <f>AS19+預測IC!AT19</f>
        <v>1.0566143387152604</v>
      </c>
      <c r="AU19" s="13">
        <f>AT19+預測IC!AU19</f>
        <v>1.1330430544289145</v>
      </c>
      <c r="AV19" s="13">
        <f>AU19+預測IC!AV19</f>
        <v>1.0830100337319366</v>
      </c>
      <c r="AW19" s="13">
        <f>AV19+預測IC!AW19</f>
        <v>1.105366201886073</v>
      </c>
      <c r="AX19" s="13">
        <f>AW19+預測IC!AX19</f>
        <v>1.1694312018860731</v>
      </c>
      <c r="AY19" s="13">
        <f>AX19+預測IC!AY19</f>
        <v>1.198960172279453</v>
      </c>
      <c r="AZ19" s="13">
        <f>AY19+預測IC!AZ19</f>
        <v>1.0120805541112787</v>
      </c>
      <c r="BA19" s="13">
        <f>AZ19+預測IC!BA19</f>
        <v>0.97771667015720576</v>
      </c>
      <c r="BB19" s="13">
        <f>BA19+預測IC!BB19</f>
        <v>1.1374628692296374</v>
      </c>
      <c r="BC19" s="13">
        <f>BB19+預測IC!BC19</f>
        <v>1.2015183555758231</v>
      </c>
      <c r="BD19" s="13">
        <f>BC19+預測IC!BD19</f>
        <v>1.1982839629457549</v>
      </c>
      <c r="BE19" s="13">
        <f>BD19+預測IC!BE19</f>
        <v>1.2494158369094215</v>
      </c>
      <c r="BF19" s="13">
        <f>BE19+預測IC!BF19</f>
        <v>1.26298681105856</v>
      </c>
      <c r="BG19" s="13">
        <f>BF19+預測IC!BG19</f>
        <v>1.2466431527257178</v>
      </c>
      <c r="BH19" s="13">
        <f>BG19+預測IC!BH19</f>
        <v>1.2486613544271488</v>
      </c>
      <c r="BI19" s="13">
        <f>BH19+預測IC!BI19</f>
        <v>1.3764599832463675</v>
      </c>
      <c r="BJ19" s="13">
        <f>BI19+預測IC!BJ19</f>
        <v>1.3981672847849467</v>
      </c>
      <c r="BK19" s="13">
        <f>BJ19+預測IC!BK19</f>
        <v>1.3464177586929542</v>
      </c>
      <c r="BL19" s="13">
        <f>BK19+預測IC!BL19</f>
        <v>1.4263824168394574</v>
      </c>
      <c r="BM19" s="13">
        <f>BL19+預測IC!BM19</f>
        <v>1.540633017098153</v>
      </c>
      <c r="BN19" s="13">
        <f>BM19+預測IC!BN19</f>
        <v>1.6078856645654249</v>
      </c>
      <c r="BO19" s="13">
        <f>BN19+預測IC!BO19</f>
        <v>1.6336146258305404</v>
      </c>
      <c r="BP19" s="13">
        <f>BO19+預測IC!BP19</f>
        <v>1.6964334333646724</v>
      </c>
      <c r="BQ19" s="13">
        <f>BP19+預測IC!BQ19</f>
        <v>1.7063674778189954</v>
      </c>
      <c r="BR19" s="13">
        <f>BQ19+預測IC!BR19</f>
        <v>1.7130427238425154</v>
      </c>
      <c r="BS19" s="13">
        <f>BR19+預測IC!BS19</f>
        <v>1.6887863850980334</v>
      </c>
      <c r="BT19" s="13">
        <f>BS19+預測IC!BT19</f>
        <v>1.8304190649516068</v>
      </c>
      <c r="BU19" s="13">
        <f>BT19+預測IC!BU19</f>
        <v>1.9063553161858449</v>
      </c>
      <c r="BV19" s="13">
        <f>BU19+預測IC!BV19</f>
        <v>2.0000105573391913</v>
      </c>
      <c r="BW19" s="13">
        <f>BV19+預測IC!BW19</f>
        <v>1.8910435959555463</v>
      </c>
      <c r="BX19" s="13">
        <f>BW19+預測IC!BX19</f>
        <v>1.9251313812274045</v>
      </c>
      <c r="BY19" s="13">
        <f>BX19+預測IC!BY19</f>
        <v>1.8174816446717563</v>
      </c>
      <c r="BZ19" s="13">
        <f>BY19+預測IC!BZ19</f>
        <v>1.8861837694938102</v>
      </c>
      <c r="CA19" s="13">
        <f>BZ19+預測IC!CA19</f>
        <v>1.9217939361604768</v>
      </c>
      <c r="CB19" s="13">
        <f>CA19+預測IC!CB19</f>
        <v>1.8737527676522319</v>
      </c>
      <c r="CC19" s="13">
        <f>CB19+預測IC!CC19</f>
        <v>1.8490295148864044</v>
      </c>
      <c r="CD19" s="13">
        <f>CC19+預測IC!CD19</f>
        <v>2.0646487129801225</v>
      </c>
      <c r="CE19" s="13">
        <f>CD19+預測IC!CE19</f>
        <v>1.8663828838031633</v>
      </c>
      <c r="CF19" s="13">
        <f>CE19+預測IC!CF19</f>
        <v>1.9462872810092127</v>
      </c>
      <c r="CG19" s="13">
        <f>CF19+預測IC!CG19</f>
        <v>1.8956537509945592</v>
      </c>
      <c r="CH19" s="13">
        <f>CG19+預測IC!CH19</f>
        <v>2.0485436180444854</v>
      </c>
      <c r="CI19" s="13">
        <f>CH19+預測IC!CI19</f>
        <v>2.01147667188429</v>
      </c>
      <c r="CJ19" s="13">
        <f>CI19+預測IC!CJ19</f>
        <v>1.9495361719182538</v>
      </c>
      <c r="CK19" s="13">
        <f>CJ19+預測IC!CK19</f>
        <v>2.0535038897353521</v>
      </c>
      <c r="CL19" s="13">
        <f>CK19+預測IC!CL19</f>
        <v>2.0102636097605622</v>
      </c>
      <c r="CM19" s="13">
        <f>CL19+預測IC!CM19</f>
        <v>2.1856112513422774</v>
      </c>
      <c r="CN19" s="13">
        <f>CM19+預測IC!CN19</f>
        <v>2.1086785966749741</v>
      </c>
      <c r="CO19" s="13">
        <f>CN19+預測IC!CO19</f>
        <v>1.8362241920464677</v>
      </c>
      <c r="CP19" s="13">
        <f>CO19+預測IC!CP19</f>
        <v>1.9952567910288004</v>
      </c>
      <c r="CQ19" s="13">
        <f>CP19+預測IC!CQ19</f>
        <v>1.9925268828742384</v>
      </c>
      <c r="CR19" s="13">
        <f>CQ19+預測IC!CR19</f>
        <v>2.0422210724266412</v>
      </c>
      <c r="CS19" s="13">
        <f>CR19+預測IC!CS19</f>
        <v>2.1029219233251792</v>
      </c>
      <c r="CT19" s="13">
        <f>CS19+預測IC!CT19</f>
        <v>2.2255423499552101</v>
      </c>
      <c r="CU19" s="13">
        <f>CT19+預測IC!CU19</f>
        <v>2.1421059528413169</v>
      </c>
      <c r="CV19" s="13">
        <f>CU19+預測IC!CV19</f>
        <v>2.2440858143577205</v>
      </c>
      <c r="CW19" s="13">
        <f>CV19+預測IC!CW19</f>
        <v>2.222184006575822</v>
      </c>
      <c r="CX19" s="13">
        <f>CW19+預測IC!CX19</f>
        <v>2.2798187329440069</v>
      </c>
      <c r="CY19" s="13">
        <f>CX19+預測IC!CY19</f>
        <v>2.2088968633796373</v>
      </c>
      <c r="CZ19" s="13">
        <f>CY19+預測IC!CZ19</f>
        <v>2.3217486920211012</v>
      </c>
      <c r="DA19" s="13">
        <f>CZ19+預測IC!DA19</f>
        <v>2.2635248153178646</v>
      </c>
      <c r="DB19" s="13">
        <f>DA19+預測IC!DB19</f>
        <v>2.2278039162926491</v>
      </c>
      <c r="DC19" s="13">
        <f>DB19+預測IC!DC19</f>
        <v>2.1926245163905551</v>
      </c>
      <c r="DD19" s="13">
        <f>DC19+預測IC!DD19</f>
        <v>2.0863671804357544</v>
      </c>
      <c r="DE19" s="13">
        <f>DD19+預測IC!DE19</f>
        <v>2.140392135818364</v>
      </c>
      <c r="DF19" s="13">
        <f>DE19+預測IC!DF19</f>
        <v>2.0706990889253412</v>
      </c>
      <c r="DG19" s="13">
        <f>DF19+預測IC!DG19</f>
        <v>2.0579526140146922</v>
      </c>
      <c r="DH19" s="13">
        <f>DG19+預測IC!DH19</f>
        <v>2.0577956308852876</v>
      </c>
      <c r="DI19" s="13">
        <f>DH19+預測IC!DI19</f>
        <v>2.0614620553277088</v>
      </c>
      <c r="DJ19" s="13">
        <f>DI19+預測IC!DJ19</f>
        <v>2.0129477046047324</v>
      </c>
      <c r="DK19" s="13">
        <f>DJ19+預測IC!DK19</f>
        <v>2.1370922923889402</v>
      </c>
      <c r="DL19" s="13">
        <f>DK19+預測IC!DL19</f>
        <v>2.2072597001888097</v>
      </c>
      <c r="DM19" s="13">
        <f>DL19+預測IC!DM19</f>
        <v>2.1253074451548155</v>
      </c>
      <c r="DN19" s="13">
        <f>DM19+預測IC!DN19</f>
        <v>2.1277825682524538</v>
      </c>
      <c r="DO19" s="13">
        <f>DN19+預測IC!DO19</f>
        <v>2.1829091316523979</v>
      </c>
      <c r="DP19" s="13">
        <f>DO19+預測IC!DP19</f>
        <v>2.2107471461353918</v>
      </c>
      <c r="DQ19" s="13">
        <f>DP19+預測IC!DQ19</f>
        <v>2.0902577667747568</v>
      </c>
      <c r="DR19" s="13">
        <f>DQ19+預測IC!DR19</f>
        <v>2.1662201200998048</v>
      </c>
      <c r="DS19" s="13">
        <f>DR19+預測IC!DS19</f>
        <v>1.9882245731458346</v>
      </c>
      <c r="DT19" s="13">
        <f>DS19+預測IC!DT19</f>
        <v>1.8550960725264851</v>
      </c>
      <c r="DU19" s="13">
        <f>DT19+預測IC!DU19</f>
        <v>1.7122653744720449</v>
      </c>
      <c r="DV19" s="13">
        <f>DU19+預測IC!DV19</f>
        <v>1.8237900809126493</v>
      </c>
      <c r="DW19" s="13">
        <f>DV19+預測IC!DW19</f>
        <v>1.8843992202533335</v>
      </c>
      <c r="DX19" s="13">
        <f>DW19+預測IC!DX19</f>
        <v>1.7460340860151558</v>
      </c>
      <c r="DY19" s="13">
        <f>DX19+預測IC!DY19</f>
        <v>1.8161436637030788</v>
      </c>
      <c r="DZ19" s="13">
        <f>DY19+預測IC!DZ19</f>
        <v>1.7042228348390858</v>
      </c>
      <c r="EA19" s="13">
        <f>DZ19+預測IC!EA19</f>
        <v>1.6761434813634184</v>
      </c>
      <c r="EB19" s="13">
        <f>EA19+預測IC!EB19</f>
        <v>1.6979162513761969</v>
      </c>
      <c r="EC19" s="13">
        <f>EB19+預測IC!EC19</f>
        <v>1.6857262081524949</v>
      </c>
      <c r="ED19" s="13">
        <f>EC19+預測IC!ED19</f>
        <v>1.534790891162338</v>
      </c>
      <c r="EE19" s="13">
        <f>ED19+預測IC!EE19</f>
        <v>1.5474249341027604</v>
      </c>
      <c r="EF19" s="13">
        <f>EE19+預測IC!EF19</f>
        <v>1.5644028889775294</v>
      </c>
    </row>
    <row r="20" spans="1:136">
      <c r="A20" s="2">
        <v>192</v>
      </c>
      <c r="B20" s="2">
        <v>5</v>
      </c>
      <c r="C20" s="13">
        <v>-0.13932460396499161</v>
      </c>
      <c r="D20" s="13">
        <f>C20+預測IC!D20</f>
        <v>0.24270119603500842</v>
      </c>
      <c r="E20" s="13">
        <f>D20+預測IC!E20</f>
        <v>0.2582011841793424</v>
      </c>
      <c r="F20" s="13">
        <f>E20+預測IC!F20</f>
        <v>0.44062038417934241</v>
      </c>
      <c r="G20" s="13">
        <f>F20+預測IC!G20</f>
        <v>0.3402544722604785</v>
      </c>
      <c r="H20" s="13">
        <f>G20+預測IC!H20</f>
        <v>0.48418667226047851</v>
      </c>
      <c r="I20" s="13">
        <f>H20+預測IC!I20</f>
        <v>0.51212287226047848</v>
      </c>
      <c r="J20" s="13">
        <f>I20+預測IC!J20</f>
        <v>0.37891667226047848</v>
      </c>
      <c r="K20" s="13">
        <f>J20+預測IC!K20</f>
        <v>0.28880801813780449</v>
      </c>
      <c r="L20" s="13">
        <f>K20+預測IC!L20</f>
        <v>0.38451665364234022</v>
      </c>
      <c r="M20" s="13">
        <f>L20+預測IC!M20</f>
        <v>0.11582265364234023</v>
      </c>
      <c r="N20" s="13">
        <f>M20+預測IC!N20</f>
        <v>0.61583425364234023</v>
      </c>
      <c r="O20" s="13">
        <f>N20+預測IC!O20</f>
        <v>0.5057204536423402</v>
      </c>
      <c r="P20" s="13">
        <f>O20+預測IC!P20</f>
        <v>0.54574945364234018</v>
      </c>
      <c r="Q20" s="13">
        <f>P20+預測IC!Q20</f>
        <v>0.77057605364234016</v>
      </c>
      <c r="R20" s="13">
        <f>Q20+預測IC!R20</f>
        <v>0.83704565364234018</v>
      </c>
      <c r="S20" s="13">
        <f>R20+預測IC!S20</f>
        <v>0.77970425364234019</v>
      </c>
      <c r="T20" s="13">
        <f>S20+預測IC!T20</f>
        <v>0.67885845364234021</v>
      </c>
      <c r="U20" s="13">
        <f>T20+預測IC!U20</f>
        <v>0.71109345364234022</v>
      </c>
      <c r="V20" s="13">
        <f>U20+預測IC!V20</f>
        <v>0.57480525364234025</v>
      </c>
      <c r="W20" s="13">
        <f>V20+預測IC!W20</f>
        <v>0.66589025364234022</v>
      </c>
      <c r="X20" s="13">
        <f>W20+預測IC!X20</f>
        <v>0.81593325364234026</v>
      </c>
      <c r="Y20" s="13">
        <f>X20+預測IC!Y20</f>
        <v>0.81107525364234023</v>
      </c>
      <c r="Z20" s="13">
        <f>Y20+預測IC!Z20</f>
        <v>0.84023365364234026</v>
      </c>
      <c r="AA20" s="13">
        <f>Z20+預測IC!AA20</f>
        <v>0.81863910025504316</v>
      </c>
      <c r="AB20" s="13">
        <f>AA20+預測IC!AB20</f>
        <v>0.75821610025504316</v>
      </c>
      <c r="AC20" s="13">
        <f>AB20+預測IC!AC20</f>
        <v>0.6619079002550432</v>
      </c>
      <c r="AD20" s="13">
        <f>AC20+預測IC!AD20</f>
        <v>0.6274539974032135</v>
      </c>
      <c r="AE20" s="13">
        <f>AD20+預測IC!AE20</f>
        <v>0.64476419740321356</v>
      </c>
      <c r="AF20" s="13">
        <f>AE20+預測IC!AF20</f>
        <v>0.60571951901563359</v>
      </c>
      <c r="AG20" s="13">
        <f>AF20+預測IC!AG20</f>
        <v>0.59947991901563358</v>
      </c>
      <c r="AH20" s="13">
        <f>AG20+預測IC!AH20</f>
        <v>0.68965811973041624</v>
      </c>
      <c r="AI20" s="13">
        <f>AH20+預測IC!AI20</f>
        <v>0.80599531973041627</v>
      </c>
      <c r="AJ20" s="13">
        <f>AI20+預測IC!AJ20</f>
        <v>0.82323591973041621</v>
      </c>
      <c r="AK20" s="13">
        <f>AJ20+預測IC!AK20</f>
        <v>0.89020451973041625</v>
      </c>
      <c r="AL20" s="13">
        <f>AK20+預測IC!AL20</f>
        <v>0.9630979717673932</v>
      </c>
      <c r="AM20" s="13">
        <f>AL20+預測IC!AM20</f>
        <v>0.9961939525161958</v>
      </c>
      <c r="AN20" s="13">
        <f>AM20+預測IC!AN20</f>
        <v>1.0716641460351941</v>
      </c>
      <c r="AO20" s="13">
        <f>AN20+預測IC!AO20</f>
        <v>1.1169492279998825</v>
      </c>
      <c r="AP20" s="13">
        <f>AO20+預測IC!AP20</f>
        <v>1.1295548279998826</v>
      </c>
      <c r="AQ20" s="13">
        <f>AP20+預測IC!AQ20</f>
        <v>1.1570073133328336</v>
      </c>
      <c r="AR20" s="13">
        <f>AQ20+預測IC!AR20</f>
        <v>1.3270563180117578</v>
      </c>
      <c r="AS20" s="13">
        <f>AR20+預測IC!AS20</f>
        <v>1.4391521276945749</v>
      </c>
      <c r="AT20" s="13">
        <f>AS20+預測IC!AT20</f>
        <v>1.4450109014547807</v>
      </c>
      <c r="AU20" s="13">
        <f>AT20+預測IC!AU20</f>
        <v>1.5207032883499065</v>
      </c>
      <c r="AV20" s="13">
        <f>AU20+預測IC!AV20</f>
        <v>1.4660775745674284</v>
      </c>
      <c r="AW20" s="13">
        <f>AV20+預測IC!AW20</f>
        <v>1.4729428427465794</v>
      </c>
      <c r="AX20" s="13">
        <f>AW20+預測IC!AX20</f>
        <v>1.5588316427465794</v>
      </c>
      <c r="AY20" s="13">
        <f>AX20+預測IC!AY20</f>
        <v>1.5975063411894888</v>
      </c>
      <c r="AZ20" s="13">
        <f>AY20+預測IC!AZ20</f>
        <v>1.3837039100124</v>
      </c>
      <c r="BA20" s="13">
        <f>AZ20+預測IC!BA20</f>
        <v>1.3469050451518596</v>
      </c>
      <c r="BB20" s="13">
        <f>BA20+預測IC!BB20</f>
        <v>1.5145604685284288</v>
      </c>
      <c r="BC20" s="13">
        <f>BB20+預測IC!BC20</f>
        <v>1.585166036206169</v>
      </c>
      <c r="BD20" s="13">
        <f>BC20+預測IC!BD20</f>
        <v>1.5317362229845717</v>
      </c>
      <c r="BE20" s="13">
        <f>BD20+預測IC!BE20</f>
        <v>1.5257894258453113</v>
      </c>
      <c r="BF20" s="13">
        <f>BE20+預測IC!BF20</f>
        <v>1.5314780081766399</v>
      </c>
      <c r="BG20" s="13">
        <f>BF20+預測IC!BG20</f>
        <v>1.5245518654679466</v>
      </c>
      <c r="BH20" s="13">
        <f>BG20+預測IC!BH20</f>
        <v>1.4529454183538357</v>
      </c>
      <c r="BI20" s="13">
        <f>BH20+預測IC!BI20</f>
        <v>1.5846906854390106</v>
      </c>
      <c r="BJ20" s="13">
        <f>BI20+預測IC!BJ20</f>
        <v>1.6063201972721972</v>
      </c>
      <c r="BK20" s="13">
        <f>BJ20+預測IC!BK20</f>
        <v>1.5470870294293699</v>
      </c>
      <c r="BL20" s="13">
        <f>BK20+預測IC!BL20</f>
        <v>1.6333792606058246</v>
      </c>
      <c r="BM20" s="13">
        <f>BL20+預測IC!BM20</f>
        <v>1.7702969219342628</v>
      </c>
      <c r="BN20" s="13">
        <f>BM20+預測IC!BN20</f>
        <v>1.8888541633796343</v>
      </c>
      <c r="BO20" s="13">
        <f>BN20+預測IC!BO20</f>
        <v>1.8503924458636551</v>
      </c>
      <c r="BP20" s="13">
        <f>BO20+預測IC!BP20</f>
        <v>1.9107999666266102</v>
      </c>
      <c r="BQ20" s="13">
        <f>BP20+預測IC!BQ20</f>
        <v>1.9262516735874533</v>
      </c>
      <c r="BR20" s="13">
        <f>BQ20+預測IC!BR20</f>
        <v>1.9383253053179259</v>
      </c>
      <c r="BS20" s="13">
        <f>BR20+預測IC!BS20</f>
        <v>1.943732811509117</v>
      </c>
      <c r="BT20" s="13">
        <f>BS20+預測IC!BT20</f>
        <v>2.0915358446877641</v>
      </c>
      <c r="BU20" s="13">
        <f>BT20+預測IC!BU20</f>
        <v>2.1902907940554708</v>
      </c>
      <c r="BV20" s="13">
        <f>BU20+預測IC!BV20</f>
        <v>2.3062091256185426</v>
      </c>
      <c r="BW20" s="13">
        <f>BV20+預測IC!BW20</f>
        <v>2.1707058738060665</v>
      </c>
      <c r="BX20" s="13">
        <f>BW20+預測IC!BX20</f>
        <v>2.2013995104893107</v>
      </c>
      <c r="BY20" s="13">
        <f>BX20+預測IC!BY20</f>
        <v>2.0961655441200073</v>
      </c>
      <c r="BZ20" s="13">
        <f>BY20+預測IC!BZ20</f>
        <v>2.1864369483802908</v>
      </c>
      <c r="CA20" s="13">
        <f>BZ20+預測IC!CA20</f>
        <v>2.2366531483802907</v>
      </c>
      <c r="CB20" s="13">
        <f>CA20+預測IC!CB20</f>
        <v>2.1984011983693628</v>
      </c>
      <c r="CC20" s="13">
        <f>CB20+預測IC!CC20</f>
        <v>2.1723581645862975</v>
      </c>
      <c r="CD20" s="13">
        <f>CC20+預測IC!CD20</f>
        <v>2.3533856620768945</v>
      </c>
      <c r="CE20" s="13">
        <f>CD20+預測IC!CE20</f>
        <v>2.1094218666071614</v>
      </c>
      <c r="CF20" s="13">
        <f>CE20+預測IC!CF20</f>
        <v>2.190379803805838</v>
      </c>
      <c r="CG20" s="13">
        <f>CF20+預測IC!CG20</f>
        <v>2.091326915275749</v>
      </c>
      <c r="CH20" s="13">
        <f>CG20+預測IC!CH20</f>
        <v>2.1631909408728873</v>
      </c>
      <c r="CI20" s="13">
        <f>CH20+預測IC!CI20</f>
        <v>2.1327962671038052</v>
      </c>
      <c r="CJ20" s="13">
        <f>CI20+預測IC!CJ20</f>
        <v>2.0093559472164544</v>
      </c>
      <c r="CK20" s="13">
        <f>CJ20+預測IC!CK20</f>
        <v>2.1003343439665612</v>
      </c>
      <c r="CL20" s="13">
        <f>CK20+預測IC!CL20</f>
        <v>2.0081494097774319</v>
      </c>
      <c r="CM20" s="13">
        <f>CL20+預測IC!CM20</f>
        <v>2.1972005749480528</v>
      </c>
      <c r="CN20" s="13">
        <f>CM20+預測IC!CN20</f>
        <v>2.2193599863185374</v>
      </c>
      <c r="CO20" s="13">
        <f>CN20+預測IC!CO20</f>
        <v>1.803388651149525</v>
      </c>
      <c r="CP20" s="13">
        <f>CO20+預測IC!CP20</f>
        <v>1.9954198562585523</v>
      </c>
      <c r="CQ20" s="13">
        <f>CP20+預測IC!CQ20</f>
        <v>2.0015312141876147</v>
      </c>
      <c r="CR20" s="13">
        <f>CQ20+預測IC!CR20</f>
        <v>2.0746474586934651</v>
      </c>
      <c r="CS20" s="13">
        <f>CR20+預測IC!CS20</f>
        <v>2.1630117357057266</v>
      </c>
      <c r="CT20" s="13">
        <f>CS20+預測IC!CT20</f>
        <v>2.2534857731199929</v>
      </c>
      <c r="CU20" s="13">
        <f>CT20+預測IC!CU20</f>
        <v>2.1586181148534807</v>
      </c>
      <c r="CV20" s="13">
        <f>CU20+預測IC!CV20</f>
        <v>2.2511291905489066</v>
      </c>
      <c r="CW20" s="13">
        <f>CV20+預測IC!CW20</f>
        <v>2.2610822534701893</v>
      </c>
      <c r="CX20" s="13">
        <f>CW20+預測IC!CX20</f>
        <v>2.3513808043379538</v>
      </c>
      <c r="CY20" s="13">
        <f>CX20+預測IC!CY20</f>
        <v>2.3389010716696568</v>
      </c>
      <c r="CZ20" s="13">
        <f>CY20+預測IC!CZ20</f>
        <v>2.4940627168188549</v>
      </c>
      <c r="DA20" s="13">
        <f>CZ20+預測IC!DA20</f>
        <v>2.4465908236636773</v>
      </c>
      <c r="DB20" s="13">
        <f>DA20+預測IC!DB20</f>
        <v>2.3896881139065433</v>
      </c>
      <c r="DC20" s="13">
        <f>DB20+預測IC!DC20</f>
        <v>2.3400750446709875</v>
      </c>
      <c r="DD20" s="13">
        <f>DC20+預測IC!DD20</f>
        <v>2.1919662303321648</v>
      </c>
      <c r="DE20" s="13">
        <f>DD20+預測IC!DE20</f>
        <v>2.165216366411236</v>
      </c>
      <c r="DF20" s="13">
        <f>DE20+預測IC!DF20</f>
        <v>2.1660754879436568</v>
      </c>
      <c r="DG20" s="13">
        <f>DF20+預測IC!DG20</f>
        <v>2.161873277323286</v>
      </c>
      <c r="DH20" s="13">
        <f>DG20+預測IC!DH20</f>
        <v>2.1508978655807591</v>
      </c>
      <c r="DI20" s="13">
        <f>DH20+預測IC!DI20</f>
        <v>2.1280211337957065</v>
      </c>
      <c r="DJ20" s="13">
        <f>DI20+預測IC!DJ20</f>
        <v>2.0885611875268189</v>
      </c>
      <c r="DK20" s="13">
        <f>DJ20+預測IC!DK20</f>
        <v>2.1735151689728736</v>
      </c>
      <c r="DL20" s="13">
        <f>DK20+預測IC!DL20</f>
        <v>2.249341805151416</v>
      </c>
      <c r="DM20" s="13">
        <f>DL20+預測IC!DM20</f>
        <v>2.2586254554308529</v>
      </c>
      <c r="DN20" s="13">
        <f>DM20+預測IC!DN20</f>
        <v>2.3166446620850523</v>
      </c>
      <c r="DO20" s="13">
        <f>DN20+預測IC!DO20</f>
        <v>2.3824604639230227</v>
      </c>
      <c r="DP20" s="13">
        <f>DO20+預測IC!DP20</f>
        <v>2.39229099531391</v>
      </c>
      <c r="DQ20" s="13">
        <f>DP20+預測IC!DQ20</f>
        <v>2.2050836775793692</v>
      </c>
      <c r="DR20" s="13">
        <f>DQ20+預測IC!DR20</f>
        <v>2.2835963376076598</v>
      </c>
      <c r="DS20" s="13">
        <f>DR20+預測IC!DS20</f>
        <v>2.0775152400293049</v>
      </c>
      <c r="DT20" s="13">
        <f>DS20+預測IC!DT20</f>
        <v>1.9440792554071666</v>
      </c>
      <c r="DU20" s="13">
        <f>DT20+預測IC!DU20</f>
        <v>1.7720101482012973</v>
      </c>
      <c r="DV20" s="13">
        <f>DU20+預測IC!DV20</f>
        <v>1.901355620040156</v>
      </c>
      <c r="DW20" s="13">
        <f>DV20+預測IC!DW20</f>
        <v>1.9704158239981957</v>
      </c>
      <c r="DX20" s="13">
        <f>DW20+預測IC!DX20</f>
        <v>1.816549494391881</v>
      </c>
      <c r="DY20" s="13">
        <f>DX20+預測IC!DY20</f>
        <v>1.8701681037435298</v>
      </c>
      <c r="DZ20" s="13">
        <f>DY20+預測IC!DZ20</f>
        <v>1.7856935254338377</v>
      </c>
      <c r="EA20" s="13">
        <f>DZ20+預測IC!EA20</f>
        <v>1.8006105508614616</v>
      </c>
      <c r="EB20" s="13">
        <f>EA20+預測IC!EB20</f>
        <v>1.8396781842124268</v>
      </c>
      <c r="EC20" s="13">
        <f>EB20+預測IC!EC20</f>
        <v>1.8737277656263687</v>
      </c>
      <c r="ED20" s="13">
        <f>EC20+預測IC!ED20</f>
        <v>1.6968089045593584</v>
      </c>
      <c r="EE20" s="13">
        <f>ED20+預測IC!EE20</f>
        <v>1.6991761354867403</v>
      </c>
      <c r="EF20" s="13">
        <f>EE20+預測IC!EF20</f>
        <v>1.7194575521026476</v>
      </c>
    </row>
    <row r="21" spans="1:136">
      <c r="A21" s="2">
        <v>241</v>
      </c>
      <c r="B21" s="2">
        <v>4</v>
      </c>
      <c r="C21" s="13">
        <v>-0.19764916434148611</v>
      </c>
      <c r="D21" s="13">
        <f>C21+預測IC!D21</f>
        <v>-7.1260164341486104E-2</v>
      </c>
      <c r="E21" s="13">
        <f>D21+預測IC!E21</f>
        <v>-7.1539516612277948E-2</v>
      </c>
      <c r="F21" s="13">
        <f>E21+預測IC!F21</f>
        <v>0.13187348338772206</v>
      </c>
      <c r="G21" s="13">
        <f>F21+預測IC!G21</f>
        <v>0.12457734535987061</v>
      </c>
      <c r="H21" s="13">
        <f>G21+預測IC!H21</f>
        <v>0.28674134535987061</v>
      </c>
      <c r="I21" s="13">
        <f>H21+預測IC!I21</f>
        <v>0.30085334535987063</v>
      </c>
      <c r="J21" s="13">
        <f>I21+預測IC!J21</f>
        <v>0.16411184535987064</v>
      </c>
      <c r="K21" s="13">
        <f>J21+預測IC!K21</f>
        <v>7.513882800584859E-2</v>
      </c>
      <c r="L21" s="13">
        <f>K21+預測IC!L21</f>
        <v>0.18481843546007848</v>
      </c>
      <c r="M21" s="13">
        <f>L21+預測IC!M21</f>
        <v>-1.5066564539921529E-2</v>
      </c>
      <c r="N21" s="13">
        <f>M21+預測IC!N21</f>
        <v>0.56982393546007848</v>
      </c>
      <c r="O21" s="13">
        <f>N21+預測IC!O21</f>
        <v>0.43054668546007846</v>
      </c>
      <c r="P21" s="13">
        <f>O21+預測IC!P21</f>
        <v>0.47597443546007845</v>
      </c>
      <c r="Q21" s="13">
        <f>P21+預測IC!Q21</f>
        <v>0.75006018546007847</v>
      </c>
      <c r="R21" s="13">
        <f>Q21+預測IC!R21</f>
        <v>0.83496543546007851</v>
      </c>
      <c r="S21" s="13">
        <f>R21+預測IC!S21</f>
        <v>0.79840368546007856</v>
      </c>
      <c r="T21" s="13">
        <f>S21+預測IC!T21</f>
        <v>0.66728368546007855</v>
      </c>
      <c r="U21" s="13">
        <f>T21+預測IC!U21</f>
        <v>0.65745693546007855</v>
      </c>
      <c r="V21" s="13">
        <f>U21+預測IC!V21</f>
        <v>0.52570668546007848</v>
      </c>
      <c r="W21" s="13">
        <f>V21+預測IC!W21</f>
        <v>0.65020543546007847</v>
      </c>
      <c r="X21" s="13">
        <f>W21+預測IC!X21</f>
        <v>0.85800643546007849</v>
      </c>
      <c r="Y21" s="13">
        <f>X21+預測IC!Y21</f>
        <v>0.84785893546007851</v>
      </c>
      <c r="Z21" s="13">
        <f>Y21+預測IC!Z21</f>
        <v>0.88731793546007853</v>
      </c>
      <c r="AA21" s="13">
        <f>Z21+預測IC!AA21</f>
        <v>0.90680897900017243</v>
      </c>
      <c r="AB21" s="13">
        <f>AA21+預測IC!AB21</f>
        <v>0.84152197900017245</v>
      </c>
      <c r="AC21" s="13">
        <f>AB21+預測IC!AC21</f>
        <v>0.68198072900017248</v>
      </c>
      <c r="AD21" s="13">
        <f>AC21+預測IC!AD21</f>
        <v>0.63528330444742687</v>
      </c>
      <c r="AE21" s="13">
        <f>AD21+預測IC!AE21</f>
        <v>0.6455940544474269</v>
      </c>
      <c r="AF21" s="13">
        <f>AE21+預測IC!AF21</f>
        <v>0.59246844456086389</v>
      </c>
      <c r="AG21" s="13">
        <f>AF21+預測IC!AG21</f>
        <v>0.58190044456086387</v>
      </c>
      <c r="AH21" s="13">
        <f>AG21+預測IC!AH21</f>
        <v>0.6894818071256622</v>
      </c>
      <c r="AI21" s="13">
        <f>AH21+預測IC!AI21</f>
        <v>0.79160605712566223</v>
      </c>
      <c r="AJ21" s="13">
        <f>AI21+預測IC!AJ21</f>
        <v>0.79678955712566224</v>
      </c>
      <c r="AK21" s="13">
        <f>AJ21+預測IC!AK21</f>
        <v>0.90178005712566223</v>
      </c>
      <c r="AL21" s="13">
        <f>AK21+預測IC!AL21</f>
        <v>0.96715987985877283</v>
      </c>
      <c r="AM21" s="13">
        <f>AL21+預測IC!AM21</f>
        <v>1.0356956873064034</v>
      </c>
      <c r="AN21" s="13">
        <f>AM21+預測IC!AN21</f>
        <v>1.1476517433694977</v>
      </c>
      <c r="AO21" s="13">
        <f>AN21+預測IC!AO21</f>
        <v>1.1953781390132243</v>
      </c>
      <c r="AP21" s="13">
        <f>AO21+預測IC!AP21</f>
        <v>1.2143218890132244</v>
      </c>
      <c r="AQ21" s="13">
        <f>AP21+預測IC!AQ21</f>
        <v>1.2911873960237721</v>
      </c>
      <c r="AR21" s="13">
        <f>AQ21+預測IC!AR21</f>
        <v>1.4963696742542534</v>
      </c>
      <c r="AS21" s="13">
        <f>AR21+預測IC!AS21</f>
        <v>1.5608255429008828</v>
      </c>
      <c r="AT21" s="13">
        <f>AS21+預測IC!AT21</f>
        <v>1.5583326316237278</v>
      </c>
      <c r="AU21" s="13">
        <f>AT21+預測IC!AU21</f>
        <v>1.6061422631326849</v>
      </c>
      <c r="AV21" s="13">
        <f>AU21+預測IC!AV21</f>
        <v>1.5506214830705511</v>
      </c>
      <c r="AW21" s="13">
        <f>AV21+預測IC!AW21</f>
        <v>1.5604125130246485</v>
      </c>
      <c r="AX21" s="13">
        <f>AW21+預測IC!AX21</f>
        <v>1.6264210130246484</v>
      </c>
      <c r="AY21" s="13">
        <f>AX21+預測IC!AY21</f>
        <v>1.6734423040026865</v>
      </c>
      <c r="AZ21" s="13">
        <f>AY21+預測IC!AZ21</f>
        <v>1.4185310341055501</v>
      </c>
      <c r="BA21" s="13">
        <f>AZ21+預測IC!BA21</f>
        <v>1.3474988524574643</v>
      </c>
      <c r="BB21" s="13">
        <f>BA21+預測IC!BB21</f>
        <v>1.5728449874958024</v>
      </c>
      <c r="BC21" s="13">
        <f>BB21+預測IC!BC21</f>
        <v>1.6111661352209963</v>
      </c>
      <c r="BD21" s="13">
        <f>BC21+預測IC!BD21</f>
        <v>1.5894152718503685</v>
      </c>
      <c r="BE21" s="13">
        <f>BD21+預測IC!BE21</f>
        <v>1.5957658052477699</v>
      </c>
      <c r="BF21" s="13">
        <f>BE21+預測IC!BF21</f>
        <v>1.5993429054282047</v>
      </c>
      <c r="BG21" s="13">
        <f>BF21+預測IC!BG21</f>
        <v>1.6359780946450173</v>
      </c>
      <c r="BH21" s="13">
        <f>BG21+預測IC!BH21</f>
        <v>1.5596567315062619</v>
      </c>
      <c r="BI21" s="13">
        <f>BH21+預測IC!BI21</f>
        <v>1.7256263276846537</v>
      </c>
      <c r="BJ21" s="13">
        <f>BI21+預測IC!BJ21</f>
        <v>1.7492053538663714</v>
      </c>
      <c r="BK21" s="13">
        <f>BJ21+預測IC!BK21</f>
        <v>1.6807554734868366</v>
      </c>
      <c r="BL21" s="13">
        <f>BK21+預測IC!BL21</f>
        <v>1.8234765661331864</v>
      </c>
      <c r="BM21" s="13">
        <f>BL21+預測IC!BM21</f>
        <v>1.9785965700542862</v>
      </c>
      <c r="BN21" s="13">
        <f>BM21+預測IC!BN21</f>
        <v>2.0422445180465343</v>
      </c>
      <c r="BO21" s="13">
        <f>BN21+預測IC!BO21</f>
        <v>1.978387281632854</v>
      </c>
      <c r="BP21" s="13">
        <f>BO21+預測IC!BP21</f>
        <v>2.0828964110522685</v>
      </c>
      <c r="BQ21" s="13">
        <f>BP21+預測IC!BQ21</f>
        <v>2.1374386418867735</v>
      </c>
      <c r="BR21" s="13">
        <f>BQ21+預測IC!BR21</f>
        <v>2.1497625040706381</v>
      </c>
      <c r="BS21" s="13">
        <f>BR21+預測IC!BS21</f>
        <v>2.1556226768258142</v>
      </c>
      <c r="BT21" s="13">
        <f>BS21+預測IC!BT21</f>
        <v>2.287867370800257</v>
      </c>
      <c r="BU21" s="13">
        <f>BT21+預測IC!BU21</f>
        <v>2.4233638329988261</v>
      </c>
      <c r="BV21" s="13">
        <f>BU21+預測IC!BV21</f>
        <v>2.5655068331842794</v>
      </c>
      <c r="BW21" s="13">
        <f>BV21+預測IC!BW21</f>
        <v>2.4188276362485484</v>
      </c>
      <c r="BX21" s="13">
        <f>BW21+預測IC!BX21</f>
        <v>2.4158368169641342</v>
      </c>
      <c r="BY21" s="13">
        <f>BX21+預測IC!BY21</f>
        <v>2.3654569657460178</v>
      </c>
      <c r="BZ21" s="13">
        <f>BY21+預測IC!BZ21</f>
        <v>2.4131198944667336</v>
      </c>
      <c r="CA21" s="13">
        <f>BZ21+預測IC!CA21</f>
        <v>2.5081798944667337</v>
      </c>
      <c r="CB21" s="13">
        <f>CA21+預測IC!CB21</f>
        <v>2.4447585032684755</v>
      </c>
      <c r="CC21" s="13">
        <f>CB21+預測IC!CC21</f>
        <v>2.3980649537995125</v>
      </c>
      <c r="CD21" s="13">
        <f>CC21+預測IC!CD21</f>
        <v>2.6861210181619857</v>
      </c>
      <c r="CE21" s="13">
        <f>CD21+預測IC!CE21</f>
        <v>2.2910450756969403</v>
      </c>
      <c r="CF21" s="13">
        <f>CE21+預測IC!CF21</f>
        <v>2.4223107524980128</v>
      </c>
      <c r="CG21" s="13">
        <f>CF21+預測IC!CG21</f>
        <v>2.2785595633403268</v>
      </c>
      <c r="CH21" s="13">
        <f>CG21+預測IC!CH21</f>
        <v>2.3586598844165385</v>
      </c>
      <c r="CI21" s="13">
        <f>CH21+預測IC!CI21</f>
        <v>2.2781602680255562</v>
      </c>
      <c r="CJ21" s="13">
        <f>CI21+預測IC!CJ21</f>
        <v>2.1925325110090537</v>
      </c>
      <c r="CK21" s="13">
        <f>CJ21+預測IC!CK21</f>
        <v>2.3195830577391878</v>
      </c>
      <c r="CL21" s="13">
        <f>CK21+預測IC!CL21</f>
        <v>2.185692633116223</v>
      </c>
      <c r="CM21" s="13">
        <f>CL21+預測IC!CM21</f>
        <v>2.4111956215195942</v>
      </c>
      <c r="CN21" s="13">
        <f>CM21+預測IC!CN21</f>
        <v>2.4417345117233697</v>
      </c>
      <c r="CO21" s="13">
        <f>CN21+預測IC!CO21</f>
        <v>1.9268692631257771</v>
      </c>
      <c r="CP21" s="13">
        <f>CO21+預測IC!CP21</f>
        <v>2.1495693240036897</v>
      </c>
      <c r="CQ21" s="13">
        <f>CP21+預測IC!CQ21</f>
        <v>2.1528574157287803</v>
      </c>
      <c r="CR21" s="13">
        <f>CQ21+預測IC!CR21</f>
        <v>2.24368169370846</v>
      </c>
      <c r="CS21" s="13">
        <f>CR21+預測IC!CS21</f>
        <v>2.313328089855232</v>
      </c>
      <c r="CT21" s="13">
        <f>CS21+預測IC!CT21</f>
        <v>2.3956209627095708</v>
      </c>
      <c r="CU21" s="13">
        <f>CT21+預測IC!CU21</f>
        <v>2.3329474025400794</v>
      </c>
      <c r="CV21" s="13">
        <f>CU21+預測IC!CV21</f>
        <v>2.4311730345614664</v>
      </c>
      <c r="CW21" s="13">
        <f>CV21+預測IC!CW21</f>
        <v>2.496178451842455</v>
      </c>
      <c r="CX21" s="13">
        <f>CW21+預測IC!CX21</f>
        <v>2.5983006274998619</v>
      </c>
      <c r="CY21" s="13">
        <f>CX21+預測IC!CY21</f>
        <v>2.5898187110959476</v>
      </c>
      <c r="CZ21" s="13">
        <f>CY21+預測IC!CZ21</f>
        <v>2.8272700819217778</v>
      </c>
      <c r="DA21" s="13">
        <f>CZ21+預測IC!DA21</f>
        <v>2.8284623383785097</v>
      </c>
      <c r="DB21" s="13">
        <f>DA21+預測IC!DB21</f>
        <v>2.7768379047023553</v>
      </c>
      <c r="DC21" s="13">
        <f>DB21+預測IC!DC21</f>
        <v>2.7317903454790646</v>
      </c>
      <c r="DD21" s="13">
        <f>DC21+預測IC!DD21</f>
        <v>2.8531130343477136</v>
      </c>
      <c r="DE21" s="13">
        <f>DD21+預測IC!DE21</f>
        <v>2.8653511429360323</v>
      </c>
      <c r="DF21" s="13">
        <f>DE21+預測IC!DF21</f>
        <v>2.886912023633907</v>
      </c>
      <c r="DG21" s="13">
        <f>DF21+預測IC!DG21</f>
        <v>2.8947584017624401</v>
      </c>
      <c r="DH21" s="13">
        <f>DG21+預測IC!DH21</f>
        <v>2.9088352219748947</v>
      </c>
      <c r="DI21" s="13">
        <f>DH21+預測IC!DI21</f>
        <v>2.9432427002550741</v>
      </c>
      <c r="DJ21" s="13">
        <f>DI21+預測IC!DJ21</f>
        <v>2.9053313870645141</v>
      </c>
      <c r="DK21" s="13">
        <f>DJ21+預測IC!DK21</f>
        <v>3.0448340938834186</v>
      </c>
      <c r="DL21" s="13">
        <f>DK21+預測IC!DL21</f>
        <v>3.1431990327227952</v>
      </c>
      <c r="DM21" s="13">
        <f>DL21+預測IC!DM21</f>
        <v>3.113364913080555</v>
      </c>
      <c r="DN21" s="13">
        <f>DM21+預測IC!DN21</f>
        <v>3.184562525574548</v>
      </c>
      <c r="DO21" s="13">
        <f>DN21+預測IC!DO21</f>
        <v>3.2670083179052276</v>
      </c>
      <c r="DP21" s="13">
        <f>DO21+預測IC!DP21</f>
        <v>3.2912744729987935</v>
      </c>
      <c r="DQ21" s="13">
        <f>DP21+預測IC!DQ21</f>
        <v>3.136533286969458</v>
      </c>
      <c r="DR21" s="13">
        <f>DQ21+預測IC!DR21</f>
        <v>3.1867041460065386</v>
      </c>
      <c r="DS21" s="13">
        <f>DR21+預測IC!DS21</f>
        <v>2.9858646721692432</v>
      </c>
      <c r="DT21" s="13">
        <f>DS21+預測IC!DT21</f>
        <v>2.8152938694837824</v>
      </c>
      <c r="DU21" s="13">
        <f>DT21+預測IC!DU21</f>
        <v>2.7872035754874038</v>
      </c>
      <c r="DV21" s="13">
        <f>DU21+預測IC!DV21</f>
        <v>2.9274795523572816</v>
      </c>
      <c r="DW21" s="13">
        <f>DV21+預測IC!DW21</f>
        <v>3.0557274210214027</v>
      </c>
      <c r="DX21" s="13">
        <f>DW21+預測IC!DX21</f>
        <v>2.8697612069902192</v>
      </c>
      <c r="DY21" s="13">
        <f>DX21+預測IC!DY21</f>
        <v>2.8943572025282354</v>
      </c>
      <c r="DZ21" s="13">
        <f>DY21+預測IC!DZ21</f>
        <v>2.8415131359679466</v>
      </c>
      <c r="EA21" s="13">
        <f>DZ21+預測IC!EA21</f>
        <v>2.8166476135195184</v>
      </c>
      <c r="EB21" s="13">
        <f>EA21+預測IC!EB21</f>
        <v>2.8250557596901045</v>
      </c>
      <c r="EC21" s="13">
        <f>EB21+預測IC!EC21</f>
        <v>2.8390928147881467</v>
      </c>
      <c r="ED21" s="13">
        <f>EC21+預測IC!ED21</f>
        <v>2.7845939584399662</v>
      </c>
      <c r="EE21" s="13">
        <f>ED21+預測IC!EE21</f>
        <v>2.7990228105483843</v>
      </c>
      <c r="EF21" s="13">
        <f>EE21+預測IC!EF21</f>
        <v>2.7802515465062654</v>
      </c>
    </row>
    <row r="22" spans="1:136">
      <c r="A22" s="2">
        <v>321</v>
      </c>
      <c r="B22" s="2">
        <v>3</v>
      </c>
      <c r="C22" s="13">
        <v>6.4235717628454689E-2</v>
      </c>
      <c r="D22" s="13">
        <f>C22+預測IC!D22</f>
        <v>0.206665050961788</v>
      </c>
      <c r="E22" s="13">
        <f>D22+預測IC!E22</f>
        <v>0.16563751896116896</v>
      </c>
      <c r="F22" s="13">
        <f>E22+預測IC!F22</f>
        <v>2.5769518961168969E-2</v>
      </c>
      <c r="G22" s="13">
        <f>F22+預測IC!G22</f>
        <v>-7.185305288629644E-3</v>
      </c>
      <c r="H22" s="13">
        <f>G22+預測IC!H22</f>
        <v>0.11699269471137036</v>
      </c>
      <c r="I22" s="13">
        <f>H22+預測IC!I22</f>
        <v>0.13443202804470369</v>
      </c>
      <c r="J22" s="13">
        <f>I22+預測IC!J22</f>
        <v>3.0180028044703697E-2</v>
      </c>
      <c r="K22" s="13">
        <f>J22+預測IC!K22</f>
        <v>-0.1231067426098056</v>
      </c>
      <c r="L22" s="13">
        <f>K22+預測IC!L22</f>
        <v>4.807661681609561E-2</v>
      </c>
      <c r="M22" s="13">
        <f>L22+預測IC!M22</f>
        <v>-0.13658671651723769</v>
      </c>
      <c r="N22" s="13">
        <f>M22+預測IC!N22</f>
        <v>0.61955561681609561</v>
      </c>
      <c r="O22" s="13">
        <f>N22+預測IC!O22</f>
        <v>0.55311328348276234</v>
      </c>
      <c r="P22" s="13">
        <f>O22+預測IC!P22</f>
        <v>0.64374361681609571</v>
      </c>
      <c r="Q22" s="13">
        <f>P22+預測IC!Q22</f>
        <v>0.77101828348276236</v>
      </c>
      <c r="R22" s="13">
        <f>Q22+預測IC!R22</f>
        <v>0.83771595014942901</v>
      </c>
      <c r="S22" s="13">
        <f>R22+預測IC!S22</f>
        <v>0.7984836168160957</v>
      </c>
      <c r="T22" s="13">
        <f>S22+預測IC!T22</f>
        <v>0.69363561681609576</v>
      </c>
      <c r="U22" s="13">
        <f>T22+預測IC!U22</f>
        <v>0.74611995014942911</v>
      </c>
      <c r="V22" s="13">
        <f>U22+預測IC!V22</f>
        <v>0.57049628348276238</v>
      </c>
      <c r="W22" s="13">
        <f>V22+預測IC!W22</f>
        <v>0.72854428348276234</v>
      </c>
      <c r="X22" s="13">
        <f>W22+預測IC!X22</f>
        <v>0.98574628348276239</v>
      </c>
      <c r="Y22" s="13">
        <f>X22+預測IC!Y22</f>
        <v>0.91588895014942906</v>
      </c>
      <c r="Z22" s="13">
        <f>Y22+預測IC!Z22</f>
        <v>0.93975695014942906</v>
      </c>
      <c r="AA22" s="13">
        <f>Z22+預測IC!AA22</f>
        <v>0.94680496703628581</v>
      </c>
      <c r="AB22" s="13">
        <f>AA22+預測IC!AB22</f>
        <v>0.90853163370295242</v>
      </c>
      <c r="AC22" s="13">
        <f>AB22+預測IC!AC22</f>
        <v>0.73132030036961915</v>
      </c>
      <c r="AD22" s="13">
        <f>AC22+預測IC!AD22</f>
        <v>0.71885299769904665</v>
      </c>
      <c r="AE22" s="13">
        <f>AD22+預測IC!AE22</f>
        <v>0.63370399769904662</v>
      </c>
      <c r="AF22" s="13">
        <f>AE22+預測IC!AF22</f>
        <v>0.58652168154102247</v>
      </c>
      <c r="AG22" s="13">
        <f>AF22+預測IC!AG22</f>
        <v>0.54055134820768913</v>
      </c>
      <c r="AH22" s="13">
        <f>AG22+預測IC!AH22</f>
        <v>0.64641730762816185</v>
      </c>
      <c r="AI22" s="13">
        <f>AH22+預測IC!AI22</f>
        <v>0.75742197429482849</v>
      </c>
      <c r="AJ22" s="13">
        <f>AI22+預測IC!AJ22</f>
        <v>0.77050330762816177</v>
      </c>
      <c r="AK22" s="13">
        <f>AJ22+預測IC!AK22</f>
        <v>0.70223664096149507</v>
      </c>
      <c r="AL22" s="13">
        <f>AK22+預測IC!AL22</f>
        <v>0.74257760776839543</v>
      </c>
      <c r="AM22" s="13">
        <f>AL22+預測IC!AM22</f>
        <v>0.82666651123609902</v>
      </c>
      <c r="AN22" s="13">
        <f>AM22+預測IC!AN22</f>
        <v>0.93779932089965834</v>
      </c>
      <c r="AO22" s="13">
        <f>AN22+預測IC!AO22</f>
        <v>1.0125166942933639</v>
      </c>
      <c r="AP22" s="13">
        <f>AO22+預測IC!AP22</f>
        <v>1.0330100276266971</v>
      </c>
      <c r="AQ22" s="13">
        <f>AP22+預測IC!AQ22</f>
        <v>1.1124361451052902</v>
      </c>
      <c r="AR22" s="13">
        <f>AQ22+預測IC!AR22</f>
        <v>1.3629688232636727</v>
      </c>
      <c r="AS22" s="13">
        <f>AR22+預測IC!AS22</f>
        <v>1.4457792621622227</v>
      </c>
      <c r="AT22" s="13">
        <f>AS22+預測IC!AT22</f>
        <v>1.4206429003221963</v>
      </c>
      <c r="AU22" s="13">
        <f>AT22+預測IC!AU22</f>
        <v>1.4541433522330662</v>
      </c>
      <c r="AV22" s="13">
        <f>AU22+預測IC!AV22</f>
        <v>1.3943301755571862</v>
      </c>
      <c r="AW22" s="13">
        <f>AV22+預測IC!AW22</f>
        <v>1.3641807863501771</v>
      </c>
      <c r="AX22" s="13">
        <f>AW22+預測IC!AX22</f>
        <v>1.2564231196835105</v>
      </c>
      <c r="AY22" s="13">
        <f>AX22+預測IC!AY22</f>
        <v>1.3281565050177411</v>
      </c>
      <c r="AZ22" s="13">
        <f>AY22+預測IC!AZ22</f>
        <v>1.1732527266965889</v>
      </c>
      <c r="BA22" s="13">
        <f>AZ22+預測IC!BA22</f>
        <v>1.1276543015291269</v>
      </c>
      <c r="BB22" s="13">
        <f>BA22+預測IC!BB22</f>
        <v>1.4295842460695498</v>
      </c>
      <c r="BC22" s="13">
        <f>BB22+預測IC!BC22</f>
        <v>1.2987473079465945</v>
      </c>
      <c r="BD22" s="13">
        <f>BC22+預測IC!BD22</f>
        <v>1.2765731264807663</v>
      </c>
      <c r="BE22" s="13">
        <f>BD22+預測IC!BE22</f>
        <v>1.2987893098752468</v>
      </c>
      <c r="BF22" s="13">
        <f>BE22+預測IC!BF22</f>
        <v>1.3124281272135665</v>
      </c>
      <c r="BG22" s="13">
        <f>BF22+預測IC!BG22</f>
        <v>1.3587076393819526</v>
      </c>
      <c r="BH22" s="13">
        <f>BG22+預測IC!BH22</f>
        <v>1.2307470970438208</v>
      </c>
      <c r="BI22" s="13">
        <f>BH22+預測IC!BI22</f>
        <v>1.3418358164537278</v>
      </c>
      <c r="BJ22" s="13">
        <f>BI22+預測IC!BJ22</f>
        <v>1.3968322316044488</v>
      </c>
      <c r="BK22" s="13">
        <f>BJ22+預測IC!BK22</f>
        <v>1.3549925956707836</v>
      </c>
      <c r="BL22" s="13">
        <f>BK22+預測IC!BL22</f>
        <v>1.5167729347418188</v>
      </c>
      <c r="BM22" s="13">
        <f>BL22+預測IC!BM22</f>
        <v>1.7085699741978659</v>
      </c>
      <c r="BN22" s="13">
        <f>BM22+預測IC!BN22</f>
        <v>1.6932424221748237</v>
      </c>
      <c r="BO22" s="13">
        <f>BN22+預測IC!BO22</f>
        <v>1.6427579930620733</v>
      </c>
      <c r="BP22" s="13">
        <f>BO22+預測IC!BP22</f>
        <v>1.7175935432171796</v>
      </c>
      <c r="BQ22" s="13">
        <f>BP22+預測IC!BQ22</f>
        <v>1.7454236406154922</v>
      </c>
      <c r="BR22" s="13">
        <f>BQ22+預測IC!BR22</f>
        <v>1.766237250081945</v>
      </c>
      <c r="BS22" s="13">
        <f>BR22+預測IC!BS22</f>
        <v>1.7498644677051458</v>
      </c>
      <c r="BT22" s="13">
        <f>BS22+預測IC!BT22</f>
        <v>1.880395171041692</v>
      </c>
      <c r="BU22" s="13">
        <f>BT22+預測IC!BU22</f>
        <v>2.0933439371797022</v>
      </c>
      <c r="BV22" s="13">
        <f>BU22+預測IC!BV22</f>
        <v>2.2518879095773112</v>
      </c>
      <c r="BW22" s="13">
        <f>BV22+預測IC!BW22</f>
        <v>2.077219411649704</v>
      </c>
      <c r="BX22" s="13">
        <f>BW22+預測IC!BX22</f>
        <v>2.1138568573416765</v>
      </c>
      <c r="BY22" s="13">
        <f>BX22+預測IC!BY22</f>
        <v>2.1091100709389421</v>
      </c>
      <c r="BZ22" s="13">
        <f>BY22+預測IC!BZ22</f>
        <v>2.1563678068018342</v>
      </c>
      <c r="CA22" s="13">
        <f>BZ22+預測IC!CA22</f>
        <v>2.3004481401351673</v>
      </c>
      <c r="CB22" s="13">
        <f>CA22+預測IC!CB22</f>
        <v>2.1514548618892406</v>
      </c>
      <c r="CC22" s="13">
        <f>CB22+預測IC!CC22</f>
        <v>2.1364691584510842</v>
      </c>
      <c r="CD22" s="13">
        <f>CC22+預測IC!CD22</f>
        <v>2.4703471951638072</v>
      </c>
      <c r="CE22" s="13">
        <f>CD22+預測IC!CE22</f>
        <v>2.076959856059529</v>
      </c>
      <c r="CF22" s="13">
        <f>CE22+預測IC!CF22</f>
        <v>2.2657596418198063</v>
      </c>
      <c r="CG22" s="13">
        <f>CF22+預測IC!CG22</f>
        <v>2.0624965496172192</v>
      </c>
      <c r="CH22" s="13">
        <f>CG22+預測IC!CH22</f>
        <v>2.1784153208966672</v>
      </c>
      <c r="CI22" s="13">
        <f>CH22+預測IC!CI22</f>
        <v>2.060635574618308</v>
      </c>
      <c r="CJ22" s="13">
        <f>CI22+預測IC!CJ22</f>
        <v>1.9572560695287453</v>
      </c>
      <c r="CK22" s="13">
        <f>CJ22+預測IC!CK22</f>
        <v>1.9934194121334277</v>
      </c>
      <c r="CL22" s="13">
        <f>CK22+預測IC!CL22</f>
        <v>1.7527676135083869</v>
      </c>
      <c r="CM22" s="13">
        <f>CL22+預測IC!CM22</f>
        <v>2.0731996171662121</v>
      </c>
      <c r="CN22" s="13">
        <f>CM22+預測IC!CN22</f>
        <v>2.0646528453453046</v>
      </c>
      <c r="CO22" s="13">
        <f>CN22+預測IC!CO22</f>
        <v>1.4146963770961489</v>
      </c>
      <c r="CP22" s="13">
        <f>CO22+預測IC!CP22</f>
        <v>1.6741049340655514</v>
      </c>
      <c r="CQ22" s="13">
        <f>CP22+預測IC!CQ22</f>
        <v>1.6617711547398868</v>
      </c>
      <c r="CR22" s="13">
        <f>CQ22+預測IC!CR22</f>
        <v>1.8236215760412788</v>
      </c>
      <c r="CS22" s="13">
        <f>CR22+預測IC!CS22</f>
        <v>1.808419392519856</v>
      </c>
      <c r="CT22" s="13">
        <f>CS22+預測IC!CT22</f>
        <v>1.8666519138758413</v>
      </c>
      <c r="CU22" s="13">
        <f>CT22+預測IC!CU22</f>
        <v>1.7464202019117434</v>
      </c>
      <c r="CV22" s="13">
        <f>CU22+預測IC!CV22</f>
        <v>1.8586538971187976</v>
      </c>
      <c r="CW22" s="13">
        <f>CV22+預測IC!CW22</f>
        <v>1.8951051504449627</v>
      </c>
      <c r="CX22" s="13">
        <f>CW22+預測IC!CX22</f>
        <v>1.8988547437128116</v>
      </c>
      <c r="CY22" s="13">
        <f>CX22+預測IC!CY22</f>
        <v>1.8908659179393024</v>
      </c>
      <c r="CZ22" s="13">
        <f>CY22+預測IC!CZ22</f>
        <v>2.1537864025385414</v>
      </c>
      <c r="DA22" s="13">
        <f>CZ22+預測IC!DA22</f>
        <v>2.1497946486566173</v>
      </c>
      <c r="DB22" s="13">
        <f>DA22+預測IC!DB22</f>
        <v>2.0914111418281252</v>
      </c>
      <c r="DC22" s="13">
        <f>DB22+預測IC!DC22</f>
        <v>2.0706863573839676</v>
      </c>
      <c r="DD22" s="13">
        <f>DC22+預測IC!DD22</f>
        <v>2.2185804599567711</v>
      </c>
      <c r="DE22" s="13">
        <f>DD22+預測IC!DE22</f>
        <v>2.2130887019748209</v>
      </c>
      <c r="DF22" s="13">
        <f>DE22+預測IC!DF22</f>
        <v>2.230120477248374</v>
      </c>
      <c r="DG22" s="13">
        <f>DF22+預測IC!DG22</f>
        <v>2.2621055203292615</v>
      </c>
      <c r="DH22" s="13">
        <f>DG22+預測IC!DH22</f>
        <v>2.2760508665127652</v>
      </c>
      <c r="DI22" s="13">
        <f>DH22+預測IC!DI22</f>
        <v>2.3396118657750145</v>
      </c>
      <c r="DJ22" s="13">
        <f>DI22+預測IC!DJ22</f>
        <v>2.2893658599419187</v>
      </c>
      <c r="DK22" s="13">
        <f>DJ22+預測IC!DK22</f>
        <v>2.468500573764759</v>
      </c>
      <c r="DL22" s="13">
        <f>DK22+預測IC!DL22</f>
        <v>2.593442221502142</v>
      </c>
      <c r="DM22" s="13">
        <f>DL22+預測IC!DM22</f>
        <v>2.5299761704641086</v>
      </c>
      <c r="DN22" s="13">
        <f>DM22+預測IC!DN22</f>
        <v>2.576739498668116</v>
      </c>
      <c r="DO22" s="13">
        <f>DN22+預測IC!DO22</f>
        <v>2.700176999979754</v>
      </c>
      <c r="DP22" s="13">
        <f>DO22+預測IC!DP22</f>
        <v>2.7104042578326579</v>
      </c>
      <c r="DQ22" s="13">
        <f>DP22+預測IC!DQ22</f>
        <v>2.5793732540132179</v>
      </c>
      <c r="DR22" s="13">
        <f>DQ22+預測IC!DR22</f>
        <v>2.5732807013978998</v>
      </c>
      <c r="DS22" s="13">
        <f>DR22+預測IC!DS22</f>
        <v>2.3762297798355405</v>
      </c>
      <c r="DT22" s="13">
        <f>DS22+預測IC!DT22</f>
        <v>2.3178727708387754</v>
      </c>
      <c r="DU22" s="13">
        <f>DT22+預測IC!DU22</f>
        <v>2.2603773800019362</v>
      </c>
      <c r="DV22" s="13">
        <f>DU22+預測IC!DV22</f>
        <v>2.386082497680114</v>
      </c>
      <c r="DW22" s="13">
        <f>DV22+預測IC!DW22</f>
        <v>2.4644722213871111</v>
      </c>
      <c r="DX22" s="13">
        <f>DW22+預測IC!DX22</f>
        <v>2.2420296129388162</v>
      </c>
      <c r="DY22" s="13">
        <f>DX22+預測IC!DY22</f>
        <v>2.2338824963132762</v>
      </c>
      <c r="DZ22" s="13">
        <f>DY22+預測IC!DZ22</f>
        <v>2.1301345153677187</v>
      </c>
      <c r="EA22" s="13">
        <f>DZ22+預測IC!EA22</f>
        <v>2.05958586652836</v>
      </c>
      <c r="EB22" s="13">
        <f>EA22+預測IC!EB22</f>
        <v>1.9789891389930421</v>
      </c>
      <c r="EC22" s="13">
        <f>EB22+預測IC!EC22</f>
        <v>2.0004842405686802</v>
      </c>
      <c r="ED22" s="13">
        <f>EC22+預測IC!ED22</f>
        <v>1.9230706735110727</v>
      </c>
      <c r="EE22" s="13">
        <f>ED22+預測IC!EE22</f>
        <v>1.9565169773232862</v>
      </c>
      <c r="EF22" s="13">
        <f>EE22+預測IC!EF22</f>
        <v>1.9217267309511139</v>
      </c>
    </row>
    <row r="23" spans="1:136">
      <c r="A23" s="2">
        <v>482</v>
      </c>
      <c r="B23" s="2">
        <v>2</v>
      </c>
      <c r="C23" s="13">
        <v>-3.4987009286289193E-2</v>
      </c>
      <c r="D23" s="13">
        <f>C23+預測IC!D23</f>
        <v>0.21910699071371079</v>
      </c>
      <c r="E23" s="13">
        <f>D23+預測IC!E23</f>
        <v>0.13816581814303858</v>
      </c>
      <c r="F23" s="13">
        <f>E23+預測IC!F23</f>
        <v>0.13442381814303858</v>
      </c>
      <c r="G23" s="13">
        <f>F23+預測IC!G23</f>
        <v>8.2199644296540197E-2</v>
      </c>
      <c r="H23" s="13">
        <f>G23+預測IC!H23</f>
        <v>6.4011144296540201E-2</v>
      </c>
      <c r="I23" s="13">
        <f>H23+預測IC!I23</f>
        <v>2.76256442965402E-2</v>
      </c>
      <c r="J23" s="13">
        <f>I23+預測IC!J23</f>
        <v>-8.7249855703459805E-2</v>
      </c>
      <c r="K23" s="13">
        <f>J23+預測IC!K23</f>
        <v>-0.29173933217569337</v>
      </c>
      <c r="L23" s="13">
        <f>K23+預測IC!L23</f>
        <v>-0.23769580240009475</v>
      </c>
      <c r="M23" s="13">
        <f>L23+預測IC!M23</f>
        <v>-0.38498530240009476</v>
      </c>
      <c r="N23" s="13">
        <f>M23+預測IC!N23</f>
        <v>0.59091569759990525</v>
      </c>
      <c r="O23" s="13">
        <f>N23+預測IC!O23</f>
        <v>0.46801569759990524</v>
      </c>
      <c r="P23" s="13">
        <f>O23+預測IC!P23</f>
        <v>0.52269719759990529</v>
      </c>
      <c r="Q23" s="13">
        <f>P23+預測IC!Q23</f>
        <v>0.81387469759990527</v>
      </c>
      <c r="R23" s="13">
        <f>Q23+預測IC!R23</f>
        <v>0.87669469759990526</v>
      </c>
      <c r="S23" s="13">
        <f>R23+預測IC!S23</f>
        <v>0.80412419759990528</v>
      </c>
      <c r="T23" s="13">
        <f>S23+預測IC!T23</f>
        <v>0.71944719759990527</v>
      </c>
      <c r="U23" s="13">
        <f>T23+預測IC!U23</f>
        <v>0.7786836975999053</v>
      </c>
      <c r="V23" s="13">
        <f>U23+預測IC!V23</f>
        <v>0.54620819759990535</v>
      </c>
      <c r="W23" s="13">
        <f>V23+預測IC!W23</f>
        <v>0.80575519759990533</v>
      </c>
      <c r="X23" s="13">
        <f>W23+預測IC!X23</f>
        <v>1.0003111975999053</v>
      </c>
      <c r="Y23" s="13">
        <f>X23+預測IC!Y23</f>
        <v>0.93235669759990525</v>
      </c>
      <c r="Z23" s="13">
        <f>Y23+預測IC!Z23</f>
        <v>0.97340869759990523</v>
      </c>
      <c r="AA23" s="13">
        <f>Z23+預測IC!AA23</f>
        <v>0.98001498956937549</v>
      </c>
      <c r="AB23" s="13">
        <f>AA23+預測IC!AB23</f>
        <v>0.93226698956937548</v>
      </c>
      <c r="AC23" s="13">
        <f>AB23+預測IC!AC23</f>
        <v>0.69825848956937553</v>
      </c>
      <c r="AD23" s="13">
        <f>AC23+預測IC!AD23</f>
        <v>0.68324758921232809</v>
      </c>
      <c r="AE23" s="13">
        <f>AD23+預測IC!AE23</f>
        <v>0.46153058921232809</v>
      </c>
      <c r="AF23" s="13">
        <f>AE23+預測IC!AF23</f>
        <v>0.39462432912257683</v>
      </c>
      <c r="AG23" s="13">
        <f>AF23+預測IC!AG23</f>
        <v>0.39256882912257685</v>
      </c>
      <c r="AH23" s="13">
        <f>AG23+預測IC!AH23</f>
        <v>0.47674041364576009</v>
      </c>
      <c r="AI23" s="13">
        <f>AH23+預測IC!AI23</f>
        <v>0.68589241364576004</v>
      </c>
      <c r="AJ23" s="13">
        <f>AI23+預測IC!AJ23</f>
        <v>0.70947941364576006</v>
      </c>
      <c r="AK23" s="13">
        <f>AJ23+預測IC!AK23</f>
        <v>0.72803941364576008</v>
      </c>
      <c r="AL23" s="13">
        <f>AK23+預測IC!AL23</f>
        <v>0.85947112683829574</v>
      </c>
      <c r="AM23" s="13">
        <f>AL23+預測IC!AM23</f>
        <v>0.86724061584316103</v>
      </c>
      <c r="AN23" s="13">
        <f>AM23+預測IC!AN23</f>
        <v>1.1095553152004618</v>
      </c>
      <c r="AO23" s="13">
        <f>AN23+預測IC!AO23</f>
        <v>1.1042183630090376</v>
      </c>
      <c r="AP23" s="13">
        <f>AO23+預測IC!AP23</f>
        <v>0.93895186300903766</v>
      </c>
      <c r="AQ23" s="13">
        <f>AP23+預測IC!AQ23</f>
        <v>1.0283768552686483</v>
      </c>
      <c r="AR23" s="13">
        <f>AQ23+預測IC!AR23</f>
        <v>1.365120899113716</v>
      </c>
      <c r="AS23" s="13">
        <f>AR23+預測IC!AS23</f>
        <v>1.3504140111163385</v>
      </c>
      <c r="AT23" s="13">
        <f>AS23+預測IC!AT23</f>
        <v>1.3089862893026889</v>
      </c>
      <c r="AU23" s="13">
        <f>AT23+預測IC!AU23</f>
        <v>1.3421318154311932</v>
      </c>
      <c r="AV23" s="13">
        <f>AU23+預測IC!AV23</f>
        <v>1.3144928212338192</v>
      </c>
      <c r="AW23" s="13">
        <f>AV23+預測IC!AW23</f>
        <v>1.2624659113954164</v>
      </c>
      <c r="AX23" s="13">
        <f>AW23+預測IC!AX23</f>
        <v>1.3276049113954165</v>
      </c>
      <c r="AY23" s="13">
        <f>AX23+預測IC!AY23</f>
        <v>1.4978388922359986</v>
      </c>
      <c r="AZ23" s="13">
        <f>AY23+預測IC!AZ23</f>
        <v>1.4340852748349384</v>
      </c>
      <c r="BA23" s="13">
        <f>AZ23+預測IC!BA23</f>
        <v>1.4437320549150392</v>
      </c>
      <c r="BB23" s="13">
        <f>BA23+預測IC!BB23</f>
        <v>1.3926825708121542</v>
      </c>
      <c r="BC23" s="13">
        <f>BB23+預測IC!BC23</f>
        <v>1.0918543216390884</v>
      </c>
      <c r="BD23" s="13">
        <f>BC23+預測IC!BD23</f>
        <v>1.1866852029855386</v>
      </c>
      <c r="BE23" s="13">
        <f>BD23+預測IC!BE23</f>
        <v>1.1152544405882421</v>
      </c>
      <c r="BF23" s="13">
        <f>BE23+預測IC!BF23</f>
        <v>1.0924074499835559</v>
      </c>
      <c r="BG23" s="13">
        <f>BF23+預測IC!BG23</f>
        <v>1.1671689211803085</v>
      </c>
      <c r="BH23" s="13">
        <f>BG23+預測IC!BH23</f>
        <v>0.96368493982502124</v>
      </c>
      <c r="BI23" s="13">
        <f>BH23+預測IC!BI23</f>
        <v>1.1547970191482204</v>
      </c>
      <c r="BJ23" s="13">
        <f>BI23+預測IC!BJ23</f>
        <v>1.2588003344161474</v>
      </c>
      <c r="BK23" s="13">
        <f>BJ23+預測IC!BK23</f>
        <v>1.2608344427526248</v>
      </c>
      <c r="BL23" s="13">
        <f>BK23+預測IC!BL23</f>
        <v>1.4103687390028643</v>
      </c>
      <c r="BM23" s="13">
        <f>BL23+預測IC!BM23</f>
        <v>1.5995494257900182</v>
      </c>
      <c r="BN23" s="13">
        <f>BM23+預測IC!BN23</f>
        <v>1.5926022550312051</v>
      </c>
      <c r="BO23" s="13">
        <f>BN23+預測IC!BO23</f>
        <v>1.6291271967772043</v>
      </c>
      <c r="BP23" s="13">
        <f>BO23+預測IC!BP23</f>
        <v>1.7273935959886608</v>
      </c>
      <c r="BQ23" s="13">
        <f>BP23+預測IC!BQ23</f>
        <v>1.799441497423927</v>
      </c>
      <c r="BR23" s="13">
        <f>BQ23+預測IC!BR23</f>
        <v>1.8172858188878898</v>
      </c>
      <c r="BS23" s="13">
        <f>BR23+預測IC!BS23</f>
        <v>1.7440104302299779</v>
      </c>
      <c r="BT23" s="13">
        <f>BS23+預測IC!BT23</f>
        <v>1.8876602362559751</v>
      </c>
      <c r="BU23" s="13">
        <f>BT23+預測IC!BU23</f>
        <v>2.0933479721019213</v>
      </c>
      <c r="BV23" s="13">
        <f>BU23+預測IC!BV23</f>
        <v>2.2068155404621099</v>
      </c>
      <c r="BW23" s="13">
        <f>BV23+預測IC!BW23</f>
        <v>2.0046632071864185</v>
      </c>
      <c r="BX23" s="13">
        <f>BW23+預測IC!BX23</f>
        <v>1.9964500874591653</v>
      </c>
      <c r="BY23" s="13">
        <f>BX23+預測IC!BY23</f>
        <v>1.9862443947648176</v>
      </c>
      <c r="BZ23" s="13">
        <f>BY23+預測IC!BZ23</f>
        <v>1.9939141571966625</v>
      </c>
      <c r="CA23" s="13">
        <f>BZ23+預測IC!CA23</f>
        <v>2.2002896571966626</v>
      </c>
      <c r="CB23" s="13">
        <f>CA23+預測IC!CB23</f>
        <v>1.9826754542042226</v>
      </c>
      <c r="CC23" s="13">
        <f>CB23+預測IC!CC23</f>
        <v>2.2076340816999029</v>
      </c>
      <c r="CD23" s="13">
        <f>CC23+預測IC!CD23</f>
        <v>2.3993105367146881</v>
      </c>
      <c r="CE23" s="13">
        <f>CD23+預測IC!CE23</f>
        <v>2.2826859299182267</v>
      </c>
      <c r="CF23" s="13">
        <f>CE23+預測IC!CF23</f>
        <v>2.4398208397093919</v>
      </c>
      <c r="CG23" s="13">
        <f>CF23+預測IC!CG23</f>
        <v>2.0465770517857154</v>
      </c>
      <c r="CH23" s="13">
        <f>CG23+預測IC!CH23</f>
        <v>2.2267735007071439</v>
      </c>
      <c r="CI23" s="13">
        <f>CH23+預測IC!CI23</f>
        <v>1.916874083579047</v>
      </c>
      <c r="CJ23" s="13">
        <f>CI23+預測IC!CJ23</f>
        <v>1.8969987160286363</v>
      </c>
      <c r="CK23" s="13">
        <f>CJ23+預測IC!CK23</f>
        <v>1.993115710756598</v>
      </c>
      <c r="CL23" s="13">
        <f>CK23+預測IC!CL23</f>
        <v>1.5844546980891796</v>
      </c>
      <c r="CM23" s="13">
        <f>CL23+預測IC!CM23</f>
        <v>1.9711876446120891</v>
      </c>
      <c r="CN23" s="13">
        <f>CM23+預測IC!CN23</f>
        <v>1.9181824662422857</v>
      </c>
      <c r="CO23" s="13">
        <f>CN23+預測IC!CO23</f>
        <v>1.0092591788766661</v>
      </c>
      <c r="CP23" s="13">
        <f>CO23+預測IC!CP23</f>
        <v>1.3206199220394228</v>
      </c>
      <c r="CQ23" s="13">
        <f>CP23+預測IC!CQ23</f>
        <v>1.3114361775396168</v>
      </c>
      <c r="CR23" s="13">
        <f>CQ23+預測IC!CR23</f>
        <v>1.3230339813606955</v>
      </c>
      <c r="CS23" s="13">
        <f>CR23+預測IC!CS23</f>
        <v>1.286059762369417</v>
      </c>
      <c r="CT23" s="13">
        <f>CS23+預測IC!CT23</f>
        <v>1.3317223040806709</v>
      </c>
      <c r="CU23" s="13">
        <f>CT23+預測IC!CU23</f>
        <v>1.3106657083673838</v>
      </c>
      <c r="CV23" s="13">
        <f>CU23+預測IC!CV23</f>
        <v>1.2884205708785781</v>
      </c>
      <c r="CW23" s="13">
        <f>CV23+預測IC!CW23</f>
        <v>1.3893219026809966</v>
      </c>
      <c r="CX23" s="13">
        <f>CW23+預測IC!CX23</f>
        <v>1.3006049085844702</v>
      </c>
      <c r="CY23" s="13">
        <f>CX23+預測IC!CY23</f>
        <v>1.3226514393378488</v>
      </c>
      <c r="CZ23" s="13">
        <f>CY23+預測IC!CZ23</f>
        <v>1.5046502331952001</v>
      </c>
      <c r="DA23" s="13">
        <f>CZ23+預測IC!DA23</f>
        <v>1.4736680969692897</v>
      </c>
      <c r="DB23" s="13">
        <f>DA23+預測IC!DB23</f>
        <v>1.4577129401022932</v>
      </c>
      <c r="DC23" s="13">
        <f>DB23+預測IC!DC23</f>
        <v>1.5769034261727075</v>
      </c>
      <c r="DD23" s="13">
        <f>DC23+預測IC!DD23</f>
        <v>1.7903144705797043</v>
      </c>
      <c r="DE23" s="13">
        <f>DD23+預測IC!DE23</f>
        <v>1.7809192446280595</v>
      </c>
      <c r="DF23" s="13">
        <f>DE23+預測IC!DF23</f>
        <v>1.8428613716729649</v>
      </c>
      <c r="DG23" s="13">
        <f>DF23+預測IC!DG23</f>
        <v>1.8811313835476819</v>
      </c>
      <c r="DH23" s="13">
        <f>DG23+預測IC!DH23</f>
        <v>1.9365448308564244</v>
      </c>
      <c r="DI23" s="13">
        <f>DH23+預測IC!DI23</f>
        <v>1.9900244277724453</v>
      </c>
      <c r="DJ23" s="13">
        <f>DI23+預測IC!DJ23</f>
        <v>1.9029664196000975</v>
      </c>
      <c r="DK23" s="13">
        <f>DJ23+預測IC!DK23</f>
        <v>2.1807996361589406</v>
      </c>
      <c r="DL23" s="13">
        <f>DK23+預測IC!DL23</f>
        <v>2.3969006956992143</v>
      </c>
      <c r="DM23" s="13">
        <f>DL23+預測IC!DM23</f>
        <v>2.3774033907798482</v>
      </c>
      <c r="DN23" s="13">
        <f>DM23+預測IC!DN23</f>
        <v>2.3839005868238186</v>
      </c>
      <c r="DO23" s="13">
        <f>DN23+預測IC!DO23</f>
        <v>2.5479918905576526</v>
      </c>
      <c r="DP23" s="13">
        <f>DO23+預測IC!DP23</f>
        <v>2.5950801232133753</v>
      </c>
      <c r="DQ23" s="13">
        <f>DP23+預測IC!DQ23</f>
        <v>2.4248691267098375</v>
      </c>
      <c r="DR23" s="13">
        <f>DQ23+預測IC!DR23</f>
        <v>2.3349831239785308</v>
      </c>
      <c r="DS23" s="13">
        <f>DR23+預測IC!DS23</f>
        <v>2.0468865470594846</v>
      </c>
      <c r="DT23" s="13">
        <f>DS23+預測IC!DT23</f>
        <v>1.9229313238632857</v>
      </c>
      <c r="DU23" s="13">
        <f>DT23+預測IC!DU23</f>
        <v>1.9572185091182832</v>
      </c>
      <c r="DV23" s="13">
        <f>DU23+預測IC!DV23</f>
        <v>2.2334901174477229</v>
      </c>
      <c r="DW23" s="13">
        <f>DV23+預測IC!DW23</f>
        <v>2.3747183500305615</v>
      </c>
      <c r="DX23" s="13">
        <f>DW23+預測IC!DX23</f>
        <v>2.0612251436515954</v>
      </c>
      <c r="DY23" s="13">
        <f>DX23+預測IC!DY23</f>
        <v>2.2311019723038497</v>
      </c>
      <c r="DZ23" s="13">
        <f>DY23+預測IC!DZ23</f>
        <v>2.1282289536773371</v>
      </c>
      <c r="EA23" s="13">
        <f>DZ23+預測IC!EA23</f>
        <v>2.1047800460642176</v>
      </c>
      <c r="EB23" s="13">
        <f>EA23+預測IC!EB23</f>
        <v>2.0420266063535424</v>
      </c>
      <c r="EC23" s="13">
        <f>EB23+預測IC!EC23</f>
        <v>2.0054422900277289</v>
      </c>
      <c r="ED23" s="13">
        <f>EC23+預測IC!ED23</f>
        <v>1.9140163854079479</v>
      </c>
      <c r="EE23" s="13">
        <f>ED23+預測IC!EE23</f>
        <v>1.9730670692961882</v>
      </c>
      <c r="EF23" s="13">
        <f>EE23+預測IC!EF23</f>
        <v>1.9252847907045285</v>
      </c>
    </row>
    <row r="24" spans="1:136">
      <c r="A24" s="2">
        <v>964</v>
      </c>
      <c r="B24" s="2">
        <v>1</v>
      </c>
      <c r="C24" s="13">
        <v>0.162993136931085</v>
      </c>
      <c r="D24" s="13">
        <f>C24+預測IC!D24</f>
        <v>0.263603136931085</v>
      </c>
      <c r="E24" s="13">
        <f>D24+預測IC!E24</f>
        <v>0.33500346710038192</v>
      </c>
      <c r="F24" s="13">
        <f>E24+預測IC!F24</f>
        <v>0.41032946710038193</v>
      </c>
      <c r="G24" s="13">
        <f>F24+預測IC!G24</f>
        <v>0.63608949015795435</v>
      </c>
      <c r="H24" s="13">
        <f>G24+預測IC!H24</f>
        <v>0.67194549015795435</v>
      </c>
      <c r="I24" s="13">
        <f>H24+預測IC!I24</f>
        <v>0.68887549015795435</v>
      </c>
      <c r="J24" s="13">
        <f>I24+預測IC!J24</f>
        <v>0.57341449015795432</v>
      </c>
      <c r="K24" s="13">
        <f>J24+預測IC!K24</f>
        <v>0.55189921180299417</v>
      </c>
      <c r="L24" s="13">
        <f>K24+預測IC!L24</f>
        <v>0.64752246231167632</v>
      </c>
      <c r="M24" s="13">
        <f>L24+預測IC!M24</f>
        <v>0.42973646231167628</v>
      </c>
      <c r="N24" s="13">
        <f>M24+預測IC!N24</f>
        <v>2.1987684623116763</v>
      </c>
      <c r="O24" s="13">
        <f>N24+預測IC!O24</f>
        <v>1.9544884623116763</v>
      </c>
      <c r="P24" s="13">
        <f>O24+預測IC!P24</f>
        <v>1.9562244623116762</v>
      </c>
      <c r="Q24" s="13">
        <f>P24+預測IC!Q24</f>
        <v>1.9533844623116763</v>
      </c>
      <c r="R24" s="13">
        <f>Q24+預測IC!R24</f>
        <v>1.9255574623116762</v>
      </c>
      <c r="S24" s="13">
        <f>R24+預測IC!S24</f>
        <v>1.9145074623116762</v>
      </c>
      <c r="T24" s="13">
        <f>S24+預測IC!T24</f>
        <v>1.6266874623116763</v>
      </c>
      <c r="U24" s="13">
        <f>T24+預測IC!U24</f>
        <v>1.9125404623116764</v>
      </c>
      <c r="V24" s="13">
        <f>U24+預測IC!V24</f>
        <v>1.8138604623116763</v>
      </c>
      <c r="W24" s="13">
        <f>V24+預測IC!W24</f>
        <v>1.6492984623116762</v>
      </c>
      <c r="X24" s="13">
        <f>W24+預測IC!X24</f>
        <v>1.6483994623116762</v>
      </c>
      <c r="Y24" s="13">
        <f>X24+預測IC!Y24</f>
        <v>1.5280804623116762</v>
      </c>
      <c r="Z24" s="13">
        <f>Y24+預測IC!Z24</f>
        <v>1.5036854623116762</v>
      </c>
      <c r="AA24" s="13">
        <f>Z24+預測IC!AA24</f>
        <v>1.5172332305492535</v>
      </c>
      <c r="AB24" s="13">
        <f>AA24+預測IC!AB24</f>
        <v>1.3329842305492536</v>
      </c>
      <c r="AC24" s="13">
        <f>AB24+預測IC!AC24</f>
        <v>1.0868142305492536</v>
      </c>
      <c r="AD24" s="13">
        <f>AC24+預測IC!AD24</f>
        <v>1.078992391656624</v>
      </c>
      <c r="AE24" s="13">
        <f>AD24+預測IC!AE24</f>
        <v>0.90372139165662402</v>
      </c>
      <c r="AF24" s="13">
        <f>AE24+預測IC!AF24</f>
        <v>0.88119938162183353</v>
      </c>
      <c r="AG24" s="13">
        <f>AF24+預測IC!AG24</f>
        <v>0.98710038162183356</v>
      </c>
      <c r="AH24" s="13">
        <f>AG24+預測IC!AH24</f>
        <v>1.0437977416896231</v>
      </c>
      <c r="AI24" s="13">
        <f>AH24+預測IC!AI24</f>
        <v>1.3542117416896231</v>
      </c>
      <c r="AJ24" s="13">
        <f>AI24+預測IC!AJ24</f>
        <v>1.439646741689623</v>
      </c>
      <c r="AK24" s="13">
        <f>AJ24+預測IC!AK24</f>
        <v>1.4410867416896231</v>
      </c>
      <c r="AL24" s="13">
        <f>AK24+預測IC!AL24</f>
        <v>1.3864098061989878</v>
      </c>
      <c r="AM24" s="13">
        <f>AL24+預測IC!AM24</f>
        <v>1.367490524778461</v>
      </c>
      <c r="AN24" s="13">
        <f>AM24+預測IC!AN24</f>
        <v>1.5886799899238924</v>
      </c>
      <c r="AO24" s="13">
        <f>AN24+預測IC!AO24</f>
        <v>1.6547701017528824</v>
      </c>
      <c r="AP24" s="13">
        <f>AO24+預測IC!AP24</f>
        <v>1.4902851017528824</v>
      </c>
      <c r="AQ24" s="13">
        <f>AP24+預測IC!AQ24</f>
        <v>1.5373620745871281</v>
      </c>
      <c r="AR24" s="13">
        <f>AQ24+預測IC!AR24</f>
        <v>1.547001331194735</v>
      </c>
      <c r="AS24" s="13">
        <f>AR24+預測IC!AS24</f>
        <v>1.5190452539281449</v>
      </c>
      <c r="AT24" s="13">
        <f>AS24+預測IC!AT24</f>
        <v>1.5495044614128535</v>
      </c>
      <c r="AU24" s="13">
        <f>AT24+預測IC!AU24</f>
        <v>1.5935997812780778</v>
      </c>
      <c r="AV24" s="13">
        <f>AU24+預測IC!AV24</f>
        <v>1.5064478290911818</v>
      </c>
      <c r="AW24" s="13">
        <f>AV24+預測IC!AW24</f>
        <v>1.511435370602221</v>
      </c>
      <c r="AX24" s="13">
        <f>AW24+預測IC!AX24</f>
        <v>1.485877370602221</v>
      </c>
      <c r="AY24" s="13">
        <f>AX24+預測IC!AY24</f>
        <v>1.6540046644871105</v>
      </c>
      <c r="AZ24" s="13">
        <f>AY24+預測IC!AZ24</f>
        <v>1.6918717380867756</v>
      </c>
      <c r="BA24" s="13">
        <f>AZ24+預測IC!BA24</f>
        <v>1.6380770060021423</v>
      </c>
      <c r="BB24" s="13">
        <f>BA24+預測IC!BB24</f>
        <v>1.5519179726068075</v>
      </c>
      <c r="BC24" s="13">
        <f>BB24+預測IC!BC24</f>
        <v>0.74870195956243013</v>
      </c>
      <c r="BD24" s="13">
        <f>BC24+預測IC!BD24</f>
        <v>0.93429717880886531</v>
      </c>
      <c r="BE24" s="13">
        <f>BD24+預測IC!BE24</f>
        <v>0.88823282477717846</v>
      </c>
      <c r="BF24" s="13">
        <f>BE24+預測IC!BF24</f>
        <v>0.97588416083127072</v>
      </c>
      <c r="BG24" s="13">
        <f>BF24+預測IC!BG24</f>
        <v>1.0027201266975816</v>
      </c>
      <c r="BH24" s="13">
        <f>BG24+預測IC!BH24</f>
        <v>0.61646478978404662</v>
      </c>
      <c r="BI24" s="13">
        <f>BH24+預測IC!BI24</f>
        <v>0.84009389585409378</v>
      </c>
      <c r="BJ24" s="13">
        <f>BI24+預測IC!BJ24</f>
        <v>0.84344221160897836</v>
      </c>
      <c r="BK24" s="13">
        <f>BJ24+預測IC!BK24</f>
        <v>0.84746575850326455</v>
      </c>
      <c r="BL24" s="13">
        <f>BK24+預測IC!BL24</f>
        <v>1.1646300524279811</v>
      </c>
      <c r="BM24" s="13">
        <f>BL24+預測IC!BM24</f>
        <v>1.1761030715457184</v>
      </c>
      <c r="BN24" s="13">
        <f>BM24+預測IC!BN24</f>
        <v>1.1829524133912932</v>
      </c>
      <c r="BO24" s="13">
        <f>BN24+預測IC!BO24</f>
        <v>1.0218427222956512</v>
      </c>
      <c r="BP24" s="13">
        <f>BO24+預測IC!BP24</f>
        <v>1.1451939034249732</v>
      </c>
      <c r="BQ24" s="13">
        <f>BP24+預測IC!BQ24</f>
        <v>1.0810242700948582</v>
      </c>
      <c r="BR24" s="13">
        <f>BQ24+預測IC!BR24</f>
        <v>1.1233804933982761</v>
      </c>
      <c r="BS24" s="13">
        <f>BR24+預測IC!BS24</f>
        <v>1.122095775913819</v>
      </c>
      <c r="BT24" s="13">
        <f>BS24+預測IC!BT24</f>
        <v>1.2383664719680063</v>
      </c>
      <c r="BU24" s="13">
        <f>BT24+預測IC!BU24</f>
        <v>1.4666931035279469</v>
      </c>
      <c r="BV24" s="13">
        <f>BU24+預測IC!BV24</f>
        <v>1.5744215574159297</v>
      </c>
      <c r="BW24" s="13">
        <f>BV24+預測IC!BW24</f>
        <v>1.5125856737803365</v>
      </c>
      <c r="BX24" s="13">
        <f>BW24+預測IC!BX24</f>
        <v>1.3796256180698787</v>
      </c>
      <c r="BY24" s="13">
        <f>BX24+預測IC!BY24</f>
        <v>1.4893712872372959</v>
      </c>
      <c r="BZ24" s="13">
        <f>BY24+預測IC!BZ24</f>
        <v>1.7482641860872929</v>
      </c>
      <c r="CA24" s="13">
        <f>BZ24+預測IC!CA24</f>
        <v>1.848292186087293</v>
      </c>
      <c r="CB24" s="13">
        <f>CA24+預測IC!CB24</f>
        <v>2.057054160375162</v>
      </c>
      <c r="CC24" s="13">
        <f>CB24+預測IC!CC24</f>
        <v>2.4969086726420957</v>
      </c>
      <c r="CD24" s="13">
        <f>CC24+預測IC!CD24</f>
        <v>2.6412149833842906</v>
      </c>
      <c r="CE24" s="13">
        <f>CD24+預測IC!CE24</f>
        <v>2.4310935481482021</v>
      </c>
      <c r="CF24" s="13">
        <f>CE24+預測IC!CF24</f>
        <v>2.6528149103935905</v>
      </c>
      <c r="CG24" s="13">
        <f>CF24+預測IC!CG24</f>
        <v>2.32899693137453</v>
      </c>
      <c r="CH24" s="13">
        <f>CG24+預測IC!CH24</f>
        <v>2.6832742282170328</v>
      </c>
      <c r="CI24" s="13">
        <f>CH24+預測IC!CI24</f>
        <v>3.0117260489262971</v>
      </c>
      <c r="CJ24" s="13">
        <f>CI24+預測IC!CJ24</f>
        <v>3.0248355343457165</v>
      </c>
      <c r="CK24" s="13">
        <f>CJ24+預測IC!CK24</f>
        <v>3.1183656136614131</v>
      </c>
      <c r="CL24" s="13">
        <f>CK24+預測IC!CL24</f>
        <v>3.2601209470339536</v>
      </c>
      <c r="CM24" s="13">
        <f>CL24+預測IC!CM24</f>
        <v>3.8097080569930539</v>
      </c>
      <c r="CN24" s="13">
        <f>CM24+預測IC!CN24</f>
        <v>3.7019692905358408</v>
      </c>
      <c r="CO24" s="13">
        <f>CN24+預測IC!CO24</f>
        <v>2.9253160721996094</v>
      </c>
      <c r="CP24" s="13">
        <f>CO24+預測IC!CP24</f>
        <v>3.0856602770144517</v>
      </c>
      <c r="CQ24" s="13">
        <f>CP24+預測IC!CQ24</f>
        <v>3.2003474508777483</v>
      </c>
      <c r="CR24" s="13">
        <f>CQ24+預測IC!CR24</f>
        <v>3.2614322891173049</v>
      </c>
      <c r="CS24" s="13">
        <f>CR24+預測IC!CS24</f>
        <v>3.1755370563704992</v>
      </c>
      <c r="CT24" s="13">
        <f>CS24+預測IC!CT24</f>
        <v>3.2719560645178949</v>
      </c>
      <c r="CU24" s="13">
        <f>CT24+預測IC!CU24</f>
        <v>3.199204716861185</v>
      </c>
      <c r="CV24" s="13">
        <f>CU24+預測IC!CV24</f>
        <v>3.2142687644005603</v>
      </c>
      <c r="CW24" s="13">
        <f>CV24+預測IC!CW24</f>
        <v>3.3893859304725678</v>
      </c>
      <c r="CX24" s="13">
        <f>CW24+預測IC!CX24</f>
        <v>3.4445931241812549</v>
      </c>
      <c r="CY24" s="13">
        <f>CX24+預測IC!CY24</f>
        <v>3.3645262195444361</v>
      </c>
      <c r="CZ24" s="13">
        <f>CY24+預測IC!CZ24</f>
        <v>3.4767328479890032</v>
      </c>
      <c r="DA24" s="13">
        <f>CZ24+預測IC!DA24</f>
        <v>3.5012440521517578</v>
      </c>
      <c r="DB24" s="13">
        <f>DA24+預測IC!DB24</f>
        <v>3.3057833796391036</v>
      </c>
      <c r="DC24" s="13">
        <f>DB24+預測IC!DC24</f>
        <v>3.4969591378096383</v>
      </c>
      <c r="DD24" s="13">
        <f>DC24+預測IC!DD24</f>
        <v>3.6503405185487443</v>
      </c>
      <c r="DE24" s="13">
        <f>DD24+預測IC!DE24</f>
        <v>3.4742777610392093</v>
      </c>
      <c r="DF24" s="13">
        <f>DE24+預測IC!DF24</f>
        <v>3.3696127850186479</v>
      </c>
      <c r="DG24" s="13">
        <f>DF24+預測IC!DG24</f>
        <v>3.4287186191429919</v>
      </c>
      <c r="DH24" s="13">
        <f>DG24+預測IC!DH24</f>
        <v>3.4295651442083583</v>
      </c>
      <c r="DI24" s="13">
        <f>DH24+預測IC!DI24</f>
        <v>3.5714406031466277</v>
      </c>
      <c r="DJ24" s="13">
        <f>DI24+預測IC!DJ24</f>
        <v>3.4389519926373882</v>
      </c>
      <c r="DK24" s="13">
        <f>DJ24+預測IC!DK24</f>
        <v>3.778461203267832</v>
      </c>
      <c r="DL24" s="13">
        <f>DK24+預測IC!DL24</f>
        <v>3.9915656295537132</v>
      </c>
      <c r="DM24" s="13">
        <f>DL24+預測IC!DM24</f>
        <v>3.8501261023268385</v>
      </c>
      <c r="DN24" s="13">
        <f>DM24+預測IC!DN24</f>
        <v>4.083460673101535</v>
      </c>
      <c r="DO24" s="13">
        <f>DN24+預測IC!DO24</f>
        <v>4.2689014757342232</v>
      </c>
      <c r="DP24" s="13">
        <f>DO24+預測IC!DP24</f>
        <v>4.3832749012202372</v>
      </c>
      <c r="DQ24" s="13">
        <f>DP24+預測IC!DQ24</f>
        <v>4.2502975499842677</v>
      </c>
      <c r="DR24" s="13">
        <f>DQ24+預測IC!DR24</f>
        <v>4.2297819197722388</v>
      </c>
      <c r="DS24" s="13">
        <f>DR24+預測IC!DS24</f>
        <v>4.0135203787393934</v>
      </c>
      <c r="DT24" s="13">
        <f>DS24+預測IC!DT24</f>
        <v>3.9751575125692638</v>
      </c>
      <c r="DU24" s="13">
        <f>DT24+預測IC!DU24</f>
        <v>3.9275189252955061</v>
      </c>
      <c r="DV24" s="13">
        <f>DU24+預測IC!DV24</f>
        <v>4.0857436239393206</v>
      </c>
      <c r="DW24" s="13">
        <f>DV24+預測IC!DW24</f>
        <v>4.1946007138306509</v>
      </c>
      <c r="DX24" s="13">
        <f>DW24+預測IC!DX24</f>
        <v>3.883007586038147</v>
      </c>
      <c r="DY24" s="13">
        <f>DX24+預測IC!DY24</f>
        <v>4.2268118728363557</v>
      </c>
      <c r="DZ24" s="13">
        <f>DY24+預測IC!DZ24</f>
        <v>4.1763426904332395</v>
      </c>
      <c r="EA24" s="13">
        <f>DZ24+預測IC!EA24</f>
        <v>4.2536936126605749</v>
      </c>
      <c r="EB24" s="13">
        <f>EA24+預測IC!EB24</f>
        <v>4.2241114362952805</v>
      </c>
      <c r="EC24" s="13">
        <f>EB24+預測IC!EC24</f>
        <v>4.2098015175246015</v>
      </c>
      <c r="ED24" s="13">
        <f>EC24+預測IC!ED24</f>
        <v>4.1536286722262394</v>
      </c>
      <c r="EE24" s="13">
        <f>ED24+預測IC!EE24</f>
        <v>4.2670581114174579</v>
      </c>
      <c r="EF24" s="13">
        <f>EE24+預測IC!EF24</f>
        <v>4.3343347884614261</v>
      </c>
    </row>
    <row r="25" spans="1:136">
      <c r="A25" s="2" t="s">
        <v>144</v>
      </c>
      <c r="B25" s="2" t="s">
        <v>145</v>
      </c>
      <c r="C25" s="4">
        <v>-1.7446770539390338E-2</v>
      </c>
      <c r="D25" s="4">
        <f>C25+預測IC!D26</f>
        <v>3.2542899924252917E-3</v>
      </c>
      <c r="E25" s="4">
        <f>D25+預測IC!E26</f>
        <v>2.7236419247192001E-2</v>
      </c>
      <c r="F25" s="4">
        <f>E25+預測IC!F26</f>
        <v>2.0678840274368924E-2</v>
      </c>
      <c r="G25" s="4">
        <f>F25+預測IC!G26</f>
        <v>5.2523970074888612E-2</v>
      </c>
      <c r="H25" s="4">
        <f>G25+預測IC!H26</f>
        <v>8.6872502811879138E-2</v>
      </c>
      <c r="I25" s="4">
        <f>H25+預測IC!I26</f>
        <v>7.8617570030553904E-2</v>
      </c>
      <c r="J25" s="4">
        <f>I25+預測IC!J26</f>
        <v>9.1461094424606662E-2</v>
      </c>
      <c r="K25" s="4">
        <f>J25+預測IC!K26</f>
        <v>4.0442569797815839E-2</v>
      </c>
      <c r="L25" s="4">
        <f>K25+預測IC!L26</f>
        <v>4.1316512538852428E-2</v>
      </c>
      <c r="M25" s="4">
        <f>L25+預測IC!M26</f>
        <v>6.4706088044348353E-2</v>
      </c>
      <c r="N25" s="4">
        <f>M25+預測IC!N26</f>
        <v>7.7695060244681202E-2</v>
      </c>
      <c r="O25" s="4">
        <f>N25+預測IC!O26</f>
        <v>8.3549648970316082E-2</v>
      </c>
      <c r="P25" s="4">
        <f>O25+預測IC!P26</f>
        <v>0.11096285554210664</v>
      </c>
      <c r="Q25" s="4">
        <f>P25+預測IC!Q26</f>
        <v>0.10724991942441378</v>
      </c>
      <c r="R25" s="4">
        <f>Q25+預測IC!R26</f>
        <v>0.13132653347223711</v>
      </c>
      <c r="S25" s="4">
        <f>R25+預測IC!S26</f>
        <v>0.11913650817319715</v>
      </c>
      <c r="T25" s="4">
        <f>S25+預測IC!T26</f>
        <v>7.9386930013607554E-2</v>
      </c>
      <c r="U25" s="4">
        <f>T25+預測IC!U26</f>
        <v>6.2314801819580018E-3</v>
      </c>
      <c r="V25" s="4">
        <f>U25+預測IC!V26</f>
        <v>-5.2028749728156659E-2</v>
      </c>
      <c r="W25" s="4">
        <f>V25+預測IC!W26</f>
        <v>-5.1255952162648284E-2</v>
      </c>
      <c r="X25" s="4">
        <f>W25+預測IC!X26</f>
        <v>-6.6644310274293142E-3</v>
      </c>
      <c r="Y25" s="4">
        <f>X25+預測IC!Y26</f>
        <v>-3.4364111077642409E-2</v>
      </c>
      <c r="Z25" s="4">
        <f>Y25+預測IC!Z26</f>
        <v>-3.226910512789876E-2</v>
      </c>
      <c r="AA25" s="4">
        <f>Z25+預測IC!AA26</f>
        <v>-5.5669656120462874E-2</v>
      </c>
      <c r="AB25" s="4">
        <f>AA25+預測IC!AB26</f>
        <v>-2.3540285023140685E-2</v>
      </c>
      <c r="AC25" s="4">
        <f>AB25+預測IC!AC26</f>
        <v>1.5362988070925745E-2</v>
      </c>
      <c r="AD25" s="4">
        <f>AC25+預測IC!AD26</f>
        <v>-2.7502394100178525E-2</v>
      </c>
      <c r="AE25" s="4">
        <f>AD25+預測IC!AE26</f>
        <v>-8.8551995500263658E-3</v>
      </c>
      <c r="AF25" s="4">
        <f>AE25+預測IC!AF26</f>
        <v>6.3745687725025833E-3</v>
      </c>
      <c r="AG25" s="4">
        <f>AF25+預測IC!AG26</f>
        <v>4.2391172551395004E-2</v>
      </c>
      <c r="AH25" s="4">
        <f>AG25+預測IC!AH26</f>
        <v>5.174578393671117E-2</v>
      </c>
      <c r="AI25" s="4">
        <f>AH25+預測IC!AI26</f>
        <v>6.2494035273549312E-2</v>
      </c>
      <c r="AJ25" s="4">
        <f>AI25+預測IC!AJ26</f>
        <v>7.5851789326630281E-2</v>
      </c>
      <c r="AK25" s="4">
        <f>AJ25+預測IC!AK26</f>
        <v>7.0519041997534893E-2</v>
      </c>
      <c r="AL25" s="4">
        <f>AK25+預測IC!AL26</f>
        <v>7.1902177804796574E-2</v>
      </c>
      <c r="AM25" s="4">
        <f>AL25+預測IC!AM26</f>
        <v>9.2698106224871041E-2</v>
      </c>
      <c r="AN25" s="4">
        <f>AM25+預測IC!AN26</f>
        <v>0.12421580844526167</v>
      </c>
      <c r="AO25" s="4">
        <f>AN25+預測IC!AO26</f>
        <v>0.13045752497859112</v>
      </c>
      <c r="AP25" s="4">
        <f>AO25+預測IC!AP26</f>
        <v>0.13660278663216249</v>
      </c>
      <c r="AQ25" s="4">
        <f>AP25+預測IC!AQ26</f>
        <v>0.15354914430885899</v>
      </c>
      <c r="AR25" s="4">
        <f>AQ25+預測IC!AR26</f>
        <v>0.18823197476316722</v>
      </c>
      <c r="AS25" s="4">
        <f>AR25+預測IC!AS26</f>
        <v>0.19133056338036419</v>
      </c>
      <c r="AT25" s="4">
        <f>AS25+預測IC!AT26</f>
        <v>0.2064119105238503</v>
      </c>
      <c r="AU25" s="4">
        <f>AT25+預測IC!AU26</f>
        <v>0.18716070129398632</v>
      </c>
      <c r="AV25" s="4">
        <f>AU25+預測IC!AV26</f>
        <v>0.22587221468161775</v>
      </c>
      <c r="AW25" s="4">
        <f>AV25+預測IC!AW26</f>
        <v>0.20401526354588115</v>
      </c>
      <c r="AX25" s="4">
        <f>AW25+預測IC!AX26</f>
        <v>0.21178956425567083</v>
      </c>
      <c r="AY25" s="4">
        <f>AX25+預測IC!AY26</f>
        <v>0.25418681095099677</v>
      </c>
      <c r="AZ25" s="4">
        <f>AY25+預測IC!AZ26</f>
        <v>0.22787783608983703</v>
      </c>
      <c r="BA25" s="4">
        <f>AZ25+預測IC!BA26</f>
        <v>0.23744958539855326</v>
      </c>
      <c r="BB25" s="4">
        <f>BA25+預測IC!BB26</f>
        <v>0.21319984413227844</v>
      </c>
      <c r="BC25" s="4">
        <f>BB25+預測IC!BC26</f>
        <v>0.23336321827619427</v>
      </c>
      <c r="BD25" s="4">
        <f>BC25+預測IC!BD26</f>
        <v>0.22985821949407825</v>
      </c>
      <c r="BE25" s="4">
        <f>BD25+預測IC!BE26</f>
        <v>0.25001015459262055</v>
      </c>
      <c r="BF25" s="4">
        <f>BE25+預測IC!BF26</f>
        <v>0.25059149082339083</v>
      </c>
      <c r="BG25" s="4">
        <f>BF25+預測IC!BG26</f>
        <v>0.24537178987013822</v>
      </c>
      <c r="BH25" s="4">
        <f>BG25+預測IC!BH26</f>
        <v>0.12950002846800823</v>
      </c>
      <c r="BI25" s="4">
        <f>BH25+預測IC!BI26</f>
        <v>0.13822525416044559</v>
      </c>
      <c r="BJ25" s="4">
        <f>BI25+預測IC!BJ26</f>
        <v>0.12184799318262345</v>
      </c>
      <c r="BK25" s="4">
        <f>BJ25+預測IC!BK26</f>
        <v>0.14268836478288388</v>
      </c>
      <c r="BL25" s="4">
        <f>BK25+預測IC!BL26</f>
        <v>0.18766423688499859</v>
      </c>
      <c r="BM25" s="4">
        <f>BL25+預測IC!BM26</f>
        <v>0.21161854296686244</v>
      </c>
      <c r="BN25" s="4">
        <f>BM25+預測IC!BN26</f>
        <v>0.24185764435830504</v>
      </c>
      <c r="BO25" s="4">
        <f>BN25+預測IC!BO26</f>
        <v>0.19813175676721753</v>
      </c>
      <c r="BP25" s="4">
        <f>BO25+預測IC!BP26</f>
        <v>0.22002122633541615</v>
      </c>
      <c r="BQ25" s="4">
        <f>BP25+預測IC!BQ26</f>
        <v>0.22864865659892455</v>
      </c>
      <c r="BR25" s="4">
        <f>BQ25+預測IC!BR26</f>
        <v>0.20945570260426577</v>
      </c>
      <c r="BS25" s="4">
        <f>BR25+預測IC!BS26</f>
        <v>0.22919083249239883</v>
      </c>
      <c r="BT25" s="4">
        <f>BS25+預測IC!BT26</f>
        <v>0.27688516997609824</v>
      </c>
      <c r="BU25" s="4">
        <f>BT25+預測IC!BU26</f>
        <v>0.28833998678268163</v>
      </c>
      <c r="BV25" s="4">
        <f>BU25+預測IC!BV26</f>
        <v>0.33156860751789485</v>
      </c>
      <c r="BW25" s="4">
        <f>BV25+預測IC!BW26</f>
        <v>0.28882117708097205</v>
      </c>
      <c r="BX25" s="4">
        <f>BW25+預測IC!BX26</f>
        <v>0.27100988465317749</v>
      </c>
      <c r="BY25" s="4">
        <f>BX25+預測IC!BY26</f>
        <v>0.11985678778410189</v>
      </c>
      <c r="BZ25" s="4">
        <f>BY25+預測IC!BZ26</f>
        <v>0.24408079140367717</v>
      </c>
      <c r="CA25" s="4">
        <f>BZ25+預測IC!CA26</f>
        <v>0.23952353755914751</v>
      </c>
      <c r="CB25" s="4">
        <f>CA25+預測IC!CB26</f>
        <v>0.29973477776405871</v>
      </c>
      <c r="CC25" s="4">
        <f>CB25+預測IC!CC26</f>
        <v>0.385726811246561</v>
      </c>
      <c r="CD25" s="4">
        <f>CC25+預測IC!CD26</f>
        <v>0.37991833166419492</v>
      </c>
      <c r="CE25" s="4">
        <f>CD25+預測IC!CE26</f>
        <v>0.37387698467522684</v>
      </c>
      <c r="CF25" s="4">
        <f>CE25+預測IC!CF26</f>
        <v>0.37632930904747891</v>
      </c>
      <c r="CG25" s="4">
        <f>CF25+預測IC!CG26</f>
        <v>0.46596556098450181</v>
      </c>
      <c r="CH25" s="4">
        <f>CG25+預測IC!CH26</f>
        <v>0.53695829351125968</v>
      </c>
      <c r="CI25" s="4">
        <f>CH25+預測IC!CI26</f>
        <v>0.56412893641304307</v>
      </c>
      <c r="CJ25" s="4">
        <f>CI25+預測IC!CJ26</f>
        <v>0.61659736483837313</v>
      </c>
      <c r="CK25" s="4">
        <f>CJ25+預測IC!CK26</f>
        <v>0.64607802578142259</v>
      </c>
      <c r="CL25" s="4">
        <f>CK25+預測IC!CL26</f>
        <v>0.71290310684162383</v>
      </c>
      <c r="CM25" s="4">
        <f>CL25+預測IC!CM26</f>
        <v>0.68413087782180682</v>
      </c>
      <c r="CN25" s="4">
        <f>CM25+預測IC!CN26</f>
        <v>0.72359339372344467</v>
      </c>
      <c r="CO25" s="4">
        <f>CN25+預測IC!CO26</f>
        <v>0.69456230674608477</v>
      </c>
      <c r="CP25" s="4">
        <f>CO25+預測IC!CP26</f>
        <v>0.70854618926555268</v>
      </c>
      <c r="CQ25" s="4">
        <f>CP25+預測IC!CQ26</f>
        <v>0.67626922430621883</v>
      </c>
      <c r="CR25" s="4">
        <f>CQ25+預測IC!CR26</f>
        <v>0.6793728009191129</v>
      </c>
      <c r="CS25" s="4">
        <f>CR25+預測IC!CS26</f>
        <v>0.70496465668619601</v>
      </c>
      <c r="CT25" s="4">
        <f>CS25+預測IC!CT26</f>
        <v>0.74935654297338927</v>
      </c>
      <c r="CU25" s="4">
        <f>CT25+預測IC!CU26</f>
        <v>0.71901758442381181</v>
      </c>
      <c r="CV25" s="4">
        <f>CU25+預測IC!CV26</f>
        <v>0.7177596079692401</v>
      </c>
      <c r="CW25" s="4">
        <f>CV25+預測IC!CW26</f>
        <v>0.72009596442509805</v>
      </c>
      <c r="CX25" s="4">
        <f>CW25+預測IC!CX26</f>
        <v>0.655831819499192</v>
      </c>
      <c r="CY25" s="4">
        <f>CX25+預測IC!CY26</f>
        <v>0.66874159895818441</v>
      </c>
      <c r="CZ25" s="4">
        <f>CY25+預測IC!CZ26</f>
        <v>0.54326450428732564</v>
      </c>
      <c r="DA25" s="4">
        <f>CZ25+預測IC!DA26</f>
        <v>0.55495518722711823</v>
      </c>
      <c r="DB25" s="4">
        <f>DA25+預測IC!DB26</f>
        <v>0.56129303092785998</v>
      </c>
      <c r="DC25" s="4">
        <f>DB25+預測IC!DC26</f>
        <v>0.44398767445847448</v>
      </c>
      <c r="DD25" s="4">
        <f>DC25+預測IC!DD26</f>
        <v>0.40797680240902789</v>
      </c>
      <c r="DE25" s="4">
        <f>DD25+預測IC!DE26</f>
        <v>0.54688810648129582</v>
      </c>
      <c r="DF25" s="4">
        <f>DE25+預測IC!DF26</f>
        <v>0.49574460025519007</v>
      </c>
      <c r="DG25" s="4">
        <f>DF25+預測IC!DG26</f>
        <v>0.57247604743715907</v>
      </c>
      <c r="DH25" s="4">
        <f>DG25+預測IC!DH26</f>
        <v>0.58798482963416721</v>
      </c>
      <c r="DI25" s="4">
        <f>DH25+預測IC!DI26</f>
        <v>0.61120860330892302</v>
      </c>
      <c r="DJ25" s="4">
        <f>DI25+預測IC!DJ26</f>
        <v>0.59283572694769515</v>
      </c>
      <c r="DK25" s="4">
        <f>DJ25+預測IC!DK26</f>
        <v>0.65503474103279458</v>
      </c>
      <c r="DL25" s="4">
        <f>DK25+預測IC!DL26</f>
        <v>0.67513304551975173</v>
      </c>
      <c r="DM25" s="4">
        <f>DL25+預測IC!DM26</f>
        <v>0.68863198526781977</v>
      </c>
      <c r="DN25" s="4">
        <f>DM25+預測IC!DN26</f>
        <v>0.65837977253939894</v>
      </c>
      <c r="DO25" s="4">
        <f>DN25+預測IC!DO26</f>
        <v>0.64135693683134509</v>
      </c>
      <c r="DP25" s="4">
        <f>DO25+預測IC!DP26</f>
        <v>0.61956841355888315</v>
      </c>
      <c r="DQ25" s="4">
        <f>DP25+預測IC!DQ26</f>
        <v>0.70531403814402038</v>
      </c>
      <c r="DR25" s="4">
        <f>DQ25+預測IC!DR26</f>
        <v>0.73342078174899417</v>
      </c>
      <c r="DS25" s="4">
        <f>DR25+預測IC!DS26</f>
        <v>0.73111762194163477</v>
      </c>
      <c r="DT25" s="4">
        <f>DS25+預測IC!DT26</f>
        <v>0.78958882007312226</v>
      </c>
      <c r="DU25" s="4">
        <f>DT25+預測IC!DU26</f>
        <v>0.85724776912176992</v>
      </c>
      <c r="DV25" s="4">
        <f>DU25+預測IC!DV26</f>
        <v>0.86226853976220219</v>
      </c>
      <c r="DW25" s="4">
        <f>DV25+預測IC!DW26</f>
        <v>0.89968472343740924</v>
      </c>
      <c r="DX25" s="4">
        <f>DW25+預測IC!DX26</f>
        <v>0.98379572718345132</v>
      </c>
      <c r="DY25" s="4">
        <f>DX25+預測IC!DY26</f>
        <v>0.94696332863943844</v>
      </c>
      <c r="DZ25" s="4">
        <f>DY25+預測IC!DZ26</f>
        <v>0.95005503145637549</v>
      </c>
      <c r="EA25" s="4">
        <f>DZ25+預測IC!EA26</f>
        <v>0.94809740324208092</v>
      </c>
      <c r="EB25" s="4">
        <f>EA25+預測IC!EB26</f>
        <v>0.97455650684560069</v>
      </c>
      <c r="EC25" s="4">
        <f>EB25+預測IC!EC26</f>
        <v>0.94980396808491041</v>
      </c>
      <c r="ED25" s="4">
        <f>EC25+預測IC!ED26</f>
        <v>0.98391945906747036</v>
      </c>
      <c r="EE25" s="4">
        <f>ED25+預測IC!EE26</f>
        <v>1.0049814330565034</v>
      </c>
      <c r="EF25" s="4">
        <f>EE25+預測IC!EF26</f>
        <v>0.98470404035049752</v>
      </c>
    </row>
    <row r="26" spans="1:136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F26"/>
  <sheetViews>
    <sheetView tabSelected="1" topLeftCell="A23" zoomScale="169" zoomScaleNormal="90" workbookViewId="0">
      <selection activeCell="L32" sqref="L32"/>
    </sheetView>
  </sheetViews>
  <sheetFormatPr baseColWidth="10" defaultColWidth="8.83203125" defaultRowHeight="15"/>
  <sheetData>
    <row r="1" spans="1:136" s="1" customFormat="1">
      <c r="A1" s="2" t="s">
        <v>0</v>
      </c>
    </row>
    <row r="2" spans="1:136" s="1" customFormat="1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 s="1" customFormat="1">
      <c r="B3" s="2" t="s">
        <v>136</v>
      </c>
      <c r="C3" s="13">
        <v>3.1330205500125892E-2</v>
      </c>
      <c r="D3" s="13">
        <v>-1.7543647438287732E-2</v>
      </c>
      <c r="E3" s="13">
        <v>2.9643896967172619E-2</v>
      </c>
      <c r="F3" s="13">
        <v>2.8182985261082649E-2</v>
      </c>
      <c r="G3" s="13">
        <v>4.1800491511821747E-2</v>
      </c>
      <c r="H3" s="13">
        <v>1.7699908465147018E-2</v>
      </c>
      <c r="I3" s="13">
        <v>1.256205607205629E-2</v>
      </c>
      <c r="J3" s="13">
        <v>1.2357430532574649E-3</v>
      </c>
      <c r="K3" s="13">
        <v>3.5791270434856408E-2</v>
      </c>
      <c r="L3" s="13">
        <v>6.6725820302963257E-2</v>
      </c>
      <c r="M3" s="13">
        <v>1.32761662825942E-2</v>
      </c>
      <c r="N3" s="13">
        <v>-1.340599730610847E-3</v>
      </c>
      <c r="O3" s="13">
        <v>-3.9153536781668663E-3</v>
      </c>
      <c r="P3" s="13">
        <v>2.3424895480275151E-2</v>
      </c>
      <c r="Q3" s="13">
        <v>2.038630656898022E-2</v>
      </c>
      <c r="R3" s="13">
        <v>1.957200467586517E-2</v>
      </c>
      <c r="S3" s="13">
        <v>2.2870888933539391E-2</v>
      </c>
      <c r="T3" s="13">
        <v>4.3855453841388234E-3</v>
      </c>
      <c r="U3" s="13">
        <v>-8.5439961403608322E-3</v>
      </c>
      <c r="V3" s="13">
        <v>-8.516303263604641E-3</v>
      </c>
      <c r="W3" s="13">
        <v>-1.7971992492675781E-2</v>
      </c>
      <c r="X3" s="13">
        <v>-1.1634783819317819E-2</v>
      </c>
      <c r="Y3" s="13">
        <v>-2.656730450689793E-2</v>
      </c>
      <c r="Z3" s="13">
        <v>-2.7729809284210209E-2</v>
      </c>
      <c r="AA3" s="13">
        <v>7.4403420090675354E-2</v>
      </c>
      <c r="AB3" s="13">
        <v>-2.764703705906868E-2</v>
      </c>
      <c r="AC3" s="13">
        <v>-2.7917437255382541E-2</v>
      </c>
      <c r="AD3" s="13">
        <v>-3.129136934876442E-2</v>
      </c>
      <c r="AE3" s="13">
        <v>-2.063364535570145E-2</v>
      </c>
      <c r="AF3" s="13">
        <v>-3.5181421786546707E-2</v>
      </c>
      <c r="AG3" s="13">
        <v>-1.2474990449845791E-2</v>
      </c>
      <c r="AH3" s="13">
        <v>-2.2227592766284939E-2</v>
      </c>
      <c r="AI3" s="13">
        <v>2.8354397043585781E-2</v>
      </c>
      <c r="AJ3" s="13">
        <v>1.7696382477879521E-2</v>
      </c>
      <c r="AK3" s="13">
        <v>-1.5488248318433759E-3</v>
      </c>
      <c r="AL3" s="13">
        <v>6.0541510581970208E-2</v>
      </c>
      <c r="AM3" s="13">
        <v>4.2939703911542892E-2</v>
      </c>
      <c r="AN3" s="13">
        <v>4.6451166272163391E-2</v>
      </c>
      <c r="AO3" s="13">
        <v>4.6414647251367569E-2</v>
      </c>
      <c r="AP3" s="13">
        <v>2.7322841808199879E-2</v>
      </c>
      <c r="AQ3" s="13">
        <v>4.9711406230926507E-2</v>
      </c>
      <c r="AR3" s="13">
        <v>4.072609543800354E-2</v>
      </c>
      <c r="AS3" s="13">
        <v>3.7940710783004761E-2</v>
      </c>
      <c r="AT3" s="13">
        <v>4.3215282261371613E-2</v>
      </c>
      <c r="AU3" s="13">
        <v>3.5848293453454971E-2</v>
      </c>
      <c r="AV3" s="13">
        <v>4.8106551170349121E-2</v>
      </c>
      <c r="AW3" s="13">
        <v>0.25755825638771063</v>
      </c>
      <c r="AX3" s="13">
        <v>2.3971892893314362E-2</v>
      </c>
      <c r="AY3" s="13">
        <v>5.6368216872215271E-2</v>
      </c>
      <c r="AZ3" s="13">
        <v>4.440823569893837E-2</v>
      </c>
      <c r="BA3" s="13">
        <v>4.0217362344264977E-2</v>
      </c>
      <c r="BB3" s="13">
        <v>3.9215490221977227E-2</v>
      </c>
      <c r="BC3" s="13">
        <v>5.1480397582054138E-2</v>
      </c>
      <c r="BD3" s="13">
        <v>4.9942176789045327E-2</v>
      </c>
      <c r="BE3" s="13">
        <v>4.9302525818347931E-2</v>
      </c>
      <c r="BF3" s="13">
        <v>5.0215017050504678E-2</v>
      </c>
      <c r="BG3" s="13">
        <v>4.4806387275457382E-2</v>
      </c>
      <c r="BH3" s="13">
        <v>7.2218522429466248E-2</v>
      </c>
      <c r="BI3" s="13">
        <v>5.3198006004095078E-2</v>
      </c>
      <c r="BJ3" s="13">
        <v>5.0947383046150208E-2</v>
      </c>
      <c r="BK3" s="13">
        <v>4.6847827732563019E-2</v>
      </c>
      <c r="BL3" s="13">
        <v>5.1777664572000497E-2</v>
      </c>
      <c r="BM3" s="13">
        <v>4.5751150697469711E-2</v>
      </c>
      <c r="BN3" s="13">
        <v>5.1456984132528312E-2</v>
      </c>
      <c r="BO3" s="13">
        <v>5.444614589214325E-2</v>
      </c>
      <c r="BP3" s="13">
        <v>5.1880281418561942E-2</v>
      </c>
      <c r="BQ3" s="13">
        <v>4.9081109464168549E-2</v>
      </c>
      <c r="BR3" s="13">
        <v>3.0115354806184769E-2</v>
      </c>
      <c r="BS3" s="13">
        <v>4.8800110816955573E-2</v>
      </c>
      <c r="BT3" s="13">
        <v>4.8635218292474747E-2</v>
      </c>
      <c r="BU3" s="13">
        <v>4.5633736997842789E-2</v>
      </c>
      <c r="BV3" s="13">
        <v>4.947228729724884E-2</v>
      </c>
      <c r="BW3" s="13">
        <v>4.4601880013942719E-2</v>
      </c>
      <c r="BX3" s="13">
        <v>4.56710085272789E-2</v>
      </c>
      <c r="BY3" s="13">
        <v>3.6897704005241387E-2</v>
      </c>
      <c r="BZ3" s="13">
        <v>0.21394279599189761</v>
      </c>
      <c r="CA3" s="13">
        <v>2.7052136138081551E-2</v>
      </c>
      <c r="CB3" s="13">
        <v>4.6074997633695602E-2</v>
      </c>
      <c r="CC3" s="13">
        <v>7.2226598858833313E-2</v>
      </c>
      <c r="CD3" s="13">
        <v>3.4700907766819E-2</v>
      </c>
      <c r="CE3" s="13">
        <v>3.6362294107675552E-2</v>
      </c>
      <c r="CF3" s="13">
        <v>4.7756139189004898E-2</v>
      </c>
      <c r="CG3" s="13">
        <v>3.6376580595970147E-2</v>
      </c>
      <c r="CH3" s="13">
        <v>4.3285507708787918E-2</v>
      </c>
      <c r="CI3" s="13">
        <v>4.2804375290870673E-2</v>
      </c>
      <c r="CJ3" s="13">
        <v>4.3789677321910858E-2</v>
      </c>
      <c r="CK3" s="13">
        <v>4.193609207868576E-2</v>
      </c>
      <c r="CL3" s="13">
        <v>4.5073911547660828E-2</v>
      </c>
      <c r="CM3" s="13">
        <v>5.7426575571298599E-2</v>
      </c>
      <c r="CN3" s="13">
        <v>4.8870686441659927E-2</v>
      </c>
      <c r="CO3" s="13">
        <v>4.6467091888189323E-2</v>
      </c>
      <c r="CP3" s="13">
        <v>4.5427285134792328E-2</v>
      </c>
      <c r="CQ3" s="13">
        <v>4.3254118412733078E-2</v>
      </c>
      <c r="CR3" s="13">
        <v>4.2831581085920327E-2</v>
      </c>
      <c r="CS3" s="13">
        <v>4.1360333561897278E-2</v>
      </c>
      <c r="CT3" s="13">
        <v>2.374728582799435E-2</v>
      </c>
      <c r="CU3" s="13">
        <v>3.9278171956539147E-2</v>
      </c>
      <c r="CV3" s="13">
        <v>4.09957654774189E-2</v>
      </c>
      <c r="CW3" s="13">
        <v>3.6699786782264709E-2</v>
      </c>
      <c r="CX3" s="13">
        <v>3.8764949887990952E-2</v>
      </c>
      <c r="CY3" s="13">
        <v>3.7805531173944473E-2</v>
      </c>
      <c r="CZ3" s="13">
        <v>4.325726255774498E-2</v>
      </c>
      <c r="DA3" s="13">
        <v>4.4850636273622513E-2</v>
      </c>
      <c r="DB3" s="13">
        <v>4.3851811438798897E-2</v>
      </c>
      <c r="DC3" s="13">
        <v>4.9191009253263467E-2</v>
      </c>
      <c r="DD3" s="13">
        <v>4.212004691362381E-2</v>
      </c>
      <c r="DE3" s="13">
        <v>4.7127000987529748E-2</v>
      </c>
      <c r="DF3" s="13">
        <v>3.8079626858234412E-2</v>
      </c>
      <c r="DG3" s="13">
        <v>3.8307089358568192E-2</v>
      </c>
      <c r="DH3" s="13">
        <v>3.9209745824337013E-2</v>
      </c>
      <c r="DI3" s="13">
        <v>5.0754562020301819E-2</v>
      </c>
      <c r="DJ3" s="13">
        <v>4.9327295273542397E-2</v>
      </c>
      <c r="DK3" s="13">
        <v>4.6511236578226089E-2</v>
      </c>
      <c r="DL3" s="13">
        <v>4.22775037586689E-2</v>
      </c>
      <c r="DM3" s="13">
        <v>3.2305262982845313E-2</v>
      </c>
      <c r="DN3" s="13">
        <v>4.6072427183389657E-2</v>
      </c>
      <c r="DO3" s="13">
        <v>4.8485249280929572E-2</v>
      </c>
      <c r="DP3" s="13">
        <v>4.6022161841392517E-2</v>
      </c>
      <c r="DQ3" s="13">
        <v>4.4537413865327842E-2</v>
      </c>
      <c r="DR3" s="13">
        <v>4.4425271451473243E-2</v>
      </c>
      <c r="DS3" s="13">
        <v>4.2646575719118118E-2</v>
      </c>
      <c r="DT3" s="13">
        <v>4.6090584248304367E-2</v>
      </c>
      <c r="DU3" s="13">
        <v>4.3128091841936111E-2</v>
      </c>
      <c r="DV3" s="13">
        <v>4.1349083185195923E-2</v>
      </c>
      <c r="DW3" s="13">
        <v>4.0377732366323471E-2</v>
      </c>
      <c r="DX3" s="13">
        <v>4.6240631490945823E-2</v>
      </c>
      <c r="DY3" s="13">
        <v>4.529276117682457E-2</v>
      </c>
      <c r="DZ3" s="13">
        <v>3.8002155721187592E-2</v>
      </c>
      <c r="EA3" s="13">
        <v>4.3337244540452957E-2</v>
      </c>
      <c r="EB3" s="13">
        <v>3.5762075334787369E-2</v>
      </c>
      <c r="EC3" s="13">
        <v>3.0851878225803379E-2</v>
      </c>
      <c r="ED3" s="13">
        <v>4.0065716952085488E-2</v>
      </c>
      <c r="EE3" s="13">
        <v>4.3372519314289093E-2</v>
      </c>
      <c r="EF3" s="13">
        <v>4.6325836330652237E-2</v>
      </c>
    </row>
    <row r="4" spans="1:136" s="1" customFormat="1">
      <c r="B4" s="2" t="s">
        <v>137</v>
      </c>
      <c r="C4" s="13">
        <v>-2.2946899756789211E-2</v>
      </c>
      <c r="D4" s="13">
        <v>-3.2528996467590332E-2</v>
      </c>
      <c r="E4" s="13">
        <v>-2.231709286570549E-2</v>
      </c>
      <c r="F4" s="13">
        <v>-3.0678801238536831E-2</v>
      </c>
      <c r="G4" s="13">
        <v>-3.2594364136457443E-2</v>
      </c>
      <c r="H4" s="13">
        <v>-2.7283268049359322E-2</v>
      </c>
      <c r="I4" s="13">
        <v>-3.6774773150682449E-2</v>
      </c>
      <c r="J4" s="13">
        <v>-3.694760799407959E-2</v>
      </c>
      <c r="K4" s="13">
        <v>-3.4350186586379998E-2</v>
      </c>
      <c r="L4" s="13">
        <v>-3.5141970962286002E-2</v>
      </c>
      <c r="M4" s="13">
        <v>-3.6390375345945358E-2</v>
      </c>
      <c r="N4" s="13">
        <v>-2.7910143136978149E-2</v>
      </c>
      <c r="O4" s="13">
        <v>-3.4657396376132972E-2</v>
      </c>
      <c r="P4" s="13">
        <v>-3.7157066166400909E-2</v>
      </c>
      <c r="Q4" s="13">
        <v>-3.2246530055999763E-2</v>
      </c>
      <c r="R4" s="13">
        <v>-3.2251663506031043E-2</v>
      </c>
      <c r="S4" s="13">
        <v>-2.9913196340203289E-2</v>
      </c>
      <c r="T4" s="13">
        <v>-2.9206940904259682E-2</v>
      </c>
      <c r="U4" s="13">
        <v>-2.8744202107191089E-2</v>
      </c>
      <c r="V4" s="13">
        <v>-2.8017682954668999E-2</v>
      </c>
      <c r="W4" s="13">
        <v>-2.7434077113866809E-2</v>
      </c>
      <c r="X4" s="13">
        <v>-2.876461856067181E-2</v>
      </c>
      <c r="Y4" s="13">
        <v>-3.1099813058972359E-2</v>
      </c>
      <c r="Z4" s="13">
        <v>-3.0133392661809921E-2</v>
      </c>
      <c r="AA4" s="13">
        <v>-2.9746487736701969E-2</v>
      </c>
      <c r="AB4" s="13">
        <v>-2.964571118354797E-2</v>
      </c>
      <c r="AC4" s="13">
        <v>-2.9567878693342209E-2</v>
      </c>
      <c r="AD4" s="13">
        <v>-2.8945522382855419E-2</v>
      </c>
      <c r="AE4" s="13">
        <v>-2.8935028240084652E-2</v>
      </c>
      <c r="AF4" s="13">
        <v>-2.8917042538523671E-2</v>
      </c>
      <c r="AG4" s="13">
        <v>-2.828941494226456E-2</v>
      </c>
      <c r="AH4" s="13">
        <v>-1.883991435170174E-2</v>
      </c>
      <c r="AI4" s="13">
        <v>-4.0709320455789573E-2</v>
      </c>
      <c r="AJ4" s="13">
        <v>-3.4136712551116943E-2</v>
      </c>
      <c r="AK4" s="13">
        <v>-2.7761854231357571E-2</v>
      </c>
      <c r="AL4" s="13">
        <v>-2.6954172179102901E-2</v>
      </c>
      <c r="AM4" s="13">
        <v>-2.9749177396297451E-2</v>
      </c>
      <c r="AN4" s="13">
        <v>-2.958561293780804E-2</v>
      </c>
      <c r="AO4" s="13">
        <v>-3.5846035927534103E-2</v>
      </c>
      <c r="AP4" s="13">
        <v>-3.5248521715402603E-2</v>
      </c>
      <c r="AQ4" s="13">
        <v>-2.2184915840625759E-2</v>
      </c>
      <c r="AR4" s="13">
        <v>-2.593911811709404E-2</v>
      </c>
      <c r="AS4" s="13">
        <v>-2.9777109622955319E-2</v>
      </c>
      <c r="AT4" s="13">
        <v>-2.5417083874344829E-2</v>
      </c>
      <c r="AU4" s="13">
        <v>-3.08467410504818E-2</v>
      </c>
      <c r="AV4" s="13">
        <v>-3.2425623387098312E-2</v>
      </c>
      <c r="AW4" s="13">
        <v>-2.665197849273682E-2</v>
      </c>
      <c r="AX4" s="13">
        <v>-2.6401566341519359E-2</v>
      </c>
      <c r="AY4" s="13">
        <v>-3.4196376800537109E-2</v>
      </c>
      <c r="AZ4" s="13">
        <v>-2.7192108333110809E-2</v>
      </c>
      <c r="BA4" s="13">
        <v>-3.141489252448082E-2</v>
      </c>
      <c r="BB4" s="13">
        <v>-3.3737760037183762E-2</v>
      </c>
      <c r="BC4" s="13">
        <v>-3.037294372916222E-2</v>
      </c>
      <c r="BD4" s="13">
        <v>-3.122984804213047E-2</v>
      </c>
      <c r="BE4" s="13">
        <v>-3.2925654202699661E-2</v>
      </c>
      <c r="BF4" s="13">
        <v>-3.0702147632837299E-2</v>
      </c>
      <c r="BG4" s="13">
        <v>-3.2038435339927673E-2</v>
      </c>
      <c r="BH4" s="13">
        <v>-2.992494776844978E-2</v>
      </c>
      <c r="BI4" s="13">
        <v>-3.1321626156568527E-2</v>
      </c>
      <c r="BJ4" s="13">
        <v>-3.0535932630300518E-2</v>
      </c>
      <c r="BK4" s="13">
        <v>-3.2727848738431931E-2</v>
      </c>
      <c r="BL4" s="13">
        <v>-3.1020708382129669E-2</v>
      </c>
      <c r="BM4" s="13">
        <v>-3.1905554234981537E-2</v>
      </c>
      <c r="BN4" s="13">
        <v>-1.146291196346283E-2</v>
      </c>
      <c r="BO4" s="13">
        <v>-2.2440502420067791E-2</v>
      </c>
      <c r="BP4" s="13">
        <v>-2.6134863495826721E-2</v>
      </c>
      <c r="BQ4" s="13">
        <v>-3.2739493995904922E-2</v>
      </c>
      <c r="BR4" s="13">
        <v>-1.1072360910475251E-2</v>
      </c>
      <c r="BS4" s="13">
        <v>-3.3545445650815957E-2</v>
      </c>
      <c r="BT4" s="13">
        <v>-2.5867762044072151E-2</v>
      </c>
      <c r="BU4" s="13">
        <v>-3.5770893096923828E-2</v>
      </c>
      <c r="BV4" s="13">
        <v>-3.3611096441745758E-2</v>
      </c>
      <c r="BW4" s="13">
        <v>-2.3763570934534069E-2</v>
      </c>
      <c r="BX4" s="13">
        <v>-3.2385952770709991E-2</v>
      </c>
      <c r="BY4" s="13">
        <v>-3.174808993935585E-2</v>
      </c>
      <c r="BZ4" s="13">
        <v>-3.5722728818655007E-2</v>
      </c>
      <c r="CA4" s="13">
        <v>-3.2349672168493271E-2</v>
      </c>
      <c r="CB4" s="13">
        <v>-2.4401739239692691E-2</v>
      </c>
      <c r="CC4" s="13">
        <v>-2.9154768213629719E-2</v>
      </c>
      <c r="CD4" s="13">
        <v>-2.6064924895763401E-2</v>
      </c>
      <c r="CE4" s="13">
        <v>-3.1504537910223007E-2</v>
      </c>
      <c r="CF4" s="13">
        <v>-3.0558105558156971E-2</v>
      </c>
      <c r="CG4" s="13">
        <v>-3.0557489022612572E-2</v>
      </c>
      <c r="CH4" s="13">
        <v>-3.119574673473835E-2</v>
      </c>
      <c r="CI4" s="13">
        <v>-3.099741600453854E-2</v>
      </c>
      <c r="CJ4" s="13">
        <v>-3.2932452857494347E-2</v>
      </c>
      <c r="CK4" s="13">
        <v>-3.1934447586536407E-2</v>
      </c>
      <c r="CL4" s="13">
        <v>-3.1415339559316642E-2</v>
      </c>
      <c r="CM4" s="13">
        <v>-3.0473604798316959E-2</v>
      </c>
      <c r="CN4" s="13">
        <v>-3.1549032777547843E-2</v>
      </c>
      <c r="CO4" s="13">
        <v>-3.048702701926231E-2</v>
      </c>
      <c r="CP4" s="13">
        <v>-3.008273430168629E-2</v>
      </c>
      <c r="CQ4" s="13">
        <v>-3.185567632317543E-2</v>
      </c>
      <c r="CR4" s="13">
        <v>-2.9665300622582439E-2</v>
      </c>
      <c r="CS4" s="13">
        <v>-3.06941531598568E-2</v>
      </c>
      <c r="CT4" s="13">
        <v>-2.3139951750636101E-2</v>
      </c>
      <c r="CU4" s="13">
        <v>-2.7379043400287632E-2</v>
      </c>
      <c r="CV4" s="13">
        <v>-2.8476610779762272E-2</v>
      </c>
      <c r="CW4" s="13">
        <v>-3.2229896634817123E-2</v>
      </c>
      <c r="CX4" s="13">
        <v>-2.7671042829751968E-2</v>
      </c>
      <c r="CY4" s="13">
        <v>-2.780521847307682E-2</v>
      </c>
      <c r="CZ4" s="13">
        <v>-2.5955270975828171E-2</v>
      </c>
      <c r="DA4" s="13">
        <v>-2.869330532848835E-2</v>
      </c>
      <c r="DB4" s="13">
        <v>-3.3299807459115982E-2</v>
      </c>
      <c r="DC4" s="13">
        <v>-3.2515127211809158E-2</v>
      </c>
      <c r="DD4" s="13">
        <v>-3.2184645533561707E-2</v>
      </c>
      <c r="DE4" s="13">
        <v>-2.9689539223909382E-2</v>
      </c>
      <c r="DF4" s="13">
        <v>-3.0039757490158081E-2</v>
      </c>
      <c r="DG4" s="13">
        <v>-2.7630811557173729E-2</v>
      </c>
      <c r="DH4" s="13">
        <v>-2.948114275932312E-2</v>
      </c>
      <c r="DI4" s="13">
        <v>-2.9837131500244141E-2</v>
      </c>
      <c r="DJ4" s="13">
        <v>-3.0152346938848499E-2</v>
      </c>
      <c r="DK4" s="13">
        <v>-2.9910968616604802E-2</v>
      </c>
      <c r="DL4" s="13">
        <v>-3.0357034876942631E-2</v>
      </c>
      <c r="DM4" s="13">
        <v>-2.8307907283306118E-2</v>
      </c>
      <c r="DN4" s="13">
        <v>-2.7425747364759449E-2</v>
      </c>
      <c r="DO4" s="13">
        <v>-2.8660286217927929E-2</v>
      </c>
      <c r="DP4" s="13">
        <v>-2.6614684611558911E-2</v>
      </c>
      <c r="DQ4" s="13">
        <v>-2.7624152600765228E-2</v>
      </c>
      <c r="DR4" s="13">
        <v>-2.8681257739663121E-2</v>
      </c>
      <c r="DS4" s="13">
        <v>-2.8064034879207611E-2</v>
      </c>
      <c r="DT4" s="13">
        <v>-2.8476167470216751E-2</v>
      </c>
      <c r="DU4" s="13">
        <v>-2.8130983933806419E-2</v>
      </c>
      <c r="DV4" s="13">
        <v>-2.8065690770745281E-2</v>
      </c>
      <c r="DW4" s="13">
        <v>-2.618366107344627E-2</v>
      </c>
      <c r="DX4" s="13">
        <v>-2.7583243325352669E-2</v>
      </c>
      <c r="DY4" s="13">
        <v>-2.974858321249485E-2</v>
      </c>
      <c r="DZ4" s="13">
        <v>-2.467053942382336E-2</v>
      </c>
      <c r="EA4" s="13">
        <v>-2.6180332526564602E-2</v>
      </c>
      <c r="EB4" s="13">
        <v>-2.6299703866243359E-2</v>
      </c>
      <c r="EC4" s="13">
        <v>-2.7548244222998619E-2</v>
      </c>
      <c r="ED4" s="13">
        <v>-2.391510829329491E-2</v>
      </c>
      <c r="EE4" s="13">
        <v>-3.1682092696428299E-2</v>
      </c>
      <c r="EF4" s="13">
        <v>-2.8993211686611179E-2</v>
      </c>
    </row>
    <row r="5" spans="1:136" s="1" customFormat="1">
      <c r="B5" s="2" t="s">
        <v>138</v>
      </c>
      <c r="C5" s="13">
        <v>-1.7830728320404889E-3</v>
      </c>
      <c r="D5" s="13">
        <v>-5.807969719171524E-3</v>
      </c>
      <c r="E5" s="13">
        <v>-5.4487348534166813E-3</v>
      </c>
      <c r="F5" s="13">
        <v>-5.0667491741478443E-3</v>
      </c>
      <c r="G5" s="13">
        <v>-7.0356116630136967E-3</v>
      </c>
      <c r="H5" s="13">
        <v>-5.7321330532431602E-3</v>
      </c>
      <c r="I5" s="13">
        <v>-4.5550367794930926E-3</v>
      </c>
      <c r="J5" s="13">
        <v>-6.6406917758285999E-3</v>
      </c>
      <c r="K5" s="13">
        <v>-7.1166539564728737E-3</v>
      </c>
      <c r="L5" s="13">
        <v>-5.1224259659647942E-3</v>
      </c>
      <c r="M5" s="13">
        <v>-6.61063427105546E-3</v>
      </c>
      <c r="N5" s="13">
        <v>5.8811819180846214E-3</v>
      </c>
      <c r="O5" s="13">
        <v>2.1359868347644809E-2</v>
      </c>
      <c r="P5" s="13">
        <v>1.4080207329243419E-3</v>
      </c>
      <c r="Q5" s="13">
        <v>2.8066970407962799E-3</v>
      </c>
      <c r="R5" s="13">
        <v>-6.5349945798516273E-3</v>
      </c>
      <c r="S5" s="13">
        <v>-3.3381129615008831E-3</v>
      </c>
      <c r="T5" s="13">
        <v>4.9602827057242393E-3</v>
      </c>
      <c r="U5" s="13">
        <v>3.3406838774681091E-3</v>
      </c>
      <c r="V5" s="13">
        <v>6.140547338873148E-4</v>
      </c>
      <c r="W5" s="13">
        <v>9.1809040168300271E-4</v>
      </c>
      <c r="X5" s="13">
        <v>-4.8206630162894726E-3</v>
      </c>
      <c r="Y5" s="13">
        <v>-9.6054915338754654E-3</v>
      </c>
      <c r="Z5" s="13">
        <v>-3.1937819439917798E-3</v>
      </c>
      <c r="AA5" s="13">
        <v>-1.071048714220524E-2</v>
      </c>
      <c r="AB5" s="13">
        <v>-8.0073485150933266E-3</v>
      </c>
      <c r="AC5" s="13">
        <v>-9.7105018794536591E-3</v>
      </c>
      <c r="AD5" s="13">
        <v>-1.193892490118742E-2</v>
      </c>
      <c r="AE5" s="13">
        <v>-9.1045163571834564E-3</v>
      </c>
      <c r="AF5" s="13">
        <v>-5.2170734852552414E-3</v>
      </c>
      <c r="AG5" s="13">
        <v>-6.7129302769899368E-3</v>
      </c>
      <c r="AH5" s="13">
        <v>-4.2343703098595142E-3</v>
      </c>
      <c r="AI5" s="13">
        <v>-3.7024291232228279E-3</v>
      </c>
      <c r="AJ5" s="13">
        <v>-3.4234239719808102E-3</v>
      </c>
      <c r="AK5" s="13">
        <v>-5.0286529585719109E-3</v>
      </c>
      <c r="AL5" s="13">
        <v>-5.3550507873296738E-3</v>
      </c>
      <c r="AM5" s="13">
        <v>-6.9953757338225842E-3</v>
      </c>
      <c r="AN5" s="13">
        <v>-1.9440042087808249E-3</v>
      </c>
      <c r="AO5" s="13">
        <v>-5.7561695575714111E-3</v>
      </c>
      <c r="AP5" s="13">
        <v>-5.5434941314160824E-3</v>
      </c>
      <c r="AQ5" s="13">
        <v>-8.768024854362011E-4</v>
      </c>
      <c r="AR5" s="13">
        <v>-3.7110829725861549E-3</v>
      </c>
      <c r="AS5" s="13">
        <v>-1.8258683849126101E-3</v>
      </c>
      <c r="AT5" s="13">
        <v>1.723302528262138E-2</v>
      </c>
      <c r="AU5" s="13">
        <v>-6.8042157217860222E-3</v>
      </c>
      <c r="AV5" s="13">
        <v>1.040650904178619E-2</v>
      </c>
      <c r="AW5" s="13">
        <v>-1.1680858209729189E-2</v>
      </c>
      <c r="AX5" s="13">
        <v>-1.109044998884201E-2</v>
      </c>
      <c r="AY5" s="13">
        <v>-7.5637380359694362E-4</v>
      </c>
      <c r="AZ5" s="13">
        <v>1.07489638030529E-2</v>
      </c>
      <c r="BA5" s="13">
        <v>-1.3510514982044699E-3</v>
      </c>
      <c r="BB5" s="13">
        <v>-7.5233145616948596E-3</v>
      </c>
      <c r="BC5" s="13">
        <v>1.9595171324908729E-3</v>
      </c>
      <c r="BD5" s="13">
        <v>-1.7605321481823921E-2</v>
      </c>
      <c r="BE5" s="13">
        <v>-5.7958187535405159E-3</v>
      </c>
      <c r="BF5" s="13">
        <v>6.0290488181635737E-4</v>
      </c>
      <c r="BG5" s="13">
        <v>-7.3045212775468826E-3</v>
      </c>
      <c r="BH5" s="13">
        <v>-4.3621701188385487E-3</v>
      </c>
      <c r="BI5" s="13">
        <v>6.2929122941568494E-4</v>
      </c>
      <c r="BJ5" s="13">
        <v>1.5743880067020649E-4</v>
      </c>
      <c r="BK5" s="13">
        <v>-8.4008211269974709E-3</v>
      </c>
      <c r="BL5" s="13">
        <v>-1.1468764860183001E-3</v>
      </c>
      <c r="BM5" s="13">
        <v>-2.949054585769773E-3</v>
      </c>
      <c r="BN5" s="13">
        <v>-6.1059690779075027E-4</v>
      </c>
      <c r="BO5" s="13">
        <v>-4.5644012279808521E-3</v>
      </c>
      <c r="BP5" s="13">
        <v>3.4177984343841672E-4</v>
      </c>
      <c r="BQ5" s="13">
        <v>1.0708648478612299E-3</v>
      </c>
      <c r="BR5" s="13">
        <v>4.8396759666502481E-4</v>
      </c>
      <c r="BS5" s="13">
        <v>-7.7918096212670207E-4</v>
      </c>
      <c r="BT5" s="13">
        <v>5.7771807769313455E-4</v>
      </c>
      <c r="BU5" s="13">
        <v>-4.3007326312363148E-3</v>
      </c>
      <c r="BV5" s="13">
        <v>-1.3925109524279831E-3</v>
      </c>
      <c r="BW5" s="13">
        <v>-3.6537761334329839E-3</v>
      </c>
      <c r="BX5" s="13">
        <v>-1.9937008619308472E-3</v>
      </c>
      <c r="BY5" s="13">
        <v>-2.6817773468792439E-3</v>
      </c>
      <c r="BZ5" s="13">
        <v>2.2256071679294109E-3</v>
      </c>
      <c r="CA5" s="13">
        <v>-1.7740057781338692E-2</v>
      </c>
      <c r="CB5" s="13">
        <v>-1.854742132127285E-2</v>
      </c>
      <c r="CC5" s="13">
        <v>-8.9547159150242805E-3</v>
      </c>
      <c r="CD5" s="13">
        <v>-6.0267932713031769E-3</v>
      </c>
      <c r="CE5" s="13">
        <v>4.5224521309137336E-3</v>
      </c>
      <c r="CF5" s="13">
        <v>-4.9523431807756424E-3</v>
      </c>
      <c r="CG5" s="13">
        <v>-1.120204571634531E-3</v>
      </c>
      <c r="CH5" s="13">
        <v>-3.2324404455721378E-3</v>
      </c>
      <c r="CI5" s="13">
        <v>-5.5289170704782009E-3</v>
      </c>
      <c r="CJ5" s="13">
        <v>4.4923755340278149E-3</v>
      </c>
      <c r="CK5" s="13">
        <v>-6.095989141613245E-3</v>
      </c>
      <c r="CL5" s="13">
        <v>-8.0949869006872177E-3</v>
      </c>
      <c r="CM5" s="13">
        <v>5.0488505512475967E-3</v>
      </c>
      <c r="CN5" s="13">
        <v>-1.788548310287297E-3</v>
      </c>
      <c r="CO5" s="13">
        <v>2.7636219747364521E-3</v>
      </c>
      <c r="CP5" s="13">
        <v>-3.583973273634911E-3</v>
      </c>
      <c r="CQ5" s="13">
        <v>-4.7339932061731824E-3</v>
      </c>
      <c r="CR5" s="13">
        <v>1.54245609883219E-3</v>
      </c>
      <c r="CS5" s="13">
        <v>-6.9501805119216442E-3</v>
      </c>
      <c r="CT5" s="13">
        <v>-6.800045957788825E-4</v>
      </c>
      <c r="CU5" s="13">
        <v>-3.5899188369512558E-3</v>
      </c>
      <c r="CV5" s="13">
        <v>-9.6032914007082582E-4</v>
      </c>
      <c r="CW5" s="13">
        <v>-3.6334127653390169E-3</v>
      </c>
      <c r="CX5" s="13">
        <v>-1.5083478065207601E-3</v>
      </c>
      <c r="CY5" s="13">
        <v>-2.2476767189800739E-3</v>
      </c>
      <c r="CZ5" s="13">
        <v>-1.561234821565449E-4</v>
      </c>
      <c r="DA5" s="13">
        <v>-1.49183627218008E-3</v>
      </c>
      <c r="DB5" s="13">
        <v>-3.169323550537229E-3</v>
      </c>
      <c r="DC5" s="13">
        <v>-3.9032646454870701E-3</v>
      </c>
      <c r="DD5" s="13">
        <v>-4.5191487297415733E-3</v>
      </c>
      <c r="DE5" s="13">
        <v>-5.4920930415391922E-3</v>
      </c>
      <c r="DF5" s="13">
        <v>-1.9542425870895389E-2</v>
      </c>
      <c r="DG5" s="13">
        <v>-5.0942343659698963E-3</v>
      </c>
      <c r="DH5" s="13">
        <v>-4.3465639464557171E-3</v>
      </c>
      <c r="DI5" s="13">
        <v>-1.3278067111968991E-2</v>
      </c>
      <c r="DJ5" s="13">
        <v>2.4301805533468719E-3</v>
      </c>
      <c r="DK5" s="13">
        <v>-8.2946429029107094E-3</v>
      </c>
      <c r="DL5" s="13">
        <v>-4.3598045594990253E-3</v>
      </c>
      <c r="DM5" s="13">
        <v>-1.441237283870578E-3</v>
      </c>
      <c r="DN5" s="13">
        <v>-3.749192226678133E-3</v>
      </c>
      <c r="DO5" s="13">
        <v>1.835820032283664E-3</v>
      </c>
      <c r="DP5" s="13">
        <v>-4.5633451081812382E-3</v>
      </c>
      <c r="DQ5" s="13">
        <v>-4.5281355269253254E-3</v>
      </c>
      <c r="DR5" s="13">
        <v>-7.0934956893324852E-3</v>
      </c>
      <c r="DS5" s="13">
        <v>-3.5971722099930048E-3</v>
      </c>
      <c r="DT5" s="13">
        <v>-1.070812228135765E-3</v>
      </c>
      <c r="DU5" s="13">
        <v>-5.7690823450684547E-3</v>
      </c>
      <c r="DV5" s="13">
        <v>-3.1534233130514622E-3</v>
      </c>
      <c r="DW5" s="13">
        <v>-6.9596427492797366E-3</v>
      </c>
      <c r="DX5" s="13">
        <v>-6.651862058788538E-3</v>
      </c>
      <c r="DY5" s="13">
        <v>-3.220914863049984E-3</v>
      </c>
      <c r="DZ5" s="13">
        <v>-1.9205159042030571E-3</v>
      </c>
      <c r="EA5" s="13">
        <v>-2.516824752092361E-3</v>
      </c>
      <c r="EB5" s="13">
        <v>-4.4912919402122498E-3</v>
      </c>
      <c r="EC5" s="13">
        <v>-4.5820055529475212E-3</v>
      </c>
      <c r="ED5" s="13">
        <v>-6.5560955554246902E-3</v>
      </c>
      <c r="EE5" s="13">
        <v>-5.9297331608831882E-3</v>
      </c>
      <c r="EF5" s="13">
        <v>-6.2290588393807411E-3</v>
      </c>
    </row>
    <row r="6" spans="1:136" s="1" customFormat="1">
      <c r="A6" s="2" t="s">
        <v>139</v>
      </c>
      <c r="C6" s="13">
        <f t="array" ref="C6">MATCH(MAX(ABS(C3:C5)),ABS(C3:C5),0)</f>
        <v>1</v>
      </c>
      <c r="D6" s="13">
        <f t="array" ref="D6">MATCH(MAX(ABS(D3:D5)),ABS(D3:D5),0)</f>
        <v>2</v>
      </c>
      <c r="E6" s="13">
        <f t="array" ref="E6">MATCH(MAX(ABS(E3:E5)),ABS(E3:E5),0)</f>
        <v>1</v>
      </c>
      <c r="F6" s="13">
        <f t="array" ref="F6">MATCH(MAX(ABS(F3:F5)),ABS(F3:F5),0)</f>
        <v>2</v>
      </c>
      <c r="G6" s="13">
        <f t="array" ref="G6">MATCH(MAX(ABS(G3:G5)),ABS(G3:G5),0)</f>
        <v>1</v>
      </c>
      <c r="H6" s="13">
        <f t="array" ref="H6">MATCH(MAX(ABS(H3:H5)),ABS(H3:H5),0)</f>
        <v>2</v>
      </c>
      <c r="I6" s="13">
        <f t="array" ref="I6">MATCH(MAX(ABS(I3:I5)),ABS(I3:I5),0)</f>
        <v>2</v>
      </c>
      <c r="J6" s="13">
        <f t="array" ref="J6">MATCH(MAX(ABS(J3:J5)),ABS(J3:J5),0)</f>
        <v>2</v>
      </c>
      <c r="K6" s="13">
        <f t="array" ref="K6">MATCH(MAX(ABS(K3:K5)),ABS(K3:K5),0)</f>
        <v>1</v>
      </c>
      <c r="L6" s="13">
        <f t="array" ref="L6">MATCH(MAX(ABS(L3:L5)),ABS(L3:L5),0)</f>
        <v>1</v>
      </c>
      <c r="M6" s="13">
        <f t="array" ref="M6">MATCH(MAX(ABS(M3:M5)),ABS(M3:M5),0)</f>
        <v>2</v>
      </c>
      <c r="N6" s="13">
        <f t="array" ref="N6">MATCH(MAX(ABS(N3:N5)),ABS(N3:N5),0)</f>
        <v>2</v>
      </c>
      <c r="O6" s="13">
        <f t="array" ref="O6">MATCH(MAX(ABS(O3:O5)),ABS(O3:O5),0)</f>
        <v>2</v>
      </c>
      <c r="P6" s="13">
        <f t="array" ref="P6">MATCH(MAX(ABS(P3:P5)),ABS(P3:P5),0)</f>
        <v>2</v>
      </c>
      <c r="Q6" s="13">
        <f t="array" ref="Q6">MATCH(MAX(ABS(Q3:Q5)),ABS(Q3:Q5),0)</f>
        <v>2</v>
      </c>
      <c r="R6" s="13">
        <f t="array" ref="R6">MATCH(MAX(ABS(R3:R5)),ABS(R3:R5),0)</f>
        <v>2</v>
      </c>
      <c r="S6" s="13">
        <f t="array" ref="S6">MATCH(MAX(ABS(S3:S5)),ABS(S3:S5),0)</f>
        <v>2</v>
      </c>
      <c r="T6" s="13">
        <f t="array" ref="T6">MATCH(MAX(ABS(T3:T5)),ABS(T3:T5),0)</f>
        <v>2</v>
      </c>
      <c r="U6" s="13">
        <f t="array" ref="U6">MATCH(MAX(ABS(U3:U5)),ABS(U3:U5),0)</f>
        <v>2</v>
      </c>
      <c r="V6" s="13">
        <f t="array" ref="V6">MATCH(MAX(ABS(V3:V5)),ABS(V3:V5),0)</f>
        <v>2</v>
      </c>
      <c r="W6" s="13">
        <f t="array" ref="W6">MATCH(MAX(ABS(W3:W5)),ABS(W3:W5),0)</f>
        <v>2</v>
      </c>
      <c r="X6" s="13">
        <f t="array" ref="X6">MATCH(MAX(ABS(X3:X5)),ABS(X3:X5),0)</f>
        <v>2</v>
      </c>
      <c r="Y6" s="13">
        <f t="array" ref="Y6">MATCH(MAX(ABS(Y3:Y5)),ABS(Y3:Y5),0)</f>
        <v>2</v>
      </c>
      <c r="Z6" s="13">
        <f t="array" ref="Z6">MATCH(MAX(ABS(Z3:Z5)),ABS(Z3:Z5),0)</f>
        <v>2</v>
      </c>
      <c r="AA6" s="13">
        <f t="array" ref="AA6">MATCH(MAX(ABS(AA3:AA5)),ABS(AA3:AA5),0)</f>
        <v>1</v>
      </c>
      <c r="AB6" s="13">
        <f t="array" ref="AB6">MATCH(MAX(ABS(AB3:AB5)),ABS(AB3:AB5),0)</f>
        <v>2</v>
      </c>
      <c r="AC6" s="13">
        <f t="array" ref="AC6">MATCH(MAX(ABS(AC3:AC5)),ABS(AC3:AC5),0)</f>
        <v>2</v>
      </c>
      <c r="AD6" s="13">
        <f t="array" ref="AD6">MATCH(MAX(ABS(AD3:AD5)),ABS(AD3:AD5),0)</f>
        <v>1</v>
      </c>
      <c r="AE6" s="13">
        <f t="array" ref="AE6">MATCH(MAX(ABS(AE3:AE5)),ABS(AE3:AE5),0)</f>
        <v>2</v>
      </c>
      <c r="AF6" s="13">
        <f t="array" ref="AF6">MATCH(MAX(ABS(AF3:AF5)),ABS(AF3:AF5),0)</f>
        <v>1</v>
      </c>
      <c r="AG6" s="13">
        <f t="array" ref="AG6">MATCH(MAX(ABS(AG3:AG5)),ABS(AG3:AG5),0)</f>
        <v>2</v>
      </c>
      <c r="AH6" s="13">
        <f t="array" ref="AH6">MATCH(MAX(ABS(AH3:AH5)),ABS(AH3:AH5),0)</f>
        <v>1</v>
      </c>
      <c r="AI6" s="13">
        <f t="array" ref="AI6">MATCH(MAX(ABS(AI3:AI5)),ABS(AI3:AI5),0)</f>
        <v>2</v>
      </c>
      <c r="AJ6" s="13">
        <f t="array" ref="AJ6">MATCH(MAX(ABS(AJ3:AJ5)),ABS(AJ3:AJ5),0)</f>
        <v>2</v>
      </c>
      <c r="AK6" s="13">
        <f t="array" ref="AK6">MATCH(MAX(ABS(AK3:AK5)),ABS(AK3:AK5),0)</f>
        <v>2</v>
      </c>
      <c r="AL6" s="13">
        <f t="array" ref="AL6">MATCH(MAX(ABS(AL3:AL5)),ABS(AL3:AL5),0)</f>
        <v>1</v>
      </c>
      <c r="AM6" s="13">
        <f t="array" ref="AM6">MATCH(MAX(ABS(AM3:AM5)),ABS(AM3:AM5),0)</f>
        <v>1</v>
      </c>
      <c r="AN6" s="13">
        <f t="array" ref="AN6">MATCH(MAX(ABS(AN3:AN5)),ABS(AN3:AN5),0)</f>
        <v>1</v>
      </c>
      <c r="AO6" s="13">
        <f t="array" ref="AO6">MATCH(MAX(ABS(AO3:AO5)),ABS(AO3:AO5),0)</f>
        <v>1</v>
      </c>
      <c r="AP6" s="13">
        <f t="array" ref="AP6">MATCH(MAX(ABS(AP3:AP5)),ABS(AP3:AP5),0)</f>
        <v>2</v>
      </c>
      <c r="AQ6" s="13">
        <f t="array" ref="AQ6">MATCH(MAX(ABS(AQ3:AQ5)),ABS(AQ3:AQ5),0)</f>
        <v>1</v>
      </c>
      <c r="AR6" s="13">
        <f t="array" ref="AR6">MATCH(MAX(ABS(AR3:AR5)),ABS(AR3:AR5),0)</f>
        <v>1</v>
      </c>
      <c r="AS6" s="13">
        <f t="array" ref="AS6">MATCH(MAX(ABS(AS3:AS5)),ABS(AS3:AS5),0)</f>
        <v>1</v>
      </c>
      <c r="AT6" s="13">
        <f t="array" ref="AT6">MATCH(MAX(ABS(AT3:AT5)),ABS(AT3:AT5),0)</f>
        <v>1</v>
      </c>
      <c r="AU6" s="13">
        <f t="array" ref="AU6">MATCH(MAX(ABS(AU3:AU5)),ABS(AU3:AU5),0)</f>
        <v>1</v>
      </c>
      <c r="AV6" s="13">
        <f t="array" ref="AV6">MATCH(MAX(ABS(AV3:AV5)),ABS(AV3:AV5),0)</f>
        <v>1</v>
      </c>
      <c r="AW6" s="13">
        <f t="array" ref="AW6">MATCH(MAX(ABS(AW3:AW5)),ABS(AW3:AW5),0)</f>
        <v>1</v>
      </c>
      <c r="AX6" s="13">
        <f t="array" ref="AX6">MATCH(MAX(ABS(AX3:AX5)),ABS(AX3:AX5),0)</f>
        <v>2</v>
      </c>
      <c r="AY6" s="13">
        <f t="array" ref="AY6">MATCH(MAX(ABS(AY3:AY5)),ABS(AY3:AY5),0)</f>
        <v>1</v>
      </c>
      <c r="AZ6" s="13">
        <f t="array" ref="AZ6">MATCH(MAX(ABS(AZ3:AZ5)),ABS(AZ3:AZ5),0)</f>
        <v>1</v>
      </c>
      <c r="BA6" s="13">
        <f t="array" ref="BA6">MATCH(MAX(ABS(BA3:BA5)),ABS(BA3:BA5),0)</f>
        <v>1</v>
      </c>
      <c r="BB6" s="13">
        <f t="array" ref="BB6">MATCH(MAX(ABS(BB3:BB5)),ABS(BB3:BB5),0)</f>
        <v>1</v>
      </c>
      <c r="BC6" s="13">
        <f t="array" ref="BC6">MATCH(MAX(ABS(BC3:BC5)),ABS(BC3:BC5),0)</f>
        <v>1</v>
      </c>
      <c r="BD6" s="13">
        <f t="array" ref="BD6">MATCH(MAX(ABS(BD3:BD5)),ABS(BD3:BD5),0)</f>
        <v>1</v>
      </c>
      <c r="BE6" s="13">
        <f t="array" ref="BE6">MATCH(MAX(ABS(BE3:BE5)),ABS(BE3:BE5),0)</f>
        <v>1</v>
      </c>
      <c r="BF6" s="13">
        <f t="array" ref="BF6">MATCH(MAX(ABS(BF3:BF5)),ABS(BF3:BF5),0)</f>
        <v>1</v>
      </c>
      <c r="BG6" s="13">
        <f t="array" ref="BG6">MATCH(MAX(ABS(BG3:BG5)),ABS(BG3:BG5),0)</f>
        <v>1</v>
      </c>
      <c r="BH6" s="13">
        <f t="array" ref="BH6">MATCH(MAX(ABS(BH3:BH5)),ABS(BH3:BH5),0)</f>
        <v>1</v>
      </c>
      <c r="BI6" s="13">
        <f t="array" ref="BI6">MATCH(MAX(ABS(BI3:BI5)),ABS(BI3:BI5),0)</f>
        <v>1</v>
      </c>
      <c r="BJ6" s="13">
        <f t="array" ref="BJ6">MATCH(MAX(ABS(BJ3:BJ5)),ABS(BJ3:BJ5),0)</f>
        <v>1</v>
      </c>
      <c r="BK6" s="13">
        <f t="array" ref="BK6">MATCH(MAX(ABS(BK3:BK5)),ABS(BK3:BK5),0)</f>
        <v>1</v>
      </c>
      <c r="BL6" s="13">
        <f t="array" ref="BL6">MATCH(MAX(ABS(BL3:BL5)),ABS(BL3:BL5),0)</f>
        <v>1</v>
      </c>
      <c r="BM6" s="13">
        <f t="array" ref="BM6">MATCH(MAX(ABS(BM3:BM5)),ABS(BM3:BM5),0)</f>
        <v>1</v>
      </c>
      <c r="BN6" s="13">
        <f t="array" ref="BN6">MATCH(MAX(ABS(BN3:BN5)),ABS(BN3:BN5),0)</f>
        <v>1</v>
      </c>
      <c r="BO6" s="13">
        <f t="array" ref="BO6">MATCH(MAX(ABS(BO3:BO5)),ABS(BO3:BO5),0)</f>
        <v>1</v>
      </c>
      <c r="BP6" s="13">
        <f t="array" ref="BP6">MATCH(MAX(ABS(BP3:BP5)),ABS(BP3:BP5),0)</f>
        <v>1</v>
      </c>
      <c r="BQ6" s="13">
        <f t="array" ref="BQ6">MATCH(MAX(ABS(BQ3:BQ5)),ABS(BQ3:BQ5),0)</f>
        <v>1</v>
      </c>
      <c r="BR6" s="13">
        <f t="array" ref="BR6">MATCH(MAX(ABS(BR3:BR5)),ABS(BR3:BR5),0)</f>
        <v>1</v>
      </c>
      <c r="BS6" s="13">
        <f t="array" ref="BS6">MATCH(MAX(ABS(BS3:BS5)),ABS(BS3:BS5),0)</f>
        <v>1</v>
      </c>
      <c r="BT6" s="13">
        <f t="array" ref="BT6">MATCH(MAX(ABS(BT3:BT5)),ABS(BT3:BT5),0)</f>
        <v>1</v>
      </c>
      <c r="BU6" s="13">
        <f t="array" ref="BU6">MATCH(MAX(ABS(BU3:BU5)),ABS(BU3:BU5),0)</f>
        <v>1</v>
      </c>
      <c r="BV6" s="13">
        <f t="array" ref="BV6">MATCH(MAX(ABS(BV3:BV5)),ABS(BV3:BV5),0)</f>
        <v>1</v>
      </c>
      <c r="BW6" s="13">
        <f t="array" ref="BW6">MATCH(MAX(ABS(BW3:BW5)),ABS(BW3:BW5),0)</f>
        <v>1</v>
      </c>
      <c r="BX6" s="13">
        <f t="array" ref="BX6">MATCH(MAX(ABS(BX3:BX5)),ABS(BX3:BX5),0)</f>
        <v>1</v>
      </c>
      <c r="BY6" s="13">
        <f t="array" ref="BY6">MATCH(MAX(ABS(BY3:BY5)),ABS(BY3:BY5),0)</f>
        <v>1</v>
      </c>
      <c r="BZ6" s="13">
        <f t="array" ref="BZ6">MATCH(MAX(ABS(BZ3:BZ5)),ABS(BZ3:BZ5),0)</f>
        <v>1</v>
      </c>
      <c r="CA6" s="13">
        <f t="array" ref="CA6">MATCH(MAX(ABS(CA3:CA5)),ABS(CA3:CA5),0)</f>
        <v>2</v>
      </c>
      <c r="CB6" s="13">
        <f t="array" ref="CB6">MATCH(MAX(ABS(CB3:CB5)),ABS(CB3:CB5),0)</f>
        <v>1</v>
      </c>
      <c r="CC6" s="13">
        <f t="array" ref="CC6">MATCH(MAX(ABS(CC3:CC5)),ABS(CC3:CC5),0)</f>
        <v>1</v>
      </c>
      <c r="CD6" s="13">
        <f t="array" ref="CD6">MATCH(MAX(ABS(CD3:CD5)),ABS(CD3:CD5),0)</f>
        <v>1</v>
      </c>
      <c r="CE6" s="13">
        <f t="array" ref="CE6">MATCH(MAX(ABS(CE3:CE5)),ABS(CE3:CE5),0)</f>
        <v>1</v>
      </c>
      <c r="CF6" s="13">
        <f t="array" ref="CF6">MATCH(MAX(ABS(CF3:CF5)),ABS(CF3:CF5),0)</f>
        <v>1</v>
      </c>
      <c r="CG6" s="13">
        <f t="array" ref="CG6">MATCH(MAX(ABS(CG3:CG5)),ABS(CG3:CG5),0)</f>
        <v>1</v>
      </c>
      <c r="CH6" s="13">
        <f t="array" ref="CH6">MATCH(MAX(ABS(CH3:CH5)),ABS(CH3:CH5),0)</f>
        <v>1</v>
      </c>
      <c r="CI6" s="13">
        <f t="array" ref="CI6">MATCH(MAX(ABS(CI3:CI5)),ABS(CI3:CI5),0)</f>
        <v>1</v>
      </c>
      <c r="CJ6" s="13">
        <f t="array" ref="CJ6">MATCH(MAX(ABS(CJ3:CJ5)),ABS(CJ3:CJ5),0)</f>
        <v>1</v>
      </c>
      <c r="CK6" s="13">
        <f t="array" ref="CK6">MATCH(MAX(ABS(CK3:CK5)),ABS(CK3:CK5),0)</f>
        <v>1</v>
      </c>
      <c r="CL6" s="13">
        <f t="array" ref="CL6">MATCH(MAX(ABS(CL3:CL5)),ABS(CL3:CL5),0)</f>
        <v>1</v>
      </c>
      <c r="CM6" s="13">
        <f t="array" ref="CM6">MATCH(MAX(ABS(CM3:CM5)),ABS(CM3:CM5),0)</f>
        <v>1</v>
      </c>
      <c r="CN6" s="13">
        <f t="array" ref="CN6">MATCH(MAX(ABS(CN3:CN5)),ABS(CN3:CN5),0)</f>
        <v>1</v>
      </c>
      <c r="CO6" s="13">
        <f t="array" ref="CO6">MATCH(MAX(ABS(CO3:CO5)),ABS(CO3:CO5),0)</f>
        <v>1</v>
      </c>
      <c r="CP6" s="13">
        <f t="array" ref="CP6">MATCH(MAX(ABS(CP3:CP5)),ABS(CP3:CP5),0)</f>
        <v>1</v>
      </c>
      <c r="CQ6" s="13">
        <f t="array" ref="CQ6">MATCH(MAX(ABS(CQ3:CQ5)),ABS(CQ3:CQ5),0)</f>
        <v>1</v>
      </c>
      <c r="CR6" s="13">
        <f t="array" ref="CR6">MATCH(MAX(ABS(CR3:CR5)),ABS(CR3:CR5),0)</f>
        <v>1</v>
      </c>
      <c r="CS6" s="13">
        <f t="array" ref="CS6">MATCH(MAX(ABS(CS3:CS5)),ABS(CS3:CS5),0)</f>
        <v>1</v>
      </c>
      <c r="CT6" s="13">
        <f t="array" ref="CT6">MATCH(MAX(ABS(CT3:CT5)),ABS(CT3:CT5),0)</f>
        <v>1</v>
      </c>
      <c r="CU6" s="13">
        <f t="array" ref="CU6">MATCH(MAX(ABS(CU3:CU5)),ABS(CU3:CU5),0)</f>
        <v>1</v>
      </c>
      <c r="CV6" s="13">
        <f t="array" ref="CV6">MATCH(MAX(ABS(CV3:CV5)),ABS(CV3:CV5),0)</f>
        <v>1</v>
      </c>
      <c r="CW6" s="13">
        <f t="array" ref="CW6">MATCH(MAX(ABS(CW3:CW5)),ABS(CW3:CW5),0)</f>
        <v>1</v>
      </c>
      <c r="CX6" s="13">
        <f t="array" ref="CX6">MATCH(MAX(ABS(CX3:CX5)),ABS(CX3:CX5),0)</f>
        <v>1</v>
      </c>
      <c r="CY6" s="13">
        <f t="array" ref="CY6">MATCH(MAX(ABS(CY3:CY5)),ABS(CY3:CY5),0)</f>
        <v>1</v>
      </c>
      <c r="CZ6" s="13">
        <f t="array" ref="CZ6">MATCH(MAX(ABS(CZ3:CZ5)),ABS(CZ3:CZ5),0)</f>
        <v>1</v>
      </c>
      <c r="DA6" s="13">
        <f t="array" ref="DA6">MATCH(MAX(ABS(DA3:DA5)),ABS(DA3:DA5),0)</f>
        <v>1</v>
      </c>
      <c r="DB6" s="13">
        <f t="array" ref="DB6">MATCH(MAX(ABS(DB3:DB5)),ABS(DB3:DB5),0)</f>
        <v>1</v>
      </c>
      <c r="DC6" s="13">
        <f t="array" ref="DC6">MATCH(MAX(ABS(DC3:DC5)),ABS(DC3:DC5),0)</f>
        <v>1</v>
      </c>
      <c r="DD6" s="13">
        <f t="array" ref="DD6">MATCH(MAX(ABS(DD3:DD5)),ABS(DD3:DD5),0)</f>
        <v>1</v>
      </c>
      <c r="DE6" s="13">
        <f t="array" ref="DE6">MATCH(MAX(ABS(DE3:DE5)),ABS(DE3:DE5),0)</f>
        <v>1</v>
      </c>
      <c r="DF6" s="13">
        <f t="array" ref="DF6">MATCH(MAX(ABS(DF3:DF5)),ABS(DF3:DF5),0)</f>
        <v>1</v>
      </c>
      <c r="DG6" s="13">
        <f t="array" ref="DG6">MATCH(MAX(ABS(DG3:DG5)),ABS(DG3:DG5),0)</f>
        <v>1</v>
      </c>
      <c r="DH6" s="13">
        <f t="array" ref="DH6">MATCH(MAX(ABS(DH3:DH5)),ABS(DH3:DH5),0)</f>
        <v>1</v>
      </c>
      <c r="DI6" s="13">
        <f t="array" ref="DI6">MATCH(MAX(ABS(DI3:DI5)),ABS(DI3:DI5),0)</f>
        <v>1</v>
      </c>
      <c r="DJ6" s="13">
        <f t="array" ref="DJ6">MATCH(MAX(ABS(DJ3:DJ5)),ABS(DJ3:DJ5),0)</f>
        <v>1</v>
      </c>
      <c r="DK6" s="13">
        <f t="array" ref="DK6">MATCH(MAX(ABS(DK3:DK5)),ABS(DK3:DK5),0)</f>
        <v>1</v>
      </c>
      <c r="DL6" s="13">
        <f t="array" ref="DL6">MATCH(MAX(ABS(DL3:DL5)),ABS(DL3:DL5),0)</f>
        <v>1</v>
      </c>
      <c r="DM6" s="13">
        <f t="array" ref="DM6">MATCH(MAX(ABS(DM3:DM5)),ABS(DM3:DM5),0)</f>
        <v>1</v>
      </c>
      <c r="DN6" s="13">
        <f t="array" ref="DN6">MATCH(MAX(ABS(DN3:DN5)),ABS(DN3:DN5),0)</f>
        <v>1</v>
      </c>
      <c r="DO6" s="13">
        <f t="array" ref="DO6">MATCH(MAX(ABS(DO3:DO5)),ABS(DO3:DO5),0)</f>
        <v>1</v>
      </c>
      <c r="DP6" s="13">
        <f t="array" ref="DP6">MATCH(MAX(ABS(DP3:DP5)),ABS(DP3:DP5),0)</f>
        <v>1</v>
      </c>
      <c r="DQ6" s="13">
        <f t="array" ref="DQ6">MATCH(MAX(ABS(DQ3:DQ5)),ABS(DQ3:DQ5),0)</f>
        <v>1</v>
      </c>
      <c r="DR6" s="13">
        <f t="array" ref="DR6">MATCH(MAX(ABS(DR3:DR5)),ABS(DR3:DR5),0)</f>
        <v>1</v>
      </c>
      <c r="DS6" s="13">
        <f t="array" ref="DS6">MATCH(MAX(ABS(DS3:DS5)),ABS(DS3:DS5),0)</f>
        <v>1</v>
      </c>
      <c r="DT6" s="13">
        <f t="array" ref="DT6">MATCH(MAX(ABS(DT3:DT5)),ABS(DT3:DT5),0)</f>
        <v>1</v>
      </c>
      <c r="DU6" s="13">
        <f t="array" ref="DU6">MATCH(MAX(ABS(DU3:DU5)),ABS(DU3:DU5),0)</f>
        <v>1</v>
      </c>
      <c r="DV6" s="13">
        <f t="array" ref="DV6">MATCH(MAX(ABS(DV3:DV5)),ABS(DV3:DV5),0)</f>
        <v>1</v>
      </c>
      <c r="DW6" s="13">
        <f t="array" ref="DW6">MATCH(MAX(ABS(DW3:DW5)),ABS(DW3:DW5),0)</f>
        <v>1</v>
      </c>
      <c r="DX6" s="13">
        <f t="array" ref="DX6">MATCH(MAX(ABS(DX3:DX5)),ABS(DX3:DX5),0)</f>
        <v>1</v>
      </c>
      <c r="DY6" s="13">
        <f t="array" ref="DY6">MATCH(MAX(ABS(DY3:DY5)),ABS(DY3:DY5),0)</f>
        <v>1</v>
      </c>
      <c r="DZ6" s="13">
        <f t="array" ref="DZ6">MATCH(MAX(ABS(DZ3:DZ5)),ABS(DZ3:DZ5),0)</f>
        <v>1</v>
      </c>
      <c r="EA6" s="13">
        <f t="array" ref="EA6">MATCH(MAX(ABS(EA3:EA5)),ABS(EA3:EA5),0)</f>
        <v>1</v>
      </c>
      <c r="EB6" s="13">
        <f t="array" ref="EB6">MATCH(MAX(ABS(EB3:EB5)),ABS(EB3:EB5),0)</f>
        <v>1</v>
      </c>
      <c r="EC6" s="13">
        <f t="array" ref="EC6">MATCH(MAX(ABS(EC3:EC5)),ABS(EC3:EC5),0)</f>
        <v>1</v>
      </c>
      <c r="ED6" s="13">
        <f t="array" ref="ED6">MATCH(MAX(ABS(ED3:ED5)),ABS(ED3:ED5),0)</f>
        <v>1</v>
      </c>
      <c r="EE6" s="13">
        <f t="array" ref="EE6">MATCH(MAX(ABS(EE3:EE5)),ABS(EE3:EE5),0)</f>
        <v>1</v>
      </c>
      <c r="EF6" s="13">
        <f t="array" ref="EF6">MATCH(MAX(ABS(EF3:EF5)),ABS(EF3:EF5),0)</f>
        <v>1</v>
      </c>
    </row>
    <row r="7" spans="1:136">
      <c r="C7" s="14" t="str">
        <f t="shared" ref="C7:AH7" si="0">IF(C6=1,"bm",IF(C6=2,"size",IF(C6=3,"mom")))</f>
        <v>bm</v>
      </c>
      <c r="D7" s="14" t="str">
        <f t="shared" si="0"/>
        <v>size</v>
      </c>
      <c r="E7" s="14" t="str">
        <f t="shared" si="0"/>
        <v>bm</v>
      </c>
      <c r="F7" s="14" t="str">
        <f t="shared" si="0"/>
        <v>size</v>
      </c>
      <c r="G7" s="14" t="str">
        <f t="shared" si="0"/>
        <v>bm</v>
      </c>
      <c r="H7" s="14" t="str">
        <f t="shared" si="0"/>
        <v>size</v>
      </c>
      <c r="I7" s="14" t="str">
        <f t="shared" si="0"/>
        <v>size</v>
      </c>
      <c r="J7" s="14" t="str">
        <f t="shared" si="0"/>
        <v>size</v>
      </c>
      <c r="K7" s="14" t="str">
        <f t="shared" si="0"/>
        <v>bm</v>
      </c>
      <c r="L7" s="14" t="str">
        <f t="shared" si="0"/>
        <v>bm</v>
      </c>
      <c r="M7" s="14" t="str">
        <f t="shared" si="0"/>
        <v>size</v>
      </c>
      <c r="N7" s="14" t="str">
        <f t="shared" si="0"/>
        <v>size</v>
      </c>
      <c r="O7" s="14" t="str">
        <f t="shared" si="0"/>
        <v>size</v>
      </c>
      <c r="P7" s="14" t="str">
        <f t="shared" si="0"/>
        <v>size</v>
      </c>
      <c r="Q7" s="14" t="str">
        <f t="shared" si="0"/>
        <v>size</v>
      </c>
      <c r="R7" s="14" t="str">
        <f t="shared" si="0"/>
        <v>size</v>
      </c>
      <c r="S7" s="14" t="str">
        <f t="shared" si="0"/>
        <v>size</v>
      </c>
      <c r="T7" s="14" t="str">
        <f t="shared" si="0"/>
        <v>size</v>
      </c>
      <c r="U7" s="14" t="str">
        <f t="shared" si="0"/>
        <v>size</v>
      </c>
      <c r="V7" s="14" t="str">
        <f t="shared" si="0"/>
        <v>size</v>
      </c>
      <c r="W7" s="14" t="str">
        <f t="shared" si="0"/>
        <v>size</v>
      </c>
      <c r="X7" s="14" t="str">
        <f t="shared" si="0"/>
        <v>size</v>
      </c>
      <c r="Y7" s="14" t="str">
        <f t="shared" si="0"/>
        <v>size</v>
      </c>
      <c r="Z7" s="14" t="str">
        <f t="shared" si="0"/>
        <v>size</v>
      </c>
      <c r="AA7" s="14" t="str">
        <f t="shared" si="0"/>
        <v>bm</v>
      </c>
      <c r="AB7" s="14" t="str">
        <f t="shared" si="0"/>
        <v>size</v>
      </c>
      <c r="AC7" s="14" t="str">
        <f t="shared" si="0"/>
        <v>size</v>
      </c>
      <c r="AD7" s="14" t="str">
        <f t="shared" si="0"/>
        <v>bm</v>
      </c>
      <c r="AE7" s="14" t="str">
        <f t="shared" si="0"/>
        <v>size</v>
      </c>
      <c r="AF7" s="14" t="str">
        <f t="shared" si="0"/>
        <v>bm</v>
      </c>
      <c r="AG7" s="14" t="str">
        <f t="shared" si="0"/>
        <v>size</v>
      </c>
      <c r="AH7" s="14" t="str">
        <f t="shared" si="0"/>
        <v>bm</v>
      </c>
      <c r="AI7" s="14" t="str">
        <f t="shared" ref="AI7:BN7" si="1">IF(AI6=1,"bm",IF(AI6=2,"size",IF(AI6=3,"mom")))</f>
        <v>size</v>
      </c>
      <c r="AJ7" s="14" t="str">
        <f t="shared" si="1"/>
        <v>size</v>
      </c>
      <c r="AK7" s="14" t="str">
        <f t="shared" si="1"/>
        <v>size</v>
      </c>
      <c r="AL7" s="14" t="str">
        <f t="shared" si="1"/>
        <v>bm</v>
      </c>
      <c r="AM7" s="14" t="str">
        <f t="shared" si="1"/>
        <v>bm</v>
      </c>
      <c r="AN7" s="14" t="str">
        <f t="shared" si="1"/>
        <v>bm</v>
      </c>
      <c r="AO7" s="14" t="str">
        <f t="shared" si="1"/>
        <v>bm</v>
      </c>
      <c r="AP7" s="14" t="str">
        <f t="shared" si="1"/>
        <v>size</v>
      </c>
      <c r="AQ7" s="14" t="str">
        <f t="shared" si="1"/>
        <v>bm</v>
      </c>
      <c r="AR7" s="14" t="str">
        <f t="shared" si="1"/>
        <v>bm</v>
      </c>
      <c r="AS7" s="14" t="str">
        <f t="shared" si="1"/>
        <v>bm</v>
      </c>
      <c r="AT7" s="14" t="str">
        <f t="shared" si="1"/>
        <v>bm</v>
      </c>
      <c r="AU7" s="14" t="str">
        <f t="shared" si="1"/>
        <v>bm</v>
      </c>
      <c r="AV7" s="14" t="str">
        <f t="shared" si="1"/>
        <v>bm</v>
      </c>
      <c r="AW7" s="14" t="str">
        <f t="shared" si="1"/>
        <v>bm</v>
      </c>
      <c r="AX7" s="14" t="str">
        <f t="shared" si="1"/>
        <v>size</v>
      </c>
      <c r="AY7" s="14" t="str">
        <f t="shared" si="1"/>
        <v>bm</v>
      </c>
      <c r="AZ7" s="14" t="str">
        <f t="shared" si="1"/>
        <v>bm</v>
      </c>
      <c r="BA7" s="14" t="str">
        <f t="shared" si="1"/>
        <v>bm</v>
      </c>
      <c r="BB7" s="14" t="str">
        <f t="shared" si="1"/>
        <v>bm</v>
      </c>
      <c r="BC7" s="14" t="str">
        <f t="shared" si="1"/>
        <v>bm</v>
      </c>
      <c r="BD7" s="14" t="str">
        <f t="shared" si="1"/>
        <v>bm</v>
      </c>
      <c r="BE7" s="14" t="str">
        <f t="shared" si="1"/>
        <v>bm</v>
      </c>
      <c r="BF7" s="14" t="str">
        <f t="shared" si="1"/>
        <v>bm</v>
      </c>
      <c r="BG7" s="14" t="str">
        <f t="shared" si="1"/>
        <v>bm</v>
      </c>
      <c r="BH7" s="14" t="str">
        <f t="shared" si="1"/>
        <v>bm</v>
      </c>
      <c r="BI7" s="14" t="str">
        <f t="shared" si="1"/>
        <v>bm</v>
      </c>
      <c r="BJ7" s="14" t="str">
        <f t="shared" si="1"/>
        <v>bm</v>
      </c>
      <c r="BK7" s="14" t="str">
        <f t="shared" si="1"/>
        <v>bm</v>
      </c>
      <c r="BL7" s="14" t="str">
        <f t="shared" si="1"/>
        <v>bm</v>
      </c>
      <c r="BM7" s="14" t="str">
        <f t="shared" si="1"/>
        <v>bm</v>
      </c>
      <c r="BN7" s="14" t="str">
        <f t="shared" si="1"/>
        <v>bm</v>
      </c>
      <c r="BO7" s="14" t="str">
        <f t="shared" ref="BO7:CT7" si="2">IF(BO6=1,"bm",IF(BO6=2,"size",IF(BO6=3,"mom")))</f>
        <v>bm</v>
      </c>
      <c r="BP7" s="14" t="str">
        <f t="shared" si="2"/>
        <v>bm</v>
      </c>
      <c r="BQ7" s="14" t="str">
        <f t="shared" si="2"/>
        <v>bm</v>
      </c>
      <c r="BR7" s="14" t="str">
        <f t="shared" si="2"/>
        <v>bm</v>
      </c>
      <c r="BS7" s="14" t="str">
        <f t="shared" si="2"/>
        <v>bm</v>
      </c>
      <c r="BT7" s="14" t="str">
        <f t="shared" si="2"/>
        <v>bm</v>
      </c>
      <c r="BU7" s="14" t="str">
        <f t="shared" si="2"/>
        <v>bm</v>
      </c>
      <c r="BV7" s="14" t="str">
        <f t="shared" si="2"/>
        <v>bm</v>
      </c>
      <c r="BW7" s="14" t="str">
        <f t="shared" si="2"/>
        <v>bm</v>
      </c>
      <c r="BX7" s="14" t="str">
        <f t="shared" si="2"/>
        <v>bm</v>
      </c>
      <c r="BY7" s="14" t="str">
        <f t="shared" si="2"/>
        <v>bm</v>
      </c>
      <c r="BZ7" s="14" t="str">
        <f t="shared" si="2"/>
        <v>bm</v>
      </c>
      <c r="CA7" s="14" t="str">
        <f t="shared" si="2"/>
        <v>size</v>
      </c>
      <c r="CB7" s="14" t="str">
        <f t="shared" si="2"/>
        <v>bm</v>
      </c>
      <c r="CC7" s="14" t="str">
        <f t="shared" si="2"/>
        <v>bm</v>
      </c>
      <c r="CD7" s="14" t="str">
        <f t="shared" si="2"/>
        <v>bm</v>
      </c>
      <c r="CE7" s="14" t="str">
        <f t="shared" si="2"/>
        <v>bm</v>
      </c>
      <c r="CF7" s="14" t="str">
        <f t="shared" si="2"/>
        <v>bm</v>
      </c>
      <c r="CG7" s="14" t="str">
        <f t="shared" si="2"/>
        <v>bm</v>
      </c>
      <c r="CH7" s="14" t="str">
        <f t="shared" si="2"/>
        <v>bm</v>
      </c>
      <c r="CI7" s="14" t="str">
        <f t="shared" si="2"/>
        <v>bm</v>
      </c>
      <c r="CJ7" s="14" t="str">
        <f t="shared" si="2"/>
        <v>bm</v>
      </c>
      <c r="CK7" s="14" t="str">
        <f t="shared" si="2"/>
        <v>bm</v>
      </c>
      <c r="CL7" s="14" t="str">
        <f t="shared" si="2"/>
        <v>bm</v>
      </c>
      <c r="CM7" s="14" t="str">
        <f t="shared" si="2"/>
        <v>bm</v>
      </c>
      <c r="CN7" s="14" t="str">
        <f t="shared" si="2"/>
        <v>bm</v>
      </c>
      <c r="CO7" s="14" t="str">
        <f t="shared" si="2"/>
        <v>bm</v>
      </c>
      <c r="CP7" s="14" t="str">
        <f t="shared" si="2"/>
        <v>bm</v>
      </c>
      <c r="CQ7" s="14" t="str">
        <f t="shared" si="2"/>
        <v>bm</v>
      </c>
      <c r="CR7" s="14" t="str">
        <f t="shared" si="2"/>
        <v>bm</v>
      </c>
      <c r="CS7" s="14" t="str">
        <f t="shared" si="2"/>
        <v>bm</v>
      </c>
      <c r="CT7" s="14" t="str">
        <f t="shared" si="2"/>
        <v>bm</v>
      </c>
      <c r="CU7" s="14" t="str">
        <f t="shared" ref="CU7:DZ7" si="3">IF(CU6=1,"bm",IF(CU6=2,"size",IF(CU6=3,"mom")))</f>
        <v>bm</v>
      </c>
      <c r="CV7" s="14" t="str">
        <f t="shared" si="3"/>
        <v>bm</v>
      </c>
      <c r="CW7" s="14" t="str">
        <f t="shared" si="3"/>
        <v>bm</v>
      </c>
      <c r="CX7" s="14" t="str">
        <f t="shared" si="3"/>
        <v>bm</v>
      </c>
      <c r="CY7" s="14" t="str">
        <f t="shared" si="3"/>
        <v>bm</v>
      </c>
      <c r="CZ7" s="14" t="str">
        <f t="shared" si="3"/>
        <v>bm</v>
      </c>
      <c r="DA7" s="14" t="str">
        <f t="shared" si="3"/>
        <v>bm</v>
      </c>
      <c r="DB7" s="14" t="str">
        <f t="shared" si="3"/>
        <v>bm</v>
      </c>
      <c r="DC7" s="14" t="str">
        <f t="shared" si="3"/>
        <v>bm</v>
      </c>
      <c r="DD7" s="14" t="str">
        <f t="shared" si="3"/>
        <v>bm</v>
      </c>
      <c r="DE7" s="14" t="str">
        <f t="shared" si="3"/>
        <v>bm</v>
      </c>
      <c r="DF7" s="14" t="str">
        <f t="shared" si="3"/>
        <v>bm</v>
      </c>
      <c r="DG7" s="14" t="str">
        <f t="shared" si="3"/>
        <v>bm</v>
      </c>
      <c r="DH7" s="14" t="str">
        <f t="shared" si="3"/>
        <v>bm</v>
      </c>
      <c r="DI7" s="14" t="str">
        <f t="shared" si="3"/>
        <v>bm</v>
      </c>
      <c r="DJ7" s="14" t="str">
        <f t="shared" si="3"/>
        <v>bm</v>
      </c>
      <c r="DK7" s="14" t="str">
        <f t="shared" si="3"/>
        <v>bm</v>
      </c>
      <c r="DL7" s="14" t="str">
        <f t="shared" si="3"/>
        <v>bm</v>
      </c>
      <c r="DM7" s="14" t="str">
        <f t="shared" si="3"/>
        <v>bm</v>
      </c>
      <c r="DN7" s="14" t="str">
        <f t="shared" si="3"/>
        <v>bm</v>
      </c>
      <c r="DO7" s="14" t="str">
        <f t="shared" si="3"/>
        <v>bm</v>
      </c>
      <c r="DP7" s="14" t="str">
        <f t="shared" si="3"/>
        <v>bm</v>
      </c>
      <c r="DQ7" s="14" t="str">
        <f t="shared" si="3"/>
        <v>bm</v>
      </c>
      <c r="DR7" s="14" t="str">
        <f t="shared" si="3"/>
        <v>bm</v>
      </c>
      <c r="DS7" s="14" t="str">
        <f t="shared" si="3"/>
        <v>bm</v>
      </c>
      <c r="DT7" s="14" t="str">
        <f t="shared" si="3"/>
        <v>bm</v>
      </c>
      <c r="DU7" s="14" t="str">
        <f t="shared" si="3"/>
        <v>bm</v>
      </c>
      <c r="DV7" s="14" t="str">
        <f t="shared" si="3"/>
        <v>bm</v>
      </c>
      <c r="DW7" s="14" t="str">
        <f t="shared" si="3"/>
        <v>bm</v>
      </c>
      <c r="DX7" s="14" t="str">
        <f t="shared" si="3"/>
        <v>bm</v>
      </c>
      <c r="DY7" s="14" t="str">
        <f t="shared" si="3"/>
        <v>bm</v>
      </c>
      <c r="DZ7" s="14" t="str">
        <f t="shared" si="3"/>
        <v>bm</v>
      </c>
      <c r="EA7" s="14" t="str">
        <f t="shared" ref="EA7:EF7" si="4">IF(EA6=1,"bm",IF(EA6=2,"size",IF(EA6=3,"mom")))</f>
        <v>bm</v>
      </c>
      <c r="EB7" s="14" t="str">
        <f t="shared" si="4"/>
        <v>bm</v>
      </c>
      <c r="EC7" s="14" t="str">
        <f t="shared" si="4"/>
        <v>bm</v>
      </c>
      <c r="ED7" s="14" t="str">
        <f t="shared" si="4"/>
        <v>bm</v>
      </c>
      <c r="EE7" s="14" t="str">
        <f t="shared" si="4"/>
        <v>bm</v>
      </c>
      <c r="EF7" s="14" t="str">
        <f t="shared" si="4"/>
        <v>bm</v>
      </c>
    </row>
    <row r="8" spans="1:136">
      <c r="C8" s="13">
        <f t="shared" ref="C8:AH8" si="5">IF(C6=1,C3,IF(C6=2,C4,IF(C6=3,C5)))</f>
        <v>3.1330205500125892E-2</v>
      </c>
      <c r="D8" s="13">
        <f t="shared" si="5"/>
        <v>-3.2528996467590332E-2</v>
      </c>
      <c r="E8" s="13">
        <f t="shared" si="5"/>
        <v>2.9643896967172619E-2</v>
      </c>
      <c r="F8" s="13">
        <f t="shared" si="5"/>
        <v>-3.0678801238536831E-2</v>
      </c>
      <c r="G8" s="13">
        <f t="shared" si="5"/>
        <v>4.1800491511821747E-2</v>
      </c>
      <c r="H8" s="13">
        <f t="shared" si="5"/>
        <v>-2.7283268049359322E-2</v>
      </c>
      <c r="I8" s="13">
        <f t="shared" si="5"/>
        <v>-3.6774773150682449E-2</v>
      </c>
      <c r="J8" s="13">
        <f t="shared" si="5"/>
        <v>-3.694760799407959E-2</v>
      </c>
      <c r="K8" s="13">
        <f t="shared" si="5"/>
        <v>3.5791270434856408E-2</v>
      </c>
      <c r="L8" s="13">
        <f t="shared" si="5"/>
        <v>6.6725820302963257E-2</v>
      </c>
      <c r="M8" s="13">
        <f t="shared" si="5"/>
        <v>-3.6390375345945358E-2</v>
      </c>
      <c r="N8" s="13">
        <f t="shared" si="5"/>
        <v>-2.7910143136978149E-2</v>
      </c>
      <c r="O8" s="13">
        <f t="shared" si="5"/>
        <v>-3.4657396376132972E-2</v>
      </c>
      <c r="P8" s="13">
        <f t="shared" si="5"/>
        <v>-3.7157066166400909E-2</v>
      </c>
      <c r="Q8" s="13">
        <f t="shared" si="5"/>
        <v>-3.2246530055999763E-2</v>
      </c>
      <c r="R8" s="13">
        <f t="shared" si="5"/>
        <v>-3.2251663506031043E-2</v>
      </c>
      <c r="S8" s="13">
        <f t="shared" si="5"/>
        <v>-2.9913196340203289E-2</v>
      </c>
      <c r="T8" s="13">
        <f t="shared" si="5"/>
        <v>-2.9206940904259682E-2</v>
      </c>
      <c r="U8" s="13">
        <f t="shared" si="5"/>
        <v>-2.8744202107191089E-2</v>
      </c>
      <c r="V8" s="13">
        <f t="shared" si="5"/>
        <v>-2.8017682954668999E-2</v>
      </c>
      <c r="W8" s="13">
        <f t="shared" si="5"/>
        <v>-2.7434077113866809E-2</v>
      </c>
      <c r="X8" s="13">
        <f t="shared" si="5"/>
        <v>-2.876461856067181E-2</v>
      </c>
      <c r="Y8" s="13">
        <f t="shared" si="5"/>
        <v>-3.1099813058972359E-2</v>
      </c>
      <c r="Z8" s="13">
        <f t="shared" si="5"/>
        <v>-3.0133392661809921E-2</v>
      </c>
      <c r="AA8" s="13">
        <f t="shared" si="5"/>
        <v>7.4403420090675354E-2</v>
      </c>
      <c r="AB8" s="13">
        <f t="shared" si="5"/>
        <v>-2.964571118354797E-2</v>
      </c>
      <c r="AC8" s="13">
        <f t="shared" si="5"/>
        <v>-2.9567878693342209E-2</v>
      </c>
      <c r="AD8" s="13">
        <f t="shared" si="5"/>
        <v>-3.129136934876442E-2</v>
      </c>
      <c r="AE8" s="13">
        <f t="shared" si="5"/>
        <v>-2.8935028240084652E-2</v>
      </c>
      <c r="AF8" s="13">
        <f t="shared" si="5"/>
        <v>-3.5181421786546707E-2</v>
      </c>
      <c r="AG8" s="13">
        <f t="shared" si="5"/>
        <v>-2.828941494226456E-2</v>
      </c>
      <c r="AH8" s="13">
        <f t="shared" si="5"/>
        <v>-2.2227592766284939E-2</v>
      </c>
      <c r="AI8" s="13">
        <f t="shared" ref="AI8:BN8" si="6">IF(AI6=1,AI3,IF(AI6=2,AI4,IF(AI6=3,AI5)))</f>
        <v>-4.0709320455789573E-2</v>
      </c>
      <c r="AJ8" s="13">
        <f t="shared" si="6"/>
        <v>-3.4136712551116943E-2</v>
      </c>
      <c r="AK8" s="13">
        <f t="shared" si="6"/>
        <v>-2.7761854231357571E-2</v>
      </c>
      <c r="AL8" s="13">
        <f t="shared" si="6"/>
        <v>6.0541510581970208E-2</v>
      </c>
      <c r="AM8" s="13">
        <f t="shared" si="6"/>
        <v>4.2939703911542892E-2</v>
      </c>
      <c r="AN8" s="13">
        <f t="shared" si="6"/>
        <v>4.6451166272163391E-2</v>
      </c>
      <c r="AO8" s="13">
        <f t="shared" si="6"/>
        <v>4.6414647251367569E-2</v>
      </c>
      <c r="AP8" s="13">
        <f t="shared" si="6"/>
        <v>-3.5248521715402603E-2</v>
      </c>
      <c r="AQ8" s="13">
        <f t="shared" si="6"/>
        <v>4.9711406230926507E-2</v>
      </c>
      <c r="AR8" s="13">
        <f t="shared" si="6"/>
        <v>4.072609543800354E-2</v>
      </c>
      <c r="AS8" s="13">
        <f t="shared" si="6"/>
        <v>3.7940710783004761E-2</v>
      </c>
      <c r="AT8" s="13">
        <f t="shared" si="6"/>
        <v>4.3215282261371613E-2</v>
      </c>
      <c r="AU8" s="13">
        <f t="shared" si="6"/>
        <v>3.5848293453454971E-2</v>
      </c>
      <c r="AV8" s="13">
        <f t="shared" si="6"/>
        <v>4.8106551170349121E-2</v>
      </c>
      <c r="AW8" s="13">
        <f t="shared" si="6"/>
        <v>0.25755825638771063</v>
      </c>
      <c r="AX8" s="13">
        <f t="shared" si="6"/>
        <v>-2.6401566341519359E-2</v>
      </c>
      <c r="AY8" s="13">
        <f t="shared" si="6"/>
        <v>5.6368216872215271E-2</v>
      </c>
      <c r="AZ8" s="13">
        <f t="shared" si="6"/>
        <v>4.440823569893837E-2</v>
      </c>
      <c r="BA8" s="13">
        <f t="shared" si="6"/>
        <v>4.0217362344264977E-2</v>
      </c>
      <c r="BB8" s="13">
        <f t="shared" si="6"/>
        <v>3.9215490221977227E-2</v>
      </c>
      <c r="BC8" s="13">
        <f t="shared" si="6"/>
        <v>5.1480397582054138E-2</v>
      </c>
      <c r="BD8" s="13">
        <f t="shared" si="6"/>
        <v>4.9942176789045327E-2</v>
      </c>
      <c r="BE8" s="13">
        <f t="shared" si="6"/>
        <v>4.9302525818347931E-2</v>
      </c>
      <c r="BF8" s="13">
        <f t="shared" si="6"/>
        <v>5.0215017050504678E-2</v>
      </c>
      <c r="BG8" s="13">
        <f t="shared" si="6"/>
        <v>4.4806387275457382E-2</v>
      </c>
      <c r="BH8" s="13">
        <f t="shared" si="6"/>
        <v>7.2218522429466248E-2</v>
      </c>
      <c r="BI8" s="13">
        <f t="shared" si="6"/>
        <v>5.3198006004095078E-2</v>
      </c>
      <c r="BJ8" s="13">
        <f t="shared" si="6"/>
        <v>5.0947383046150208E-2</v>
      </c>
      <c r="BK8" s="13">
        <f t="shared" si="6"/>
        <v>4.6847827732563019E-2</v>
      </c>
      <c r="BL8" s="13">
        <f t="shared" si="6"/>
        <v>5.1777664572000497E-2</v>
      </c>
      <c r="BM8" s="13">
        <f t="shared" si="6"/>
        <v>4.5751150697469711E-2</v>
      </c>
      <c r="BN8" s="13">
        <f t="shared" si="6"/>
        <v>5.1456984132528312E-2</v>
      </c>
      <c r="BO8" s="13">
        <f t="shared" ref="BO8:CT8" si="7">IF(BO6=1,BO3,IF(BO6=2,BO4,IF(BO6=3,BO5)))</f>
        <v>5.444614589214325E-2</v>
      </c>
      <c r="BP8" s="13">
        <f t="shared" si="7"/>
        <v>5.1880281418561942E-2</v>
      </c>
      <c r="BQ8" s="13">
        <f t="shared" si="7"/>
        <v>4.9081109464168549E-2</v>
      </c>
      <c r="BR8" s="13">
        <f t="shared" si="7"/>
        <v>3.0115354806184769E-2</v>
      </c>
      <c r="BS8" s="13">
        <f t="shared" si="7"/>
        <v>4.8800110816955573E-2</v>
      </c>
      <c r="BT8" s="13">
        <f t="shared" si="7"/>
        <v>4.8635218292474747E-2</v>
      </c>
      <c r="BU8" s="13">
        <f t="shared" si="7"/>
        <v>4.5633736997842789E-2</v>
      </c>
      <c r="BV8" s="13">
        <f t="shared" si="7"/>
        <v>4.947228729724884E-2</v>
      </c>
      <c r="BW8" s="13">
        <f t="shared" si="7"/>
        <v>4.4601880013942719E-2</v>
      </c>
      <c r="BX8" s="13">
        <f t="shared" si="7"/>
        <v>4.56710085272789E-2</v>
      </c>
      <c r="BY8" s="13">
        <f t="shared" si="7"/>
        <v>3.6897704005241387E-2</v>
      </c>
      <c r="BZ8" s="13">
        <f t="shared" si="7"/>
        <v>0.21394279599189761</v>
      </c>
      <c r="CA8" s="13">
        <f t="shared" si="7"/>
        <v>-3.2349672168493271E-2</v>
      </c>
      <c r="CB8" s="13">
        <f t="shared" si="7"/>
        <v>4.6074997633695602E-2</v>
      </c>
      <c r="CC8" s="13">
        <f t="shared" si="7"/>
        <v>7.2226598858833313E-2</v>
      </c>
      <c r="CD8" s="13">
        <f t="shared" si="7"/>
        <v>3.4700907766819E-2</v>
      </c>
      <c r="CE8" s="13">
        <f t="shared" si="7"/>
        <v>3.6362294107675552E-2</v>
      </c>
      <c r="CF8" s="13">
        <f t="shared" si="7"/>
        <v>4.7756139189004898E-2</v>
      </c>
      <c r="CG8" s="13">
        <f t="shared" si="7"/>
        <v>3.6376580595970147E-2</v>
      </c>
      <c r="CH8" s="13">
        <f t="shared" si="7"/>
        <v>4.3285507708787918E-2</v>
      </c>
      <c r="CI8" s="13">
        <f t="shared" si="7"/>
        <v>4.2804375290870673E-2</v>
      </c>
      <c r="CJ8" s="13">
        <f t="shared" si="7"/>
        <v>4.3789677321910858E-2</v>
      </c>
      <c r="CK8" s="13">
        <f t="shared" si="7"/>
        <v>4.193609207868576E-2</v>
      </c>
      <c r="CL8" s="13">
        <f t="shared" si="7"/>
        <v>4.5073911547660828E-2</v>
      </c>
      <c r="CM8" s="13">
        <f t="shared" si="7"/>
        <v>5.7426575571298599E-2</v>
      </c>
      <c r="CN8" s="13">
        <f t="shared" si="7"/>
        <v>4.8870686441659927E-2</v>
      </c>
      <c r="CO8" s="13">
        <f t="shared" si="7"/>
        <v>4.6467091888189323E-2</v>
      </c>
      <c r="CP8" s="13">
        <f t="shared" si="7"/>
        <v>4.5427285134792328E-2</v>
      </c>
      <c r="CQ8" s="13">
        <f t="shared" si="7"/>
        <v>4.3254118412733078E-2</v>
      </c>
      <c r="CR8" s="13">
        <f t="shared" si="7"/>
        <v>4.2831581085920327E-2</v>
      </c>
      <c r="CS8" s="13">
        <f t="shared" si="7"/>
        <v>4.1360333561897278E-2</v>
      </c>
      <c r="CT8" s="13">
        <f t="shared" si="7"/>
        <v>2.374728582799435E-2</v>
      </c>
      <c r="CU8" s="13">
        <f t="shared" ref="CU8:DZ8" si="8">IF(CU6=1,CU3,IF(CU6=2,CU4,IF(CU6=3,CU5)))</f>
        <v>3.9278171956539147E-2</v>
      </c>
      <c r="CV8" s="13">
        <f t="shared" si="8"/>
        <v>4.09957654774189E-2</v>
      </c>
      <c r="CW8" s="13">
        <f t="shared" si="8"/>
        <v>3.6699786782264709E-2</v>
      </c>
      <c r="CX8" s="13">
        <f t="shared" si="8"/>
        <v>3.8764949887990952E-2</v>
      </c>
      <c r="CY8" s="13">
        <f t="shared" si="8"/>
        <v>3.7805531173944473E-2</v>
      </c>
      <c r="CZ8" s="13">
        <f t="shared" si="8"/>
        <v>4.325726255774498E-2</v>
      </c>
      <c r="DA8" s="13">
        <f t="shared" si="8"/>
        <v>4.4850636273622513E-2</v>
      </c>
      <c r="DB8" s="13">
        <f t="shared" si="8"/>
        <v>4.3851811438798897E-2</v>
      </c>
      <c r="DC8" s="13">
        <f t="shared" si="8"/>
        <v>4.9191009253263467E-2</v>
      </c>
      <c r="DD8" s="13">
        <f t="shared" si="8"/>
        <v>4.212004691362381E-2</v>
      </c>
      <c r="DE8" s="13">
        <f t="shared" si="8"/>
        <v>4.7127000987529748E-2</v>
      </c>
      <c r="DF8" s="13">
        <f t="shared" si="8"/>
        <v>3.8079626858234412E-2</v>
      </c>
      <c r="DG8" s="13">
        <f t="shared" si="8"/>
        <v>3.8307089358568192E-2</v>
      </c>
      <c r="DH8" s="13">
        <f t="shared" si="8"/>
        <v>3.9209745824337013E-2</v>
      </c>
      <c r="DI8" s="13">
        <f t="shared" si="8"/>
        <v>5.0754562020301819E-2</v>
      </c>
      <c r="DJ8" s="13">
        <f t="shared" si="8"/>
        <v>4.9327295273542397E-2</v>
      </c>
      <c r="DK8" s="13">
        <f t="shared" si="8"/>
        <v>4.6511236578226089E-2</v>
      </c>
      <c r="DL8" s="13">
        <f t="shared" si="8"/>
        <v>4.22775037586689E-2</v>
      </c>
      <c r="DM8" s="13">
        <f t="shared" si="8"/>
        <v>3.2305262982845313E-2</v>
      </c>
      <c r="DN8" s="13">
        <f t="shared" si="8"/>
        <v>4.6072427183389657E-2</v>
      </c>
      <c r="DO8" s="13">
        <f t="shared" si="8"/>
        <v>4.8485249280929572E-2</v>
      </c>
      <c r="DP8" s="13">
        <f t="shared" si="8"/>
        <v>4.6022161841392517E-2</v>
      </c>
      <c r="DQ8" s="13">
        <f t="shared" si="8"/>
        <v>4.4537413865327842E-2</v>
      </c>
      <c r="DR8" s="13">
        <f t="shared" si="8"/>
        <v>4.4425271451473243E-2</v>
      </c>
      <c r="DS8" s="13">
        <f t="shared" si="8"/>
        <v>4.2646575719118118E-2</v>
      </c>
      <c r="DT8" s="13">
        <f t="shared" si="8"/>
        <v>4.6090584248304367E-2</v>
      </c>
      <c r="DU8" s="13">
        <f t="shared" si="8"/>
        <v>4.3128091841936111E-2</v>
      </c>
      <c r="DV8" s="13">
        <f t="shared" si="8"/>
        <v>4.1349083185195923E-2</v>
      </c>
      <c r="DW8" s="13">
        <f t="shared" si="8"/>
        <v>4.0377732366323471E-2</v>
      </c>
      <c r="DX8" s="13">
        <f t="shared" si="8"/>
        <v>4.6240631490945823E-2</v>
      </c>
      <c r="DY8" s="13">
        <f t="shared" si="8"/>
        <v>4.529276117682457E-2</v>
      </c>
      <c r="DZ8" s="13">
        <f t="shared" si="8"/>
        <v>3.8002155721187592E-2</v>
      </c>
      <c r="EA8" s="13">
        <f t="shared" ref="EA8:EF8" si="9">IF(EA6=1,EA3,IF(EA6=2,EA4,IF(EA6=3,EA5)))</f>
        <v>4.3337244540452957E-2</v>
      </c>
      <c r="EB8" s="13">
        <f t="shared" si="9"/>
        <v>3.5762075334787369E-2</v>
      </c>
      <c r="EC8" s="13">
        <f t="shared" si="9"/>
        <v>3.0851878225803379E-2</v>
      </c>
      <c r="ED8" s="13">
        <f t="shared" si="9"/>
        <v>4.0065716952085488E-2</v>
      </c>
      <c r="EE8" s="13">
        <f t="shared" si="9"/>
        <v>4.3372519314289093E-2</v>
      </c>
      <c r="EF8" s="13">
        <f t="shared" si="9"/>
        <v>4.6325836330652237E-2</v>
      </c>
    </row>
    <row r="10" spans="1:136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/>
      <c r="B11" s="2" t="s">
        <v>142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3" t="s">
        <v>178</v>
      </c>
    </row>
    <row r="12" spans="1:136">
      <c r="A12" s="2"/>
      <c r="B12" s="2" t="s">
        <v>184</v>
      </c>
      <c r="C12" s="13">
        <v>4.701350899422875E-2</v>
      </c>
      <c r="D12" s="13">
        <f>C12+預測IC!D12</f>
        <v>0.16170201941089546</v>
      </c>
      <c r="E12" s="13">
        <f>D12+預測IC!E12</f>
        <v>0.15494799105253754</v>
      </c>
      <c r="F12" s="13">
        <f>E12+預測IC!F12</f>
        <v>0.16836939730253753</v>
      </c>
      <c r="G12" s="13">
        <f>F12+預測IC!G12</f>
        <v>0.17627374404846588</v>
      </c>
      <c r="H12" s="13">
        <f>G12+預測IC!H12</f>
        <v>0.21480446279846588</v>
      </c>
      <c r="I12" s="13">
        <f>H12+預測IC!I12</f>
        <v>0.22761441071513253</v>
      </c>
      <c r="J12" s="13">
        <f>I12+預測IC!J12</f>
        <v>0.19820660863179917</v>
      </c>
      <c r="K12" s="13">
        <f>J12+預測IC!K12</f>
        <v>0.18721820477897708</v>
      </c>
      <c r="L12" s="13">
        <f>K12+預測IC!L12</f>
        <v>0.18494097399801382</v>
      </c>
      <c r="M12" s="13">
        <f>L12+預測IC!M12</f>
        <v>0.18454428649801383</v>
      </c>
      <c r="N12" s="13">
        <f>M12+預測IC!N12</f>
        <v>0.25387103649801379</v>
      </c>
      <c r="O12" s="13">
        <f>N12+預測IC!O12</f>
        <v>0.2711118802480138</v>
      </c>
      <c r="P12" s="13">
        <f>O12+預測IC!P12</f>
        <v>0.27134221358134714</v>
      </c>
      <c r="Q12" s="13">
        <f>P12+預測IC!Q12</f>
        <v>0.30661268233134709</v>
      </c>
      <c r="R12" s="13">
        <f>Q12+預測IC!R12</f>
        <v>0.31327576566468041</v>
      </c>
      <c r="S12" s="13">
        <f>R12+預測IC!S12</f>
        <v>0.29680353649801372</v>
      </c>
      <c r="T12" s="13">
        <f>S12+預測IC!T12</f>
        <v>0.28906315108134706</v>
      </c>
      <c r="U12" s="13">
        <f>T12+預測IC!U12</f>
        <v>0.27288435941468037</v>
      </c>
      <c r="V12" s="13">
        <f>U12+預測IC!V12</f>
        <v>0.27908916149801366</v>
      </c>
      <c r="W12" s="13">
        <f>V12+預測IC!W12</f>
        <v>0.34312880733134699</v>
      </c>
      <c r="X12" s="13">
        <f>W12+預測IC!X12</f>
        <v>0.37020254691468035</v>
      </c>
      <c r="Y12" s="13">
        <f>X12+預測IC!Y12</f>
        <v>0.38564265108134704</v>
      </c>
      <c r="Z12" s="13">
        <f>Y12+預測IC!Z12</f>
        <v>0.39080869274801372</v>
      </c>
      <c r="AA12" s="13">
        <f>Z12+預測IC!AA12</f>
        <v>0.35140503134690193</v>
      </c>
      <c r="AB12" s="13">
        <f>AA12+預測IC!AB12</f>
        <v>0.34769370843023528</v>
      </c>
      <c r="AC12" s="13">
        <f>AB12+預測IC!AC12</f>
        <v>0.35286115634690196</v>
      </c>
      <c r="AD12" s="13">
        <f>AC12+預測IC!AD12</f>
        <v>0.34701404634766475</v>
      </c>
      <c r="AE12" s="13">
        <f>AD12+預測IC!AE12</f>
        <v>0.2886970359309981</v>
      </c>
      <c r="AF12" s="13">
        <f>AE12+預測IC!AF12</f>
        <v>0.26826488462713316</v>
      </c>
      <c r="AG12" s="13">
        <f>AF12+預測IC!AG12</f>
        <v>0.28034407212713319</v>
      </c>
      <c r="AH12" s="13">
        <f>AG12+預測IC!AH12</f>
        <v>0.26693826747749994</v>
      </c>
      <c r="AI12" s="13">
        <f>AH12+預測IC!AI12</f>
        <v>0.29018522581083328</v>
      </c>
      <c r="AJ12" s="13">
        <f>AI12+預測IC!AJ12</f>
        <v>0.3112476008108333</v>
      </c>
      <c r="AK12" s="13">
        <f>AJ12+預測IC!AK12</f>
        <v>0.32075164247749999</v>
      </c>
      <c r="AL12" s="13">
        <f>AK12+預測IC!AL12</f>
        <v>0.33861064549942205</v>
      </c>
      <c r="AM12" s="13">
        <f>AL12+預測IC!AM12</f>
        <v>0.36869676111201999</v>
      </c>
      <c r="AN12" s="13">
        <f>AM12+預測IC!AN12</f>
        <v>0.43792999542544853</v>
      </c>
      <c r="AO12" s="13">
        <f>AN12+預測IC!AO12</f>
        <v>0.44015878846512158</v>
      </c>
      <c r="AP12" s="13">
        <f>AO12+預測IC!AP12</f>
        <v>0.43552512179845493</v>
      </c>
      <c r="AQ12" s="13">
        <f>AP12+預測IC!AQ12</f>
        <v>0.4279031854098711</v>
      </c>
      <c r="AR12" s="13">
        <f>AQ12+預測IC!AR12</f>
        <v>0.44142944485983748</v>
      </c>
      <c r="AS12" s="13">
        <f>AR12+預測IC!AS12</f>
        <v>0.46052916331453808</v>
      </c>
      <c r="AT12" s="13">
        <f>AS12+預測IC!AT12</f>
        <v>0.47436406802220926</v>
      </c>
      <c r="AU12" s="13">
        <f>AT12+預測IC!AU12</f>
        <v>0.49507272670308466</v>
      </c>
      <c r="AV12" s="13">
        <f>AU12+預測IC!AV12</f>
        <v>0.45371264195805966</v>
      </c>
      <c r="AW12" s="13">
        <f>AV12+預測IC!AW12</f>
        <v>0.45433411897607573</v>
      </c>
      <c r="AX12" s="13">
        <f>AW12+預測IC!AX12</f>
        <v>0.44567613980940907</v>
      </c>
      <c r="AY12" s="13">
        <f>AX12+預測IC!AY12</f>
        <v>0.47063143287708231</v>
      </c>
      <c r="AZ12" s="13">
        <f>AY12+預測IC!AZ12</f>
        <v>0.46833140680542468</v>
      </c>
      <c r="BA12" s="13">
        <f>AZ12+預測IC!BA12</f>
        <v>0.47326929498866649</v>
      </c>
      <c r="BB12" s="13">
        <f>BA12+預測IC!BB12</f>
        <v>0.48854390024112593</v>
      </c>
      <c r="BC12" s="13">
        <f>BB12+預測IC!BC12</f>
        <v>0.50081668927960243</v>
      </c>
      <c r="BD12" s="13">
        <f>BC12+預測IC!BD12</f>
        <v>0.51444724622125504</v>
      </c>
      <c r="BE12" s="13">
        <f>BD12+預測IC!BE12</f>
        <v>0.53305605606064033</v>
      </c>
      <c r="BF12" s="13">
        <f>BE12+預測IC!BF12</f>
        <v>0.60084840854384047</v>
      </c>
      <c r="BG12" s="13">
        <f>BF12+預測IC!BG12</f>
        <v>0.6345192709851033</v>
      </c>
      <c r="BH12" s="13">
        <f>BG12+預測IC!BH12</f>
        <v>0.64874263099642526</v>
      </c>
      <c r="BI12" s="13">
        <f>BH12+預測IC!BI12</f>
        <v>0.69876388402741607</v>
      </c>
      <c r="BJ12" s="13">
        <f>BI12+預測IC!BJ12</f>
        <v>0.69796789070749821</v>
      </c>
      <c r="BK12" s="13">
        <f>BJ12+預測IC!BK12</f>
        <v>0.67668322574736428</v>
      </c>
      <c r="BL12" s="13">
        <f>BK12+預測IC!BL12</f>
        <v>0.70139247157751294</v>
      </c>
      <c r="BM12" s="13">
        <f>BL12+預測IC!BM12</f>
        <v>0.69622337962128311</v>
      </c>
      <c r="BN12" s="13">
        <f>BM12+預測IC!BN12</f>
        <v>0.70773991513337964</v>
      </c>
      <c r="BO12" s="13">
        <f>BN12+預測IC!BO12</f>
        <v>0.73198622538961655</v>
      </c>
      <c r="BP12" s="13">
        <f>BO12+預測IC!BP12</f>
        <v>0.72147724008432246</v>
      </c>
      <c r="BQ12" s="13">
        <f>BP12+預測IC!BQ12</f>
        <v>0.73537398970306911</v>
      </c>
      <c r="BR12" s="13">
        <f>BQ12+預測IC!BR12</f>
        <v>0.73311298124967028</v>
      </c>
      <c r="BS12" s="13">
        <f>BR12+預測IC!BS12</f>
        <v>0.75197627463406624</v>
      </c>
      <c r="BT12" s="13">
        <f>BS12+預測IC!BT12</f>
        <v>0.77400774331151045</v>
      </c>
      <c r="BU12" s="13">
        <f>BT12+預測IC!BU12</f>
        <v>0.78278926045160691</v>
      </c>
      <c r="BV12" s="13">
        <f>BU12+預測IC!BV12</f>
        <v>0.80585171618479789</v>
      </c>
      <c r="BW12" s="13">
        <f>BV12+預測IC!BW12</f>
        <v>0.77636794746526838</v>
      </c>
      <c r="BX12" s="13">
        <f>BW12+預測IC!BX12</f>
        <v>0.78784510946921849</v>
      </c>
      <c r="BY12" s="13">
        <f>BX12+預測IC!BY12</f>
        <v>0.75447430913764701</v>
      </c>
      <c r="BZ12" s="13">
        <f>BY12+預測IC!BZ12</f>
        <v>0.79983125482892004</v>
      </c>
      <c r="CA12" s="13">
        <f>BZ12+預測IC!CA12</f>
        <v>0.81441183816225338</v>
      </c>
      <c r="CB12" s="13">
        <f>CA12+預測IC!CB12</f>
        <v>0.81635508029401627</v>
      </c>
      <c r="CC12" s="13">
        <f>CB12+預測IC!CC12</f>
        <v>0.79958411589990597</v>
      </c>
      <c r="CD12" s="13">
        <f>CC12+預測IC!CD12</f>
        <v>0.91051774948435849</v>
      </c>
      <c r="CE12" s="13">
        <f>CD12+預測IC!CE12</f>
        <v>0.92213715792658768</v>
      </c>
      <c r="CF12" s="13">
        <f>CE12+預測IC!CF12</f>
        <v>0.94990474134035985</v>
      </c>
      <c r="CG12" s="13">
        <f>CF12+預測IC!CG12</f>
        <v>0.99176197539042288</v>
      </c>
      <c r="CH12" s="13">
        <f>CG12+預測IC!CH12</f>
        <v>1.0550593477683827</v>
      </c>
      <c r="CI12" s="13">
        <f>CH12+預測IC!CI12</f>
        <v>1.0204034353561771</v>
      </c>
      <c r="CJ12" s="13">
        <f>CI12+預測IC!CJ12</f>
        <v>1.0358486158348659</v>
      </c>
      <c r="CK12" s="13">
        <f>CJ12+預測IC!CK12</f>
        <v>1.0486517599897007</v>
      </c>
      <c r="CL12" s="13">
        <f>CK12+預測IC!CL12</f>
        <v>1.1666673676593111</v>
      </c>
      <c r="CM12" s="13">
        <f>CL12+預測IC!CM12</f>
        <v>1.1514476414919703</v>
      </c>
      <c r="CN12" s="13">
        <f>CM12+預測IC!CN12</f>
        <v>1.124363940277411</v>
      </c>
      <c r="CO12" s="13">
        <f>CN12+預測IC!CO12</f>
        <v>1.0970978133973053</v>
      </c>
      <c r="CP12" s="13">
        <f>CO12+預測IC!CP12</f>
        <v>1.142396834864799</v>
      </c>
      <c r="CQ12" s="13">
        <f>CP12+預測IC!CQ12</f>
        <v>1.1789690297747326</v>
      </c>
      <c r="CR12" s="13">
        <f>CQ12+預測IC!CR12</f>
        <v>1.181086908205385</v>
      </c>
      <c r="CS12" s="13">
        <f>CR12+預測IC!CS12</f>
        <v>1.1658852605183394</v>
      </c>
      <c r="CT12" s="13">
        <f>CS12+預測IC!CT12</f>
        <v>1.1650612244948084</v>
      </c>
      <c r="CU12" s="13">
        <f>CT12+預測IC!CU12</f>
        <v>1.2006849401570037</v>
      </c>
      <c r="CV12" s="13">
        <f>CU12+預測IC!CV12</f>
        <v>1.2087975665325408</v>
      </c>
      <c r="CW12" s="13">
        <f>CV12+預測IC!CW12</f>
        <v>1.214345491277073</v>
      </c>
      <c r="CX12" s="13">
        <f>CW12+預測IC!CX12</f>
        <v>1.2753353738140647</v>
      </c>
      <c r="CY12" s="13">
        <f>CX12+預測IC!CY12</f>
        <v>1.2693524316025742</v>
      </c>
      <c r="CZ12" s="13">
        <f>CY12+預測IC!CZ12</f>
        <v>1.3471447589420749</v>
      </c>
      <c r="DA12" s="13">
        <f>CZ12+預測IC!DA12</f>
        <v>1.3527485430124353</v>
      </c>
      <c r="DB12" s="13">
        <f>DA12+預測IC!DB12</f>
        <v>1.3297666670583084</v>
      </c>
      <c r="DC12" s="13">
        <f>DB12+預測IC!DC12</f>
        <v>1.3637398699330832</v>
      </c>
      <c r="DD12" s="13">
        <f>DC12+預測IC!DD12</f>
        <v>1.3886288479903237</v>
      </c>
      <c r="DE12" s="13">
        <f>DD12+預測IC!DE12</f>
        <v>1.3898269563715449</v>
      </c>
      <c r="DF12" s="13">
        <f>DE12+預測IC!DF12</f>
        <v>1.3829924306355044</v>
      </c>
      <c r="DG12" s="13">
        <f>DF12+預測IC!DG12</f>
        <v>1.3820447216961875</v>
      </c>
      <c r="DH12" s="13">
        <f>DG12+預測IC!DH12</f>
        <v>1.3782220397247549</v>
      </c>
      <c r="DI12" s="13">
        <f>DH12+預測IC!DI12</f>
        <v>1.3237788667326225</v>
      </c>
      <c r="DJ12" s="13">
        <f>DI12+預測IC!DJ12</f>
        <v>1.3318414649873929</v>
      </c>
      <c r="DK12" s="13">
        <f>DJ12+預測IC!DK12</f>
        <v>1.3158955118603766</v>
      </c>
      <c r="DL12" s="13">
        <f>DK12+預測IC!DL12</f>
        <v>1.3155408358377327</v>
      </c>
      <c r="DM12" s="13">
        <f>DL12+預測IC!DM12</f>
        <v>1.3107004865926528</v>
      </c>
      <c r="DN12" s="13">
        <f>DM12+預測IC!DN12</f>
        <v>1.3531108519787176</v>
      </c>
      <c r="DO12" s="13">
        <f>DN12+預測IC!DO12</f>
        <v>1.3757105856590464</v>
      </c>
      <c r="DP12" s="13">
        <f>DO12+預測IC!DP12</f>
        <v>1.4082950352593435</v>
      </c>
      <c r="DQ12" s="13">
        <f>DP12+預測IC!DQ12</f>
        <v>1.3855251703503075</v>
      </c>
      <c r="DR12" s="13">
        <f>DQ12+預測IC!DR12</f>
        <v>1.4043041136296945</v>
      </c>
      <c r="DS12" s="13">
        <f>DR12+預測IC!DS12</f>
        <v>1.3685779581779967</v>
      </c>
      <c r="DT12" s="13">
        <f>DS12+預測IC!DT12</f>
        <v>1.3232800747835962</v>
      </c>
      <c r="DU12" s="13">
        <f>DT12+預測IC!DU12</f>
        <v>1.3370327228699788</v>
      </c>
      <c r="DV12" s="13">
        <f>DU12+預測IC!DV12</f>
        <v>1.3855835473475095</v>
      </c>
      <c r="DW12" s="13">
        <f>DV12+預測IC!DW12</f>
        <v>1.4293091115675469</v>
      </c>
      <c r="DX12" s="13">
        <f>DW12+預測IC!DX12</f>
        <v>1.3791570310251853</v>
      </c>
      <c r="DY12" s="13">
        <f>DX12+預測IC!DY12</f>
        <v>1.3945143011436802</v>
      </c>
      <c r="DZ12" s="13">
        <f>DY12+預測IC!DZ12</f>
        <v>1.3903785756635028</v>
      </c>
      <c r="EA12" s="13">
        <f>DZ12+預測IC!EA12</f>
        <v>1.4543825169866997</v>
      </c>
      <c r="EB12" s="13">
        <f>EA12+預測IC!EB12</f>
        <v>1.4572108437615525</v>
      </c>
      <c r="EC12" s="13">
        <f>EB12+預測IC!EC12</f>
        <v>1.4838623533412179</v>
      </c>
      <c r="ED12" s="13">
        <f>EC12+預測IC!ED12</f>
        <v>1.4233542005327338</v>
      </c>
      <c r="EE12" s="13">
        <f>ED12+預測IC!EE12</f>
        <v>1.4352712968052213</v>
      </c>
      <c r="EF12" s="13">
        <f>EE12+預測IC!EF12</f>
        <v>1.4745046448440169</v>
      </c>
    </row>
    <row r="13" spans="1:136">
      <c r="A13" s="2"/>
      <c r="B13" s="2" t="s">
        <v>185</v>
      </c>
      <c r="C13" s="13">
        <v>4.2506117601795589E-2</v>
      </c>
      <c r="D13" s="13">
        <f>C13+預測IC!D13</f>
        <v>0.16625122176846219</v>
      </c>
      <c r="E13" s="13">
        <f>D13+預測IC!E13</f>
        <v>0.13175460227710914</v>
      </c>
      <c r="F13" s="13">
        <f>E13+預測IC!F13</f>
        <v>0.12029978977710915</v>
      </c>
      <c r="G13" s="13">
        <f>F13+預測IC!G13</f>
        <v>0.10539181001980576</v>
      </c>
      <c r="H13" s="13">
        <f>G13+預測IC!H13</f>
        <v>0.13538216418647242</v>
      </c>
      <c r="I13" s="13">
        <f>H13+預測IC!I13</f>
        <v>0.16451270585313907</v>
      </c>
      <c r="J13" s="13">
        <f>I13+預測IC!J13</f>
        <v>0.12061389335313905</v>
      </c>
      <c r="K13" s="13">
        <f>J13+預測IC!K13</f>
        <v>7.5282903110920035E-2</v>
      </c>
      <c r="L13" s="13">
        <f>K13+預測IC!L13</f>
        <v>4.6147234073474569E-2</v>
      </c>
      <c r="M13" s="13">
        <f>L13+預測IC!M13</f>
        <v>7.1834525740141236E-2</v>
      </c>
      <c r="N13" s="13">
        <f>M13+預測IC!N13</f>
        <v>0.17164125490680793</v>
      </c>
      <c r="O13" s="13">
        <f>N13+預測IC!O13</f>
        <v>0.21143062990680792</v>
      </c>
      <c r="P13" s="13">
        <f>O13+預測IC!P13</f>
        <v>0.22822277574014124</v>
      </c>
      <c r="Q13" s="13">
        <f>P13+預測IC!Q13</f>
        <v>0.30144779657347454</v>
      </c>
      <c r="R13" s="13">
        <f>Q13+預測IC!R13</f>
        <v>0.31560762990680785</v>
      </c>
      <c r="S13" s="13">
        <f>R13+預測IC!S13</f>
        <v>0.30336431740680786</v>
      </c>
      <c r="T13" s="13">
        <f>S13+預測IC!T13</f>
        <v>0.28125983824014122</v>
      </c>
      <c r="U13" s="13">
        <f>T13+預測IC!U13</f>
        <v>0.28285615074014125</v>
      </c>
      <c r="V13" s="13">
        <f>U13+預測IC!V13</f>
        <v>0.26276202574014129</v>
      </c>
      <c r="W13" s="13">
        <f>V13+預測IC!W13</f>
        <v>0.33823842157347461</v>
      </c>
      <c r="X13" s="13">
        <f>W13+預測IC!X13</f>
        <v>0.39151487990680794</v>
      </c>
      <c r="Y13" s="13">
        <f>X13+預測IC!Y13</f>
        <v>0.40543525490680793</v>
      </c>
      <c r="Z13" s="13">
        <f>Y13+預測IC!Z13</f>
        <v>0.42601917157347458</v>
      </c>
      <c r="AA13" s="13">
        <f>Z13+預測IC!AA13</f>
        <v>0.39389966123500331</v>
      </c>
      <c r="AB13" s="13">
        <f>AA13+預測IC!AB13</f>
        <v>0.37786368206833665</v>
      </c>
      <c r="AC13" s="13">
        <f>AB13+預測IC!AC13</f>
        <v>0.38589495290166997</v>
      </c>
      <c r="AD13" s="13">
        <f>AC13+預測IC!AD13</f>
        <v>0.37931590769912921</v>
      </c>
      <c r="AE13" s="13">
        <f>AD13+預測IC!AE13</f>
        <v>0.3135964285324625</v>
      </c>
      <c r="AF13" s="13">
        <f>AE13+預測IC!AF13</f>
        <v>0.28165596469816129</v>
      </c>
      <c r="AG13" s="13">
        <f>AF13+預測IC!AG13</f>
        <v>0.28493842303149464</v>
      </c>
      <c r="AH13" s="13">
        <f>AG13+預測IC!AH13</f>
        <v>0.27529708379197826</v>
      </c>
      <c r="AI13" s="13">
        <f>AH13+預測IC!AI13</f>
        <v>0.29520712545864491</v>
      </c>
      <c r="AJ13" s="13">
        <f>AI13+預測IC!AJ13</f>
        <v>0.31509304212531158</v>
      </c>
      <c r="AK13" s="13">
        <f>AJ13+預測IC!AK13</f>
        <v>0.31841200045864493</v>
      </c>
      <c r="AL13" s="13">
        <f>AK13+預測IC!AL13</f>
        <v>0.34156342905381598</v>
      </c>
      <c r="AM13" s="13">
        <f>AL13+預測IC!AM13</f>
        <v>0.3878458725906449</v>
      </c>
      <c r="AN13" s="13">
        <f>AM13+預測IC!AN13</f>
        <v>0.493176110726679</v>
      </c>
      <c r="AO13" s="13">
        <f>AN13+預測IC!AO13</f>
        <v>0.50248729862609398</v>
      </c>
      <c r="AP13" s="13">
        <f>AO13+預測IC!AP13</f>
        <v>0.49589948612609397</v>
      </c>
      <c r="AQ13" s="13">
        <f>AP13+預測IC!AQ13</f>
        <v>0.48985019735719426</v>
      </c>
      <c r="AR13" s="13">
        <f>AQ13+預測IC!AR13</f>
        <v>0.50053938289312994</v>
      </c>
      <c r="AS13" s="13">
        <f>AR13+預測IC!AS13</f>
        <v>0.54185250137736407</v>
      </c>
      <c r="AT13" s="13">
        <f>AS13+預測IC!AT13</f>
        <v>0.58231558923180382</v>
      </c>
      <c r="AU13" s="13">
        <f>AT13+預測IC!AU13</f>
        <v>0.62329171570778263</v>
      </c>
      <c r="AV13" s="13">
        <f>AU13+預測IC!AV13</f>
        <v>0.61381624306822957</v>
      </c>
      <c r="AW13" s="13">
        <f>AV13+預測IC!AW13</f>
        <v>0.617896256651293</v>
      </c>
      <c r="AX13" s="13">
        <f>AW13+預測IC!AX13</f>
        <v>0.60601563165129302</v>
      </c>
      <c r="AY13" s="13">
        <f>AX13+預測IC!AY13</f>
        <v>0.62357997799991793</v>
      </c>
      <c r="AZ13" s="13">
        <f>AY13+預測IC!AZ13</f>
        <v>0.61547651053041852</v>
      </c>
      <c r="BA13" s="13">
        <f>AZ13+預測IC!BA13</f>
        <v>0.6220174481374795</v>
      </c>
      <c r="BB13" s="13">
        <f>BA13+預測IC!BB13</f>
        <v>0.66489282263429039</v>
      </c>
      <c r="BC13" s="13">
        <f>BB13+預測IC!BC13</f>
        <v>0.67617658974594808</v>
      </c>
      <c r="BD13" s="13">
        <f>BC13+預測IC!BD13</f>
        <v>0.67952101812962939</v>
      </c>
      <c r="BE13" s="13">
        <f>BD13+預測IC!BE13</f>
        <v>0.70691282443527093</v>
      </c>
      <c r="BF13" s="13">
        <f>BE13+預測IC!BF13</f>
        <v>0.79084223974276768</v>
      </c>
      <c r="BG13" s="13">
        <f>BF13+預測IC!BG13</f>
        <v>0.83740870208147933</v>
      </c>
      <c r="BH13" s="13">
        <f>BG13+預測IC!BH13</f>
        <v>0.84588443189309837</v>
      </c>
      <c r="BI13" s="13">
        <f>BH13+預測IC!BI13</f>
        <v>0.89829356434979979</v>
      </c>
      <c r="BJ13" s="13">
        <f>BI13+預測IC!BJ13</f>
        <v>0.88144647835953494</v>
      </c>
      <c r="BK13" s="13">
        <f>BJ13+預測IC!BK13</f>
        <v>0.86305545347978552</v>
      </c>
      <c r="BL13" s="13">
        <f>BK13+預測IC!BL13</f>
        <v>0.89500331369296071</v>
      </c>
      <c r="BM13" s="13">
        <f>BL13+預測IC!BM13</f>
        <v>0.91192192931184235</v>
      </c>
      <c r="BN13" s="13">
        <f>BM13+預測IC!BN13</f>
        <v>0.92297447118711862</v>
      </c>
      <c r="BO13" s="13">
        <f>BN13+預測IC!BO13</f>
        <v>0.95385318742059277</v>
      </c>
      <c r="BP13" s="13">
        <f>BO13+預測IC!BP13</f>
        <v>0.96328588311524432</v>
      </c>
      <c r="BQ13" s="13">
        <f>BP13+預測IC!BQ13</f>
        <v>1.0049389469046701</v>
      </c>
      <c r="BR13" s="13">
        <f>BQ13+預測IC!BR13</f>
        <v>0.99825752942111268</v>
      </c>
      <c r="BS13" s="13">
        <f>BR13+預測IC!BS13</f>
        <v>1.0056770012613323</v>
      </c>
      <c r="BT13" s="13">
        <f>BS13+預測IC!BT13</f>
        <v>1.0440205068778052</v>
      </c>
      <c r="BU13" s="13">
        <f>BT13+預測IC!BU13</f>
        <v>1.0617270619143591</v>
      </c>
      <c r="BV13" s="13">
        <f>BU13+預測IC!BV13</f>
        <v>1.0823806587905678</v>
      </c>
      <c r="BW13" s="13">
        <f>BV13+預測IC!BW13</f>
        <v>1.0841438966012449</v>
      </c>
      <c r="BX13" s="13">
        <f>BW13+預測IC!BX13</f>
        <v>1.1052219641252714</v>
      </c>
      <c r="BY13" s="13">
        <f>BX13+預測IC!BY13</f>
        <v>1.090709566454781</v>
      </c>
      <c r="BZ13" s="13">
        <f>BY13+預測IC!BZ13</f>
        <v>1.1668476895138311</v>
      </c>
      <c r="CA13" s="13">
        <f>BZ13+預測IC!CA13</f>
        <v>1.190859877013831</v>
      </c>
      <c r="CB13" s="13">
        <f>CA13+預測IC!CB13</f>
        <v>1.1842640502886108</v>
      </c>
      <c r="CC13" s="13">
        <f>CB13+預測IC!CC13</f>
        <v>1.1717331380759775</v>
      </c>
      <c r="CD13" s="13">
        <f>CC13+預測IC!CD13</f>
        <v>1.2768189709683049</v>
      </c>
      <c r="CE13" s="13">
        <f>CD13+預測IC!CE13</f>
        <v>1.2860399552937187</v>
      </c>
      <c r="CF13" s="13">
        <f>CE13+預測IC!CF13</f>
        <v>1.330554222018788</v>
      </c>
      <c r="CG13" s="13">
        <f>CF13+預測IC!CG13</f>
        <v>1.3710032849877432</v>
      </c>
      <c r="CH13" s="13">
        <f>CG13+預測IC!CH13</f>
        <v>1.4293378968149504</v>
      </c>
      <c r="CI13" s="13">
        <f>CH13+預測IC!CI13</f>
        <v>1.377484387680687</v>
      </c>
      <c r="CJ13" s="13">
        <f>CI13+預測IC!CJ13</f>
        <v>1.3743782997087359</v>
      </c>
      <c r="CK13" s="13">
        <f>CJ13+預測IC!CK13</f>
        <v>1.4064235689451998</v>
      </c>
      <c r="CL13" s="13">
        <f>CK13+預測IC!CL13</f>
        <v>1.4878769350473806</v>
      </c>
      <c r="CM13" s="13">
        <f>CL13+預測IC!CM13</f>
        <v>1.4775801312909855</v>
      </c>
      <c r="CN13" s="13">
        <f>CM13+預測IC!CN13</f>
        <v>1.4506925652921332</v>
      </c>
      <c r="CO13" s="13">
        <f>CN13+預測IC!CO13</f>
        <v>1.4372351067289058</v>
      </c>
      <c r="CP13" s="13">
        <f>CO13+預測IC!CP13</f>
        <v>1.50696164700664</v>
      </c>
      <c r="CQ13" s="13">
        <f>CP13+預測IC!CQ13</f>
        <v>1.5451465972027998</v>
      </c>
      <c r="CR13" s="13">
        <f>CQ13+預測IC!CR13</f>
        <v>1.5534263782004483</v>
      </c>
      <c r="CS13" s="13">
        <f>CR13+預測IC!CS13</f>
        <v>1.5642594293157228</v>
      </c>
      <c r="CT13" s="13">
        <f>CS13+預測IC!CT13</f>
        <v>1.5723302286321015</v>
      </c>
      <c r="CU13" s="13">
        <f>CT13+預測IC!CU13</f>
        <v>1.6094916309144127</v>
      </c>
      <c r="CV13" s="13">
        <f>CU13+預測IC!CV13</f>
        <v>1.6065383187411548</v>
      </c>
      <c r="CW13" s="13">
        <f>CV13+預測IC!CW13</f>
        <v>1.6125153495974009</v>
      </c>
      <c r="CX13" s="13">
        <f>CW13+預測IC!CX13</f>
        <v>1.672548604837454</v>
      </c>
      <c r="CY13" s="13">
        <f>CX13+預測IC!CY13</f>
        <v>1.6594298647224415</v>
      </c>
      <c r="CZ13" s="13">
        <f>CY13+預測IC!CZ13</f>
        <v>1.7166540850759267</v>
      </c>
      <c r="DA13" s="13">
        <f>CZ13+預測IC!DA13</f>
        <v>1.7110704081501054</v>
      </c>
      <c r="DB13" s="13">
        <f>DA13+預測IC!DB13</f>
        <v>1.6693088384333208</v>
      </c>
      <c r="DC13" s="13">
        <f>DB13+預測IC!DC13</f>
        <v>1.6990844043116138</v>
      </c>
      <c r="DD13" s="13">
        <f>DC13+預測IC!DD13</f>
        <v>1.7097820049123496</v>
      </c>
      <c r="DE13" s="13">
        <f>DD13+預測IC!DE13</f>
        <v>1.7157109620384245</v>
      </c>
      <c r="DF13" s="13">
        <f>DE13+預測IC!DF13</f>
        <v>1.6871921652447899</v>
      </c>
      <c r="DG13" s="13">
        <f>DF13+預測IC!DG13</f>
        <v>1.6855615080719</v>
      </c>
      <c r="DH13" s="13">
        <f>DG13+預測IC!DH13</f>
        <v>1.696857275953815</v>
      </c>
      <c r="DI13" s="13">
        <f>DH13+預測IC!DI13</f>
        <v>1.6508802508591383</v>
      </c>
      <c r="DJ13" s="13">
        <f>DI13+預測IC!DJ13</f>
        <v>1.6475484946796275</v>
      </c>
      <c r="DK13" s="13">
        <f>DJ13+預測IC!DK13</f>
        <v>1.6599575688982551</v>
      </c>
      <c r="DL13" s="13">
        <f>DK13+預測IC!DL13</f>
        <v>1.6436573224069406</v>
      </c>
      <c r="DM13" s="13">
        <f>DL13+預測IC!DM13</f>
        <v>1.6369984533584967</v>
      </c>
      <c r="DN13" s="13">
        <f>DM13+預測IC!DN13</f>
        <v>1.6484980312810098</v>
      </c>
      <c r="DO13" s="13">
        <f>DN13+預測IC!DO13</f>
        <v>1.6953894436691415</v>
      </c>
      <c r="DP13" s="13">
        <f>DO13+預測IC!DP13</f>
        <v>1.7441760795254109</v>
      </c>
      <c r="DQ13" s="13">
        <f>DP13+預測IC!DQ13</f>
        <v>1.7177459981082821</v>
      </c>
      <c r="DR13" s="13">
        <f>DQ13+預測IC!DR13</f>
        <v>1.731517207380594</v>
      </c>
      <c r="DS13" s="13">
        <f>DR13+預測IC!DS13</f>
        <v>1.6926295795409241</v>
      </c>
      <c r="DT13" s="13">
        <f>DS13+預測IC!DT13</f>
        <v>1.6572032784932593</v>
      </c>
      <c r="DU13" s="13">
        <f>DT13+預測IC!DU13</f>
        <v>1.675908442130404</v>
      </c>
      <c r="DV13" s="13">
        <f>DU13+預測IC!DV13</f>
        <v>1.7555285861545926</v>
      </c>
      <c r="DW13" s="13">
        <f>DV13+預測IC!DW13</f>
        <v>1.7999463757789429</v>
      </c>
      <c r="DX13" s="13">
        <f>DW13+預測IC!DX13</f>
        <v>1.7354229962004468</v>
      </c>
      <c r="DY13" s="13">
        <f>DX13+預測IC!DY13</f>
        <v>1.7708090408542803</v>
      </c>
      <c r="DZ13" s="13">
        <f>DY13+預測IC!DZ13</f>
        <v>1.756200226367062</v>
      </c>
      <c r="EA13" s="13">
        <f>DZ13+預測IC!EA13</f>
        <v>1.829443095409744</v>
      </c>
      <c r="EB13" s="13">
        <f>EA13+預測IC!EB13</f>
        <v>1.8508163136091305</v>
      </c>
      <c r="EC13" s="13">
        <f>EB13+預測IC!EC13</f>
        <v>1.8924760670443594</v>
      </c>
      <c r="ED13" s="13">
        <f>EC13+預測IC!ED13</f>
        <v>1.8267939733851244</v>
      </c>
      <c r="EE13" s="13">
        <f>ED13+預測IC!EE13</f>
        <v>1.8347465669600889</v>
      </c>
      <c r="EF13" s="13">
        <f>EE13+預測IC!EF13</f>
        <v>1.9013237823236451</v>
      </c>
    </row>
    <row r="14" spans="1:136">
      <c r="A14" s="2"/>
      <c r="B14" s="2" t="s">
        <v>186</v>
      </c>
      <c r="C14" s="13">
        <v>-3.7017512404591897E-2</v>
      </c>
      <c r="D14" s="13">
        <f>C14+預測IC!D14</f>
        <v>0.18529127706909232</v>
      </c>
      <c r="E14" s="13">
        <f>D14+預測IC!E14</f>
        <v>0.13776533380183631</v>
      </c>
      <c r="F14" s="13">
        <f>E14+預測IC!F14</f>
        <v>0.1723085443281521</v>
      </c>
      <c r="G14" s="13">
        <f>F14+預測IC!G14</f>
        <v>0.13128862783022666</v>
      </c>
      <c r="H14" s="13">
        <f>G14+預測IC!H14</f>
        <v>0.19087757519864768</v>
      </c>
      <c r="I14" s="13">
        <f>H14+預測IC!I14</f>
        <v>0.26799257519864766</v>
      </c>
      <c r="J14" s="13">
        <f>I14+預測IC!J14</f>
        <v>0.16289899625127927</v>
      </c>
      <c r="K14" s="13">
        <f>J14+預測IC!K14</f>
        <v>2.8720292537225772E-2</v>
      </c>
      <c r="L14" s="13">
        <f>K14+預測IC!L14</f>
        <v>3.3567489724932578E-2</v>
      </c>
      <c r="M14" s="13">
        <f>L14+預測IC!M14</f>
        <v>-4.238387869612005E-2</v>
      </c>
      <c r="N14" s="13">
        <f>M14+預測IC!N14</f>
        <v>0.16244880551440627</v>
      </c>
      <c r="O14" s="13">
        <f>N14+預測IC!O14</f>
        <v>0.20209117393545889</v>
      </c>
      <c r="P14" s="13">
        <f>O14+預測IC!P14</f>
        <v>0.24987112130387992</v>
      </c>
      <c r="Q14" s="13">
        <f>P14+預測IC!Q14</f>
        <v>0.30811017393545886</v>
      </c>
      <c r="R14" s="13">
        <f>Q14+預測IC!R14</f>
        <v>0.29395848972493255</v>
      </c>
      <c r="S14" s="13">
        <f>R14+預測IC!S14</f>
        <v>0.33249375288282729</v>
      </c>
      <c r="T14" s="13">
        <f>S14+預測IC!T14</f>
        <v>0.315132016040722</v>
      </c>
      <c r="U14" s="13">
        <f>T14+預測IC!U14</f>
        <v>0.35171027919861675</v>
      </c>
      <c r="V14" s="13">
        <f>U14+預測IC!V14</f>
        <v>0.31333596340914305</v>
      </c>
      <c r="W14" s="13">
        <f>V14+預測IC!W14</f>
        <v>0.42950133183019568</v>
      </c>
      <c r="X14" s="13">
        <f>W14+預測IC!X14</f>
        <v>0.48308312130387987</v>
      </c>
      <c r="Y14" s="13">
        <f>X14+預測IC!Y14</f>
        <v>0.46631954235651146</v>
      </c>
      <c r="Z14" s="13">
        <f>Y14+預測IC!Z14</f>
        <v>0.48757154235651146</v>
      </c>
      <c r="AA14" s="13">
        <f>Z14+預測IC!AA14</f>
        <v>0.44812136205442926</v>
      </c>
      <c r="AB14" s="13">
        <f>AA14+預測IC!AB14</f>
        <v>0.37313873047548191</v>
      </c>
      <c r="AC14" s="13">
        <f>AB14+預測IC!AC14</f>
        <v>0.34384609889653456</v>
      </c>
      <c r="AD14" s="13">
        <f>AC14+預測IC!AD14</f>
        <v>0.3567662055077529</v>
      </c>
      <c r="AE14" s="13">
        <f>AD14+預測IC!AE14</f>
        <v>0.35274715287617397</v>
      </c>
      <c r="AF14" s="13">
        <f>AE14+預測IC!AF14</f>
        <v>0.31232645033377487</v>
      </c>
      <c r="AG14" s="13">
        <f>AF14+預測IC!AG14</f>
        <v>0.31871702928114332</v>
      </c>
      <c r="AH14" s="13">
        <f>AG14+預測IC!AH14</f>
        <v>0.31346675135063728</v>
      </c>
      <c r="AI14" s="13">
        <f>AH14+預測IC!AI14</f>
        <v>0.32443206714011097</v>
      </c>
      <c r="AJ14" s="13">
        <f>AI14+預測IC!AJ14</f>
        <v>0.42072675135063731</v>
      </c>
      <c r="AK14" s="13">
        <f>AJ14+預測IC!AK14</f>
        <v>0.40921733029800572</v>
      </c>
      <c r="AL14" s="13">
        <f>AK14+預測IC!AL14</f>
        <v>0.44718652002046644</v>
      </c>
      <c r="AM14" s="13">
        <f>AL14+預測IC!AM14</f>
        <v>0.50842868639909167</v>
      </c>
      <c r="AN14" s="13">
        <f>AM14+預測IC!AN14</f>
        <v>0.60702335316863543</v>
      </c>
      <c r="AO14" s="13">
        <f>AN14+預測IC!AO14</f>
        <v>0.66792905863404539</v>
      </c>
      <c r="AP14" s="13">
        <f>AO14+預測IC!AP14</f>
        <v>0.67498421652878227</v>
      </c>
      <c r="AQ14" s="13">
        <f>AP14+預測IC!AQ14</f>
        <v>0.67461624879102233</v>
      </c>
      <c r="AR14" s="13">
        <f>AQ14+預測IC!AR14</f>
        <v>0.71226208855328521</v>
      </c>
      <c r="AS14" s="13">
        <f>AR14+預測IC!AS14</f>
        <v>0.79763907450633198</v>
      </c>
      <c r="AT14" s="13">
        <f>AS14+預測IC!AT14</f>
        <v>0.83214565419147646</v>
      </c>
      <c r="AU14" s="13">
        <f>AT14+預測IC!AU14</f>
        <v>0.87213730319478033</v>
      </c>
      <c r="AV14" s="13">
        <f>AU14+預測IC!AV14</f>
        <v>0.85345441776116315</v>
      </c>
      <c r="AW14" s="13">
        <f>AV14+預測IC!AW14</f>
        <v>0.83509148625520568</v>
      </c>
      <c r="AX14" s="13">
        <f>AW14+預測IC!AX14</f>
        <v>0.83591385467625834</v>
      </c>
      <c r="AY14" s="13">
        <f>AX14+預測IC!AY14</f>
        <v>0.85098197344801985</v>
      </c>
      <c r="AZ14" s="13">
        <f>AY14+預測IC!AZ14</f>
        <v>0.79763340427586382</v>
      </c>
      <c r="BA14" s="13">
        <f>AZ14+預測IC!BA14</f>
        <v>0.81525504982010699</v>
      </c>
      <c r="BB14" s="13">
        <f>BA14+預測IC!BB14</f>
        <v>0.87698933182178185</v>
      </c>
      <c r="BC14" s="13">
        <f>BB14+預測IC!BC14</f>
        <v>0.86716833286650441</v>
      </c>
      <c r="BD14" s="13">
        <f>BC14+預測IC!BD14</f>
        <v>0.91049611453390988</v>
      </c>
      <c r="BE14" s="13">
        <f>BD14+預測IC!BE14</f>
        <v>0.95428317706939692</v>
      </c>
      <c r="BF14" s="13">
        <f>BE14+預測IC!BF14</f>
        <v>0.99505369861508675</v>
      </c>
      <c r="BG14" s="13">
        <f>BF14+預測IC!BG14</f>
        <v>1.0364279626890196</v>
      </c>
      <c r="BH14" s="13">
        <f>BG14+預測IC!BH14</f>
        <v>1.0417707182576204</v>
      </c>
      <c r="BI14" s="13">
        <f>BH14+預測IC!BI14</f>
        <v>1.0919559311484741</v>
      </c>
      <c r="BJ14" s="13">
        <f>BI14+預測IC!BJ14</f>
        <v>1.0719387074772408</v>
      </c>
      <c r="BK14" s="13">
        <f>BJ14+預測IC!BK14</f>
        <v>1.0663449558201681</v>
      </c>
      <c r="BL14" s="13">
        <f>BK14+預測IC!BL14</f>
        <v>1.1260827226625385</v>
      </c>
      <c r="BM14" s="13">
        <f>BL14+預測IC!BM14</f>
        <v>1.1653399378689655</v>
      </c>
      <c r="BN14" s="13">
        <f>BM14+預測IC!BN14</f>
        <v>1.186276475941517</v>
      </c>
      <c r="BO14" s="13">
        <f>BN14+預測IC!BO14</f>
        <v>1.2198855216187814</v>
      </c>
      <c r="BP14" s="13">
        <f>BO14+預測IC!BP14</f>
        <v>1.2355592551117405</v>
      </c>
      <c r="BQ14" s="13">
        <f>BP14+預測IC!BQ14</f>
        <v>1.2514027789816913</v>
      </c>
      <c r="BR14" s="13">
        <f>BQ14+預測IC!BR14</f>
        <v>1.2234733494490733</v>
      </c>
      <c r="BS14" s="13">
        <f>BR14+預測IC!BS14</f>
        <v>1.1819793943044954</v>
      </c>
      <c r="BT14" s="13">
        <f>BS14+預測IC!BT14</f>
        <v>1.2559923566408067</v>
      </c>
      <c r="BU14" s="13">
        <f>BT14+預測IC!BU14</f>
        <v>1.2471375212827758</v>
      </c>
      <c r="BV14" s="13">
        <f>BU14+預測IC!BV14</f>
        <v>1.2728647032992031</v>
      </c>
      <c r="BW14" s="13">
        <f>BV14+預測IC!BW14</f>
        <v>1.2853726515567965</v>
      </c>
      <c r="BX14" s="13">
        <f>BW14+預測IC!BX14</f>
        <v>1.3403434116787496</v>
      </c>
      <c r="BY14" s="13">
        <f>BX14+預測IC!BY14</f>
        <v>1.3337471183137846</v>
      </c>
      <c r="BZ14" s="13">
        <f>BY14+預測IC!BZ14</f>
        <v>1.3937811751425668</v>
      </c>
      <c r="CA14" s="13">
        <f>BZ14+預測IC!CA14</f>
        <v>1.4272358067215143</v>
      </c>
      <c r="CB14" s="13">
        <f>CA14+預測IC!CB14</f>
        <v>1.4493634232636892</v>
      </c>
      <c r="CC14" s="13">
        <f>CB14+預測IC!CC14</f>
        <v>1.4365693424785106</v>
      </c>
      <c r="CD14" s="13">
        <f>CC14+預測IC!CD14</f>
        <v>1.5345860524107084</v>
      </c>
      <c r="CE14" s="13">
        <f>CD14+預測IC!CE14</f>
        <v>1.4624293331990106</v>
      </c>
      <c r="CF14" s="13">
        <f>CE14+預測IC!CF14</f>
        <v>1.5547600164810722</v>
      </c>
      <c r="CG14" s="13">
        <f>CF14+預測IC!CG14</f>
        <v>1.6078270447769112</v>
      </c>
      <c r="CH14" s="13">
        <f>CG14+預測IC!CH14</f>
        <v>1.6724884370551283</v>
      </c>
      <c r="CI14" s="13">
        <f>CH14+預測IC!CI14</f>
        <v>1.5666036596917694</v>
      </c>
      <c r="CJ14" s="13">
        <f>CI14+預測IC!CJ14</f>
        <v>1.5379358047475948</v>
      </c>
      <c r="CK14" s="13">
        <f>CJ14+預測IC!CK14</f>
        <v>1.551952169138241</v>
      </c>
      <c r="CL14" s="13">
        <f>CK14+預測IC!CL14</f>
        <v>1.6142221240170775</v>
      </c>
      <c r="CM14" s="13">
        <f>CL14+預測IC!CM14</f>
        <v>1.6462621343853947</v>
      </c>
      <c r="CN14" s="13">
        <f>CM14+預測IC!CN14</f>
        <v>1.6232354457144686</v>
      </c>
      <c r="CO14" s="13">
        <f>CN14+預測IC!CO14</f>
        <v>1.5496477256755756</v>
      </c>
      <c r="CP14" s="13">
        <f>CO14+預測IC!CP14</f>
        <v>1.6494570571573284</v>
      </c>
      <c r="CQ14" s="13">
        <f>CP14+預測IC!CQ14</f>
        <v>1.7026686852490029</v>
      </c>
      <c r="CR14" s="13">
        <f>CQ14+預測IC!CR14</f>
        <v>1.7585778228735043</v>
      </c>
      <c r="CS14" s="13">
        <f>CR14+預測IC!CS14</f>
        <v>1.8176049431371599</v>
      </c>
      <c r="CT14" s="13">
        <f>CS14+預測IC!CT14</f>
        <v>1.8367055196878448</v>
      </c>
      <c r="CU14" s="13">
        <f>CT14+預測IC!CU14</f>
        <v>1.7927884169906301</v>
      </c>
      <c r="CV14" s="13">
        <f>CU14+預測IC!CV14</f>
        <v>1.8155341321288854</v>
      </c>
      <c r="CW14" s="13">
        <f>CV14+預測IC!CW14</f>
        <v>1.8121357496654147</v>
      </c>
      <c r="CX14" s="13">
        <f>CW14+預測IC!CX14</f>
        <v>1.8484351585536538</v>
      </c>
      <c r="CY14" s="13">
        <f>CX14+預測IC!CY14</f>
        <v>1.8196760382621795</v>
      </c>
      <c r="CZ14" s="13">
        <f>CY14+預測IC!CZ14</f>
        <v>1.8837396016125629</v>
      </c>
      <c r="DA14" s="13">
        <f>CZ14+預測IC!DA14</f>
        <v>1.8594353124419785</v>
      </c>
      <c r="DB14" s="13">
        <f>DA14+預測IC!DB14</f>
        <v>1.8358742392537877</v>
      </c>
      <c r="DC14" s="13">
        <f>DB14+預測IC!DC14</f>
        <v>1.8595068484586352</v>
      </c>
      <c r="DD14" s="13">
        <f>DC14+預測IC!DD14</f>
        <v>1.8427482986662187</v>
      </c>
      <c r="DE14" s="13">
        <f>DD14+預測IC!DE14</f>
        <v>1.8481325982739831</v>
      </c>
      <c r="DF14" s="13">
        <f>DE14+預測IC!DF14</f>
        <v>1.8122759677169207</v>
      </c>
      <c r="DG14" s="13">
        <f>DF14+預測IC!DG14</f>
        <v>1.8237225241102379</v>
      </c>
      <c r="DH14" s="13">
        <f>DG14+預測IC!DH14</f>
        <v>1.8284973613531494</v>
      </c>
      <c r="DI14" s="13">
        <f>DH14+預測IC!DI14</f>
        <v>1.7698995416442325</v>
      </c>
      <c r="DJ14" s="13">
        <f>DI14+預測IC!DJ14</f>
        <v>1.7709232659115299</v>
      </c>
      <c r="DK14" s="13">
        <f>DJ14+預測IC!DK14</f>
        <v>1.7899943290291858</v>
      </c>
      <c r="DL14" s="13">
        <f>DK14+預測IC!DL14</f>
        <v>1.7748291674742973</v>
      </c>
      <c r="DM14" s="13">
        <f>DL14+預測IC!DM14</f>
        <v>1.7803334365679477</v>
      </c>
      <c r="DN14" s="13">
        <f>DM14+預測IC!DN14</f>
        <v>1.8229959324612119</v>
      </c>
      <c r="DO14" s="13">
        <f>DN14+預測IC!DO14</f>
        <v>1.8643715776240093</v>
      </c>
      <c r="DP14" s="13">
        <f>DO14+預測IC!DP14</f>
        <v>1.9079112939816614</v>
      </c>
      <c r="DQ14" s="13">
        <f>DP14+預測IC!DQ14</f>
        <v>1.8185434339408495</v>
      </c>
      <c r="DR14" s="13">
        <f>DQ14+預測IC!DR14</f>
        <v>1.871165953399849</v>
      </c>
      <c r="DS14" s="13">
        <f>DR14+預測IC!DS14</f>
        <v>1.8361210471289322</v>
      </c>
      <c r="DT14" s="13">
        <f>DS14+預測IC!DT14</f>
        <v>1.791604093531477</v>
      </c>
      <c r="DU14" s="13">
        <f>DT14+預測IC!DU14</f>
        <v>1.7466891449124951</v>
      </c>
      <c r="DV14" s="13">
        <f>DU14+預測IC!DV14</f>
        <v>1.8549514994426024</v>
      </c>
      <c r="DW14" s="13">
        <f>DV14+預測IC!DW14</f>
        <v>1.9532958664603801</v>
      </c>
      <c r="DX14" s="13">
        <f>DW14+預測IC!DX14</f>
        <v>1.8513643609079591</v>
      </c>
      <c r="DY14" s="13">
        <f>DX14+預測IC!DY14</f>
        <v>1.8893614408548076</v>
      </c>
      <c r="DZ14" s="13">
        <f>DY14+預測IC!DZ14</f>
        <v>1.8674798675363453</v>
      </c>
      <c r="EA14" s="13">
        <f>DZ14+預測IC!EA14</f>
        <v>1.9455851334242815</v>
      </c>
      <c r="EB14" s="13">
        <f>EA14+預測IC!EB14</f>
        <v>1.9787624665368724</v>
      </c>
      <c r="EC14" s="13">
        <f>EB14+預測IC!EC14</f>
        <v>1.9848418486850055</v>
      </c>
      <c r="ED14" s="13">
        <f>EC14+預測IC!ED14</f>
        <v>1.8822121394988185</v>
      </c>
      <c r="EE14" s="13">
        <f>ED14+預測IC!EE14</f>
        <v>1.9010792963437111</v>
      </c>
      <c r="EF14" s="13">
        <f>EE14+預測IC!EF14</f>
        <v>1.9710357168422692</v>
      </c>
    </row>
    <row r="15" spans="1:136">
      <c r="A15" s="2"/>
      <c r="B15" s="2" t="s">
        <v>187</v>
      </c>
      <c r="C15" s="13">
        <v>-9.6503141994516081E-2</v>
      </c>
      <c r="D15" s="13">
        <f>C15+預測IC!D15</f>
        <v>0.27620655800548399</v>
      </c>
      <c r="E15" s="13">
        <f>D15+預測IC!E15</f>
        <v>0.26600813173340049</v>
      </c>
      <c r="F15" s="13">
        <f>E15+預測IC!F15</f>
        <v>0.3563127317334005</v>
      </c>
      <c r="G15" s="13">
        <f>F15+預測IC!G15</f>
        <v>0.29567580306186625</v>
      </c>
      <c r="H15" s="13">
        <f>G15+預測IC!H15</f>
        <v>0.41452020306186627</v>
      </c>
      <c r="I15" s="13">
        <f>H15+預測IC!I15</f>
        <v>0.54124910306186624</v>
      </c>
      <c r="J15" s="13">
        <f>I15+預測IC!J15</f>
        <v>0.47672490306186621</v>
      </c>
      <c r="K15" s="13">
        <f>J15+預測IC!K15</f>
        <v>0.19013027532549559</v>
      </c>
      <c r="L15" s="13">
        <f>K15+預測IC!L15</f>
        <v>0.22268878048268023</v>
      </c>
      <c r="M15" s="13">
        <f>L15+預測IC!M15</f>
        <v>3.4197380482680229E-2</v>
      </c>
      <c r="N15" s="13">
        <f>M15+預測IC!N15</f>
        <v>0.36450698048268021</v>
      </c>
      <c r="O15" s="13">
        <f>N15+預測IC!O15</f>
        <v>0.41061048048268023</v>
      </c>
      <c r="P15" s="13">
        <f>O15+預測IC!P15</f>
        <v>0.46359388048268024</v>
      </c>
      <c r="Q15" s="13">
        <f>P15+預測IC!Q15</f>
        <v>0.56397068048268029</v>
      </c>
      <c r="R15" s="13">
        <f>Q15+預測IC!R15</f>
        <v>0.58072588048268026</v>
      </c>
      <c r="S15" s="13">
        <f>R15+預測IC!S15</f>
        <v>0.53769228048268025</v>
      </c>
      <c r="T15" s="13">
        <f>S15+預測IC!T15</f>
        <v>0.48835258048268027</v>
      </c>
      <c r="U15" s="13">
        <f>T15+預測IC!U15</f>
        <v>0.53514128048268028</v>
      </c>
      <c r="V15" s="13">
        <f>U15+預測IC!V15</f>
        <v>0.44946088048268029</v>
      </c>
      <c r="W15" s="13">
        <f>V15+預測IC!W15</f>
        <v>0.55639548048268028</v>
      </c>
      <c r="X15" s="13">
        <f>W15+預測IC!X15</f>
        <v>0.6348319804826803</v>
      </c>
      <c r="Y15" s="13">
        <f>X15+預測IC!Y15</f>
        <v>0.61064228048268032</v>
      </c>
      <c r="Z15" s="13">
        <f>Y15+預測IC!Z15</f>
        <v>0.58698608048268031</v>
      </c>
      <c r="AA15" s="13">
        <f>Z15+預測IC!AA15</f>
        <v>0.53290493345464662</v>
      </c>
      <c r="AB15" s="13">
        <f>AA15+預測IC!AB15</f>
        <v>0.45890953345464663</v>
      </c>
      <c r="AC15" s="13">
        <f>AB15+預測IC!AC15</f>
        <v>0.41885473345464663</v>
      </c>
      <c r="AD15" s="13">
        <f>AC15+預測IC!AD15</f>
        <v>0.39991845042382823</v>
      </c>
      <c r="AE15" s="13">
        <f>AD15+預測IC!AE15</f>
        <v>0.44720405042382821</v>
      </c>
      <c r="AF15" s="13">
        <f>AE15+預測IC!AF15</f>
        <v>0.38138443792678833</v>
      </c>
      <c r="AG15" s="13">
        <f>AF15+預測IC!AG15</f>
        <v>0.37163943792678833</v>
      </c>
      <c r="AH15" s="13">
        <f>AG15+預測IC!AH15</f>
        <v>0.40524381128446479</v>
      </c>
      <c r="AI15" s="13">
        <f>AH15+預測IC!AI15</f>
        <v>0.47952121128446479</v>
      </c>
      <c r="AJ15" s="13">
        <f>AI15+預測IC!AJ15</f>
        <v>0.48370461128446479</v>
      </c>
      <c r="AK15" s="13">
        <f>AJ15+預測IC!AK15</f>
        <v>0.44670651128446481</v>
      </c>
      <c r="AL15" s="13">
        <f>AK15+預測IC!AL15</f>
        <v>0.49113817378027935</v>
      </c>
      <c r="AM15" s="13">
        <f>AL15+預測IC!AM15</f>
        <v>0.54626079591490651</v>
      </c>
      <c r="AN15" s="13">
        <f>AM15+預測IC!AN15</f>
        <v>0.64794950182729005</v>
      </c>
      <c r="AO15" s="13">
        <f>AN15+預測IC!AO15</f>
        <v>0.71131931429075712</v>
      </c>
      <c r="AP15" s="13">
        <f>AO15+預測IC!AP15</f>
        <v>0.72390151429075711</v>
      </c>
      <c r="AQ15" s="13">
        <f>AP15+預測IC!AQ15</f>
        <v>0.68653438749463547</v>
      </c>
      <c r="AR15" s="13">
        <f>AQ15+預測IC!AR15</f>
        <v>0.7768282429705522</v>
      </c>
      <c r="AS15" s="13">
        <f>AR15+預測IC!AS15</f>
        <v>0.83064942200766623</v>
      </c>
      <c r="AT15" s="13">
        <f>AS15+預測IC!AT15</f>
        <v>0.8959044126600948</v>
      </c>
      <c r="AU15" s="13">
        <f>AT15+預測IC!AU15</f>
        <v>0.93584767374956113</v>
      </c>
      <c r="AV15" s="13">
        <f>AU15+預測IC!AV15</f>
        <v>0.88862085542212221</v>
      </c>
      <c r="AW15" s="13">
        <f>AV15+預測IC!AW15</f>
        <v>0.90428079467670319</v>
      </c>
      <c r="AX15" s="13">
        <f>AW15+預測IC!AX15</f>
        <v>0.90844279467670319</v>
      </c>
      <c r="AY15" s="13">
        <f>AX15+預測IC!AY15</f>
        <v>0.9364598587867361</v>
      </c>
      <c r="AZ15" s="13">
        <f>AY15+預測IC!AZ15</f>
        <v>0.84513657871823256</v>
      </c>
      <c r="BA15" s="13">
        <f>AZ15+預測IC!BA15</f>
        <v>0.85575009352588549</v>
      </c>
      <c r="BB15" s="13">
        <f>BA15+預測IC!BB15</f>
        <v>0.96847495960469865</v>
      </c>
      <c r="BC15" s="13">
        <f>BB15+預測IC!BC15</f>
        <v>1.0306301032725289</v>
      </c>
      <c r="BD15" s="13">
        <f>BC15+預測IC!BD15</f>
        <v>1.083673377177325</v>
      </c>
      <c r="BE15" s="13">
        <f>BD15+預測IC!BE15</f>
        <v>1.1321160981949883</v>
      </c>
      <c r="BF15" s="13">
        <f>BE15+預測IC!BF15</f>
        <v>1.1797790776517405</v>
      </c>
      <c r="BG15" s="13">
        <f>BF15+預測IC!BG15</f>
        <v>1.1822686163863056</v>
      </c>
      <c r="BH15" s="13">
        <f>BG15+預測IC!BH15</f>
        <v>1.2167104618679951</v>
      </c>
      <c r="BI15" s="13">
        <f>BH15+預測IC!BI15</f>
        <v>1.2852971209829649</v>
      </c>
      <c r="BJ15" s="13">
        <f>BI15+預測IC!BJ15</f>
        <v>1.2740320938955196</v>
      </c>
      <c r="BK15" s="13">
        <f>BJ15+預測IC!BK15</f>
        <v>1.2748558461633257</v>
      </c>
      <c r="BL15" s="13">
        <f>BK15+預測IC!BL15</f>
        <v>1.3342597175046742</v>
      </c>
      <c r="BM15" s="13">
        <f>BL15+預測IC!BM15</f>
        <v>1.4010845388714035</v>
      </c>
      <c r="BN15" s="13">
        <f>BM15+預測IC!BN15</f>
        <v>1.4412271086045934</v>
      </c>
      <c r="BO15" s="13">
        <f>BN15+預測IC!BO15</f>
        <v>1.4689615845595243</v>
      </c>
      <c r="BP15" s="13">
        <f>BO15+預測IC!BP15</f>
        <v>1.483145805267329</v>
      </c>
      <c r="BQ15" s="13">
        <f>BP15+預測IC!BQ15</f>
        <v>1.4959487365576567</v>
      </c>
      <c r="BR15" s="13">
        <f>BQ15+預測IC!BR15</f>
        <v>1.445791307435597</v>
      </c>
      <c r="BS15" s="13">
        <f>BR15+預測IC!BS15</f>
        <v>1.4289675299853106</v>
      </c>
      <c r="BT15" s="13">
        <f>BS15+預測IC!BT15</f>
        <v>1.518027735716645</v>
      </c>
      <c r="BU15" s="13">
        <f>BT15+預測IC!BU15</f>
        <v>1.5375041555124385</v>
      </c>
      <c r="BV15" s="13">
        <f>BU15+預測IC!BV15</f>
        <v>1.5964191232649871</v>
      </c>
      <c r="BW15" s="13">
        <f>BV15+預測IC!BW15</f>
        <v>1.5604732331355835</v>
      </c>
      <c r="BX15" s="13">
        <f>BW15+預測IC!BX15</f>
        <v>1.589109128201315</v>
      </c>
      <c r="BY15" s="13">
        <f>BX15+預測IC!BY15</f>
        <v>1.5274150367222552</v>
      </c>
      <c r="BZ15" s="13">
        <f>BY15+預測IC!BZ15</f>
        <v>1.6303215056996025</v>
      </c>
      <c r="CA15" s="13">
        <f>BZ15+預測IC!CA15</f>
        <v>1.6602844056996025</v>
      </c>
      <c r="CB15" s="13">
        <f>CA15+預測IC!CB15</f>
        <v>1.675341299711427</v>
      </c>
      <c r="CC15" s="13">
        <f>CB15+預測IC!CC15</f>
        <v>1.5230230346572655</v>
      </c>
      <c r="CD15" s="13">
        <f>CC15+預測IC!CD15</f>
        <v>1.6431751186203498</v>
      </c>
      <c r="CE15" s="13">
        <f>CD15+預測IC!CE15</f>
        <v>1.5266585495502292</v>
      </c>
      <c r="CF15" s="13">
        <f>CE15+預測IC!CF15</f>
        <v>1.6210151999436493</v>
      </c>
      <c r="CG15" s="13">
        <f>CF15+預測IC!CG15</f>
        <v>1.616716320690285</v>
      </c>
      <c r="CH15" s="13">
        <f>CG15+預測IC!CH15</f>
        <v>1.6796022789739864</v>
      </c>
      <c r="CI15" s="13">
        <f>CH15+預測IC!CI15</f>
        <v>1.6408038640790057</v>
      </c>
      <c r="CJ15" s="13">
        <f>CI15+預測IC!CJ15</f>
        <v>1.5537595080062876</v>
      </c>
      <c r="CK15" s="13">
        <f>CJ15+預測IC!CK15</f>
        <v>1.610432153778387</v>
      </c>
      <c r="CL15" s="13">
        <f>CK15+預測IC!CL15</f>
        <v>1.6418541287716353</v>
      </c>
      <c r="CM15" s="13">
        <f>CL15+預測IC!CM15</f>
        <v>1.7164852449000891</v>
      </c>
      <c r="CN15" s="13">
        <f>CM15+預測IC!CN15</f>
        <v>1.6738511291009288</v>
      </c>
      <c r="CO15" s="13">
        <f>CN15+預測IC!CO15</f>
        <v>1.5444021042188874</v>
      </c>
      <c r="CP15" s="13">
        <f>CO15+預測IC!CP15</f>
        <v>1.671937939651837</v>
      </c>
      <c r="CQ15" s="13">
        <f>CP15+預測IC!CQ15</f>
        <v>1.7093159504169659</v>
      </c>
      <c r="CR15" s="13">
        <f>CQ15+預測IC!CR15</f>
        <v>1.7575530207051302</v>
      </c>
      <c r="CS15" s="13">
        <f>CR15+預測IC!CS15</f>
        <v>1.8177381931687249</v>
      </c>
      <c r="CT15" s="13">
        <f>CS15+預測IC!CT15</f>
        <v>1.8251327681441796</v>
      </c>
      <c r="CU15" s="13">
        <f>CT15+預測IC!CU15</f>
        <v>1.7619541082294068</v>
      </c>
      <c r="CV15" s="13">
        <f>CU15+預測IC!CV15</f>
        <v>1.7558122613245979</v>
      </c>
      <c r="CW15" s="13">
        <f>CV15+預測IC!CW15</f>
        <v>1.7433276011441576</v>
      </c>
      <c r="CX15" s="13">
        <f>CW15+預測IC!CX15</f>
        <v>1.7673672081974885</v>
      </c>
      <c r="CY15" s="13">
        <f>CX15+預測IC!CY15</f>
        <v>1.7248965351197261</v>
      </c>
      <c r="CZ15" s="13">
        <f>CY15+預測IC!CZ15</f>
        <v>1.8047834830640683</v>
      </c>
      <c r="DA15" s="13">
        <f>CZ15+預測IC!DA15</f>
        <v>1.7784076476221917</v>
      </c>
      <c r="DB15" s="13">
        <f>DA15+預測IC!DB15</f>
        <v>1.748181029408068</v>
      </c>
      <c r="DC15" s="13">
        <f>DB15+預測IC!DC15</f>
        <v>1.78325617938265</v>
      </c>
      <c r="DD15" s="13">
        <f>DC15+預測IC!DD15</f>
        <v>1.7338624888827654</v>
      </c>
      <c r="DE15" s="13">
        <f>DD15+預測IC!DE15</f>
        <v>1.7588112036278085</v>
      </c>
      <c r="DF15" s="13">
        <f>DE15+預測IC!DF15</f>
        <v>1.7164198972284137</v>
      </c>
      <c r="DG15" s="13">
        <f>DF15+預測IC!DG15</f>
        <v>1.7326166288466549</v>
      </c>
      <c r="DH15" s="13">
        <f>DG15+預測IC!DH15</f>
        <v>1.7139076178027628</v>
      </c>
      <c r="DI15" s="13">
        <f>DH15+預測IC!DI15</f>
        <v>1.7021891687933051</v>
      </c>
      <c r="DJ15" s="13">
        <f>DI15+預測IC!DJ15</f>
        <v>1.6503353156988982</v>
      </c>
      <c r="DK15" s="13">
        <f>DJ15+預測IC!DK15</f>
        <v>1.7521101497503662</v>
      </c>
      <c r="DL15" s="13">
        <f>DK15+預測IC!DL15</f>
        <v>1.8147456438388041</v>
      </c>
      <c r="DM15" s="13">
        <f>DL15+預測IC!DM15</f>
        <v>1.7909370969711353</v>
      </c>
      <c r="DN15" s="13">
        <f>DM15+預測IC!DN15</f>
        <v>1.8349335943947549</v>
      </c>
      <c r="DO15" s="13">
        <f>DN15+預測IC!DO15</f>
        <v>1.8812303216285557</v>
      </c>
      <c r="DP15" s="13">
        <f>DO15+預測IC!DP15</f>
        <v>1.9049659236354484</v>
      </c>
      <c r="DQ15" s="13">
        <f>DP15+預測IC!DQ15</f>
        <v>1.8099250161760199</v>
      </c>
      <c r="DR15" s="13">
        <f>DQ15+預測IC!DR15</f>
        <v>1.8799355827939583</v>
      </c>
      <c r="DS15" s="13">
        <f>DR15+預測IC!DS15</f>
        <v>1.8036936743821612</v>
      </c>
      <c r="DT15" s="13">
        <f>DS15+預測IC!DT15</f>
        <v>1.7315300426639981</v>
      </c>
      <c r="DU15" s="13">
        <f>DT15+預測IC!DU15</f>
        <v>1.6857593137123175</v>
      </c>
      <c r="DV15" s="13">
        <f>DU15+預測IC!DV15</f>
        <v>1.8255276706531889</v>
      </c>
      <c r="DW15" s="13">
        <f>DV15+預測IC!DW15</f>
        <v>1.8510662978000214</v>
      </c>
      <c r="DX15" s="13">
        <f>DW15+預測IC!DX15</f>
        <v>1.732450047150035</v>
      </c>
      <c r="DY15" s="13">
        <f>DX15+預測IC!DY15</f>
        <v>1.8389892137510446</v>
      </c>
      <c r="DZ15" s="13">
        <f>DY15+預測IC!DZ15</f>
        <v>1.8200689696816603</v>
      </c>
      <c r="EA15" s="13">
        <f>DZ15+預測IC!EA15</f>
        <v>1.8474076958915</v>
      </c>
      <c r="EB15" s="13">
        <f>EA15+預測IC!EB15</f>
        <v>1.895926269022745</v>
      </c>
      <c r="EC15" s="13">
        <f>EB15+預測IC!EC15</f>
        <v>1.9620081250706913</v>
      </c>
      <c r="ED15" s="13">
        <f>EC15+預測IC!ED15</f>
        <v>1.8486510691353799</v>
      </c>
      <c r="EE15" s="13">
        <f>ED15+預測IC!EE15</f>
        <v>1.8324056545992917</v>
      </c>
      <c r="EF15" s="13">
        <f>EE15+預測IC!EF15</f>
        <v>1.8981066457381339</v>
      </c>
    </row>
    <row r="16" spans="1:136">
      <c r="A16" s="2"/>
      <c r="B16" s="2" t="s">
        <v>188</v>
      </c>
      <c r="C16" s="13">
        <v>-2.7383644610379052E-2</v>
      </c>
      <c r="D16" s="13">
        <f>C16+預測IC!D16</f>
        <v>0.38081179983406532</v>
      </c>
      <c r="E16" s="13">
        <f>D16+預測IC!E16</f>
        <v>0.37798162322397993</v>
      </c>
      <c r="F16" s="13">
        <f>E16+預測IC!F16</f>
        <v>0.50224228989064668</v>
      </c>
      <c r="G16" s="13">
        <f>F16+預測IC!G16</f>
        <v>0.42854602476372283</v>
      </c>
      <c r="H16" s="13">
        <f>G16+預測IC!H16</f>
        <v>0.50139480254150059</v>
      </c>
      <c r="I16" s="13">
        <f>H16+預測IC!I16</f>
        <v>0.6131868025415006</v>
      </c>
      <c r="J16" s="13">
        <f>I16+預測IC!J16</f>
        <v>0.54449335809705612</v>
      </c>
      <c r="K16" s="13">
        <f>J16+預測IC!K16</f>
        <v>0.25982280787052403</v>
      </c>
      <c r="L16" s="13">
        <f>K16+預測IC!L16</f>
        <v>0.26970934245839284</v>
      </c>
      <c r="M16" s="13">
        <f>L16+預測IC!M16</f>
        <v>7.4833564680615056E-2</v>
      </c>
      <c r="N16" s="13">
        <f>M16+預測IC!N16</f>
        <v>0.44182145356950397</v>
      </c>
      <c r="O16" s="13">
        <f>N16+預測IC!O16</f>
        <v>0.45744256468061506</v>
      </c>
      <c r="P16" s="13">
        <f>O16+預測IC!P16</f>
        <v>0.51942234245839281</v>
      </c>
      <c r="Q16" s="13">
        <f>P16+預測IC!Q16</f>
        <v>0.61604223134728175</v>
      </c>
      <c r="R16" s="13">
        <f>Q16+預測IC!R16</f>
        <v>0.63522467579172626</v>
      </c>
      <c r="S16" s="13">
        <f>R16+預測IC!S16</f>
        <v>0.59280956468061519</v>
      </c>
      <c r="T16" s="13">
        <f>S16+預測IC!T16</f>
        <v>0.56958212023617072</v>
      </c>
      <c r="U16" s="13">
        <f>T16+預測IC!U16</f>
        <v>0.61823178690283742</v>
      </c>
      <c r="V16" s="13">
        <f>U16+預測IC!V16</f>
        <v>0.5139165646806152</v>
      </c>
      <c r="W16" s="13">
        <f>V16+預測IC!W16</f>
        <v>0.59229000912505969</v>
      </c>
      <c r="X16" s="13">
        <f>W16+預測IC!X16</f>
        <v>0.66596834245839309</v>
      </c>
      <c r="Y16" s="13">
        <f>X16+預測IC!Y16</f>
        <v>0.66167978690283757</v>
      </c>
      <c r="Z16" s="13">
        <f>Y16+預測IC!Z16</f>
        <v>0.64160400912505977</v>
      </c>
      <c r="AA16" s="13">
        <f>Z16+預測IC!AA16</f>
        <v>0.59811637328906764</v>
      </c>
      <c r="AB16" s="13">
        <f>AA16+預測IC!AB16</f>
        <v>0.52710037328906767</v>
      </c>
      <c r="AC16" s="13">
        <f>AB16+預測IC!AC16</f>
        <v>0.48606026217795656</v>
      </c>
      <c r="AD16" s="13">
        <f>AC16+預測IC!AD16</f>
        <v>0.48493823632888028</v>
      </c>
      <c r="AE16" s="13">
        <f>AD16+預測IC!AE16</f>
        <v>0.5364722363288803</v>
      </c>
      <c r="AF16" s="13">
        <f>AE16+預測IC!AF16</f>
        <v>0.47278639374729114</v>
      </c>
      <c r="AG16" s="13">
        <f>AF16+預測IC!AG16</f>
        <v>0.46448483819173558</v>
      </c>
      <c r="AH16" s="13">
        <f>AG16+預測IC!AH16</f>
        <v>0.49625023864117612</v>
      </c>
      <c r="AI16" s="13">
        <f>AH16+預測IC!AI16</f>
        <v>0.58677334975228723</v>
      </c>
      <c r="AJ16" s="13">
        <f>AI16+預測IC!AJ16</f>
        <v>0.5691433497522872</v>
      </c>
      <c r="AK16" s="13">
        <f>AJ16+預測IC!AK16</f>
        <v>0.56115701641895388</v>
      </c>
      <c r="AL16" s="13">
        <f>AK16+預測IC!AL16</f>
        <v>0.60984594952347715</v>
      </c>
      <c r="AM16" s="13">
        <f>AL16+預測IC!AM16</f>
        <v>0.67592268012527512</v>
      </c>
      <c r="AN16" s="13">
        <f>AM16+預測IC!AN16</f>
        <v>0.78237888021495072</v>
      </c>
      <c r="AO16" s="13">
        <f>AN16+預測IC!AO16</f>
        <v>0.84380355204086299</v>
      </c>
      <c r="AP16" s="13">
        <f>AO16+預測IC!AP16</f>
        <v>0.84904399648530748</v>
      </c>
      <c r="AQ16" s="13">
        <f>AP16+預測IC!AQ16</f>
        <v>0.81057779633923888</v>
      </c>
      <c r="AR16" s="13">
        <f>AQ16+預測IC!AR16</f>
        <v>0.91386897539973133</v>
      </c>
      <c r="AS16" s="13">
        <f>AR16+預測IC!AS16</f>
        <v>0.97893720087370073</v>
      </c>
      <c r="AT16" s="13">
        <f>AS16+預測IC!AT16</f>
        <v>1.0284843561920707</v>
      </c>
      <c r="AU16" s="13">
        <f>AT16+預測IC!AU16</f>
        <v>1.0703111944469659</v>
      </c>
      <c r="AV16" s="13">
        <f>AU16+預測IC!AV16</f>
        <v>1.0612386876669471</v>
      </c>
      <c r="AW16" s="13">
        <f>AV16+預測IC!AW16</f>
        <v>1.1004916177415978</v>
      </c>
      <c r="AX16" s="13">
        <f>AW16+預測IC!AX16</f>
        <v>1.0936360621860421</v>
      </c>
      <c r="AY16" s="13">
        <f>AX16+預測IC!AY16</f>
        <v>1.1274486520303881</v>
      </c>
      <c r="AZ16" s="13">
        <f>AY16+預測IC!AZ16</f>
        <v>1.0225390168516759</v>
      </c>
      <c r="BA16" s="13">
        <f>AZ16+預測IC!BA16</f>
        <v>1.0374621219092619</v>
      </c>
      <c r="BB16" s="13">
        <f>BA16+預測IC!BB16</f>
        <v>1.1455010460620001</v>
      </c>
      <c r="BC16" s="13">
        <f>BB16+預測IC!BC16</f>
        <v>1.2126225121696919</v>
      </c>
      <c r="BD16" s="13">
        <f>BC16+預測IC!BD16</f>
        <v>1.2485592237155958</v>
      </c>
      <c r="BE16" s="13">
        <f>BD16+預測IC!BE16</f>
        <v>1.2999702181100707</v>
      </c>
      <c r="BF16" s="13">
        <f>BE16+預測IC!BF16</f>
        <v>1.364238272429789</v>
      </c>
      <c r="BG16" s="13">
        <f>BF16+預測IC!BG16</f>
        <v>1.3777115544777456</v>
      </c>
      <c r="BH16" s="13">
        <f>BG16+預測IC!BH16</f>
        <v>1.3639359399937838</v>
      </c>
      <c r="BI16" s="13">
        <f>BH16+預測IC!BI16</f>
        <v>1.4053797477570458</v>
      </c>
      <c r="BJ16" s="13">
        <f>BI16+預測IC!BJ16</f>
        <v>1.3848759314738381</v>
      </c>
      <c r="BK16" s="13">
        <f>BJ16+預測IC!BK16</f>
        <v>1.3878479217690352</v>
      </c>
      <c r="BL16" s="13">
        <f>BK16+預測IC!BL16</f>
        <v>1.4584714874765583</v>
      </c>
      <c r="BM16" s="13">
        <f>BL16+預測IC!BM16</f>
        <v>1.5399953625185234</v>
      </c>
      <c r="BN16" s="13">
        <f>BM16+預測IC!BN16</f>
        <v>1.5879011951225506</v>
      </c>
      <c r="BO16" s="13">
        <f>BN16+預測IC!BO16</f>
        <v>1.6097915550762083</v>
      </c>
      <c r="BP16" s="13">
        <f>BO16+預測IC!BP16</f>
        <v>1.6306347386237889</v>
      </c>
      <c r="BQ16" s="13">
        <f>BP16+預測IC!BQ16</f>
        <v>1.6471127548787174</v>
      </c>
      <c r="BR16" s="13">
        <f>BQ16+預測IC!BR16</f>
        <v>1.6208159068572729</v>
      </c>
      <c r="BS16" s="13">
        <f>BR16+預測IC!BS16</f>
        <v>1.6076243337098088</v>
      </c>
      <c r="BT16" s="13">
        <f>BS16+預測IC!BT16</f>
        <v>1.6931075249776084</v>
      </c>
      <c r="BU16" s="13">
        <f>BT16+預測IC!BU16</f>
        <v>1.7508726351624089</v>
      </c>
      <c r="BV16" s="13">
        <f>BU16+預測IC!BV16</f>
        <v>1.8115838746092496</v>
      </c>
      <c r="BW16" s="13">
        <f>BV16+預測IC!BW16</f>
        <v>1.745842947182715</v>
      </c>
      <c r="BX16" s="13">
        <f>BW16+預測IC!BX16</f>
        <v>1.7774021847038459</v>
      </c>
      <c r="BY16" s="13">
        <f>BX16+預測IC!BY16</f>
        <v>1.7268384518566029</v>
      </c>
      <c r="BZ16" s="13">
        <f>BY16+預測IC!BZ16</f>
        <v>1.8383643003582522</v>
      </c>
      <c r="CA16" s="13">
        <f>BZ16+預測IC!CA16</f>
        <v>1.8657953003582521</v>
      </c>
      <c r="CB16" s="13">
        <f>CA16+預測IC!CB16</f>
        <v>1.8643672553690349</v>
      </c>
      <c r="CC16" s="13">
        <f>CB16+預測IC!CC16</f>
        <v>1.7052947408851005</v>
      </c>
      <c r="CD16" s="13">
        <f>CC16+預測IC!CD16</f>
        <v>1.8603660125114623</v>
      </c>
      <c r="CE16" s="13">
        <f>CD16+預測IC!CE16</f>
        <v>1.7277709517179509</v>
      </c>
      <c r="CF16" s="13">
        <f>CE16+預測IC!CF16</f>
        <v>1.832972215727702</v>
      </c>
      <c r="CG16" s="13">
        <f>CF16+預測IC!CG16</f>
        <v>1.8275936966963719</v>
      </c>
      <c r="CH16" s="13">
        <f>CG16+預測IC!CH16</f>
        <v>1.8692911113993991</v>
      </c>
      <c r="CI16" s="13">
        <f>CH16+預測IC!CI16</f>
        <v>1.8305812295708817</v>
      </c>
      <c r="CJ16" s="13">
        <f>CI16+預測IC!CJ16</f>
        <v>1.7850576787832151</v>
      </c>
      <c r="CK16" s="13">
        <f>CJ16+預測IC!CK16</f>
        <v>1.8615306625009054</v>
      </c>
      <c r="CL16" s="13">
        <f>CK16+預測IC!CL16</f>
        <v>1.8774093448356146</v>
      </c>
      <c r="CM16" s="13">
        <f>CL16+預測IC!CM16</f>
        <v>1.9663979729851262</v>
      </c>
      <c r="CN16" s="13">
        <f>CM16+預測IC!CN16</f>
        <v>1.9333404578441762</v>
      </c>
      <c r="CO16" s="13">
        <f>CN16+預測IC!CO16</f>
        <v>1.7508885033043469</v>
      </c>
      <c r="CP16" s="13">
        <f>CO16+預測IC!CP16</f>
        <v>1.8875201927864382</v>
      </c>
      <c r="CQ16" s="13">
        <f>CP16+預測IC!CQ16</f>
        <v>1.9289557984458487</v>
      </c>
      <c r="CR16" s="13">
        <f>CQ16+預測IC!CR16</f>
        <v>1.9772555651291652</v>
      </c>
      <c r="CS16" s="13">
        <f>CR16+預測IC!CS16</f>
        <v>2.043814725003239</v>
      </c>
      <c r="CT16" s="13">
        <f>CS16+預測IC!CT16</f>
        <v>2.0488821315040799</v>
      </c>
      <c r="CU16" s="13">
        <f>CT16+預測IC!CU16</f>
        <v>1.9854474771451052</v>
      </c>
      <c r="CV16" s="13">
        <f>CU16+預測IC!CV16</f>
        <v>1.9686963930643844</v>
      </c>
      <c r="CW16" s="13">
        <f>CV16+預測IC!CW16</f>
        <v>1.9595022335317627</v>
      </c>
      <c r="CX16" s="13">
        <f>CW16+預測IC!CX16</f>
        <v>1.9717425182860127</v>
      </c>
      <c r="CY16" s="13">
        <f>CX16+預測IC!CY16</f>
        <v>1.9226254691693871</v>
      </c>
      <c r="CZ16" s="13">
        <f>CY16+預測IC!CZ16</f>
        <v>2.0252587283475196</v>
      </c>
      <c r="DA16" s="13">
        <f>CZ16+預測IC!DA16</f>
        <v>1.9954539343802842</v>
      </c>
      <c r="DB16" s="13">
        <f>DA16+預測IC!DB16</f>
        <v>1.9527417646000582</v>
      </c>
      <c r="DC16" s="13">
        <f>DB16+預測IC!DC16</f>
        <v>1.9956841269205585</v>
      </c>
      <c r="DD16" s="13">
        <f>DC16+預測IC!DD16</f>
        <v>1.9256131918632009</v>
      </c>
      <c r="DE16" s="13">
        <f>DD16+預測IC!DE16</f>
        <v>1.9600575642044298</v>
      </c>
      <c r="DF16" s="13">
        <f>DE16+預測IC!DF16</f>
        <v>1.9369111309788707</v>
      </c>
      <c r="DG16" s="13">
        <f>DF16+預測IC!DG16</f>
        <v>1.9513640786103092</v>
      </c>
      <c r="DH16" s="13">
        <f>DG16+預測IC!DH16</f>
        <v>1.9322347351923381</v>
      </c>
      <c r="DI16" s="13">
        <f>DH16+預測IC!DI16</f>
        <v>1.919001309479816</v>
      </c>
      <c r="DJ16" s="13">
        <f>DI16+預測IC!DJ16</f>
        <v>1.8898599033991863</v>
      </c>
      <c r="DK16" s="13">
        <f>DJ16+預測IC!DK16</f>
        <v>2.0234542600247671</v>
      </c>
      <c r="DL16" s="13">
        <f>DK16+預測IC!DL16</f>
        <v>2.0885672961534119</v>
      </c>
      <c r="DM16" s="13">
        <f>DL16+預測IC!DM16</f>
        <v>2.0582363463950708</v>
      </c>
      <c r="DN16" s="13">
        <f>DM16+預測IC!DN16</f>
        <v>2.100674199754478</v>
      </c>
      <c r="DO16" s="13">
        <f>DN16+預測IC!DO16</f>
        <v>2.1538961073106218</v>
      </c>
      <c r="DP16" s="13">
        <f>DO16+預測IC!DP16</f>
        <v>2.1737380558898476</v>
      </c>
      <c r="DQ16" s="13">
        <f>DP16+預測IC!DQ16</f>
        <v>2.0907043978128312</v>
      </c>
      <c r="DR16" s="13">
        <f>DQ16+預測IC!DR16</f>
        <v>2.1458956494623465</v>
      </c>
      <c r="DS16" s="13">
        <f>DR16+預測IC!DS16</f>
        <v>2.0521435844725922</v>
      </c>
      <c r="DT16" s="13">
        <f>DS16+預測IC!DT16</f>
        <v>1.9516094566481266</v>
      </c>
      <c r="DU16" s="13">
        <f>DT16+預測IC!DU16</f>
        <v>1.8871357228785879</v>
      </c>
      <c r="DV16" s="13">
        <f>DU16+預測IC!DV16</f>
        <v>2.0240894548963815</v>
      </c>
      <c r="DW16" s="13">
        <f>DV16+預測IC!DW16</f>
        <v>2.0650071845960722</v>
      </c>
      <c r="DX16" s="13">
        <f>DW16+預測IC!DX16</f>
        <v>1.9397224782720948</v>
      </c>
      <c r="DY16" s="13">
        <f>DX16+預測IC!DY16</f>
        <v>2.0560768131824378</v>
      </c>
      <c r="DZ16" s="13">
        <f>DY16+預測IC!DZ16</f>
        <v>2.0247997333577614</v>
      </c>
      <c r="EA16" s="13">
        <f>DZ16+預測IC!EA16</f>
        <v>2.0714611049134883</v>
      </c>
      <c r="EB16" s="13">
        <f>EA16+預測IC!EB16</f>
        <v>2.1500717436566217</v>
      </c>
      <c r="EC16" s="13">
        <f>EB16+預測IC!EC16</f>
        <v>2.2136038102911915</v>
      </c>
      <c r="ED16" s="13">
        <f>EC16+預測IC!ED16</f>
        <v>2.0981870627922703</v>
      </c>
      <c r="EE16" s="13">
        <f>ED16+預測IC!EE16</f>
        <v>2.0750963512676588</v>
      </c>
      <c r="EF16" s="13">
        <f>EE16+預測IC!EF16</f>
        <v>2.1175707527615661</v>
      </c>
    </row>
    <row r="17" spans="1:136">
      <c r="A17" s="2"/>
      <c r="B17" s="2" t="s">
        <v>189</v>
      </c>
      <c r="C17" s="13">
        <v>-4.1028984252961823E-2</v>
      </c>
      <c r="D17" s="13">
        <f>C17+預測IC!D17</f>
        <v>0.39855939074703817</v>
      </c>
      <c r="E17" s="13">
        <f>D17+預測IC!E17</f>
        <v>0.40593839224233952</v>
      </c>
      <c r="F17" s="13">
        <f>E17+預測IC!F17</f>
        <v>0.55271039224233953</v>
      </c>
      <c r="G17" s="13">
        <f>F17+預測IC!G17</f>
        <v>0.48148762536415779</v>
      </c>
      <c r="H17" s="13">
        <f>G17+預測IC!H17</f>
        <v>0.58648237536415782</v>
      </c>
      <c r="I17" s="13">
        <f>H17+預測IC!I17</f>
        <v>0.65397162536415787</v>
      </c>
      <c r="J17" s="13">
        <f>I17+預測IC!J17</f>
        <v>0.53867325036415792</v>
      </c>
      <c r="K17" s="13">
        <f>J17+預測IC!K17</f>
        <v>0.24184669926359553</v>
      </c>
      <c r="L17" s="13">
        <f>K17+預測IC!L17</f>
        <v>0.25155758877175355</v>
      </c>
      <c r="M17" s="13">
        <f>L17+預測IC!M17</f>
        <v>2.4617713771753535E-2</v>
      </c>
      <c r="N17" s="13">
        <f>M17+預測IC!N17</f>
        <v>0.42972596377175354</v>
      </c>
      <c r="O17" s="13">
        <f>N17+預測IC!O17</f>
        <v>0.45435808877175354</v>
      </c>
      <c r="P17" s="13">
        <f>O17+預測IC!P17</f>
        <v>0.53127371377175359</v>
      </c>
      <c r="Q17" s="13">
        <f>P17+預測IC!Q17</f>
        <v>0.63770608877175361</v>
      </c>
      <c r="R17" s="13">
        <f>Q17+預測IC!R17</f>
        <v>0.63968108877175367</v>
      </c>
      <c r="S17" s="13">
        <f>R17+預測IC!S17</f>
        <v>0.58454933877175363</v>
      </c>
      <c r="T17" s="13">
        <f>S17+預測IC!T17</f>
        <v>0.56104096377175361</v>
      </c>
      <c r="U17" s="13">
        <f>T17+預測IC!U17</f>
        <v>0.61332933877175366</v>
      </c>
      <c r="V17" s="13">
        <f>U17+預測IC!V17</f>
        <v>0.49697421377175366</v>
      </c>
      <c r="W17" s="13">
        <f>V17+預測IC!W17</f>
        <v>0.57611633877175361</v>
      </c>
      <c r="X17" s="13">
        <f>W17+預測IC!X17</f>
        <v>0.67630271377175366</v>
      </c>
      <c r="Y17" s="13">
        <f>X17+預測IC!Y17</f>
        <v>0.67780183877175371</v>
      </c>
      <c r="Z17" s="13">
        <f>Y17+預測IC!Z17</f>
        <v>0.65619333877175368</v>
      </c>
      <c r="AA17" s="13">
        <f>Z17+預測IC!AA17</f>
        <v>0.62098354918955456</v>
      </c>
      <c r="AB17" s="13">
        <f>AA17+預測IC!AB17</f>
        <v>0.56264917418955451</v>
      </c>
      <c r="AC17" s="13">
        <f>AB17+預測IC!AC17</f>
        <v>0.52185004918955447</v>
      </c>
      <c r="AD17" s="13">
        <f>AC17+預測IC!AD17</f>
        <v>0.49993720501591388</v>
      </c>
      <c r="AE17" s="13">
        <f>AD17+預測IC!AE17</f>
        <v>0.55938045501591382</v>
      </c>
      <c r="AF17" s="13">
        <f>AE17+預測IC!AF17</f>
        <v>0.49795114489397369</v>
      </c>
      <c r="AG17" s="13">
        <f>AF17+預測IC!AG17</f>
        <v>0.49659989489397371</v>
      </c>
      <c r="AH17" s="13">
        <f>AG17+預測IC!AH17</f>
        <v>0.53207251406686251</v>
      </c>
      <c r="AI17" s="13">
        <f>AH17+預測IC!AI17</f>
        <v>0.64693763906686252</v>
      </c>
      <c r="AJ17" s="13">
        <f>AI17+預測IC!AJ17</f>
        <v>0.62472938906686248</v>
      </c>
      <c r="AK17" s="13">
        <f>AJ17+預測IC!AK17</f>
        <v>0.6114047640668625</v>
      </c>
      <c r="AL17" s="13">
        <f>AK17+預測IC!AL17</f>
        <v>0.66212916981541903</v>
      </c>
      <c r="AM17" s="13">
        <f>AL17+預測IC!AM17</f>
        <v>0.73749853740307603</v>
      </c>
      <c r="AN17" s="13">
        <f>AM17+預測IC!AN17</f>
        <v>0.85078565774899373</v>
      </c>
      <c r="AO17" s="13">
        <f>AN17+預測IC!AO17</f>
        <v>0.86341799234471794</v>
      </c>
      <c r="AP17" s="13">
        <f>AO17+預測IC!AP17</f>
        <v>0.86717724234471794</v>
      </c>
      <c r="AQ17" s="13">
        <f>AP17+預測IC!AQ17</f>
        <v>0.80665010494321887</v>
      </c>
      <c r="AR17" s="13">
        <f>AQ17+預測IC!AR17</f>
        <v>0.92058081483803611</v>
      </c>
      <c r="AS17" s="13">
        <f>AR17+預測IC!AS17</f>
        <v>0.97690437687251186</v>
      </c>
      <c r="AT17" s="13">
        <f>AS17+預測IC!AT17</f>
        <v>1.029172183322234</v>
      </c>
      <c r="AU17" s="13">
        <f>AT17+預測IC!AU17</f>
        <v>1.0837276906089217</v>
      </c>
      <c r="AV17" s="13">
        <f>AU17+預測IC!AV17</f>
        <v>1.0625217878266533</v>
      </c>
      <c r="AW17" s="13">
        <f>AV17+預測IC!AW17</f>
        <v>1.07094367586849</v>
      </c>
      <c r="AX17" s="13">
        <f>AW17+預測IC!AX17</f>
        <v>1.0815360508684901</v>
      </c>
      <c r="AY17" s="13">
        <f>AX17+預測IC!AY17</f>
        <v>1.1089597475590911</v>
      </c>
      <c r="AZ17" s="13">
        <f>AY17+預測IC!AZ17</f>
        <v>0.98380214529889998</v>
      </c>
      <c r="BA17" s="13">
        <f>AZ17+預測IC!BA17</f>
        <v>0.99362732440601298</v>
      </c>
      <c r="BB17" s="13">
        <f>BA17+預測IC!BB17</f>
        <v>1.1173913875198573</v>
      </c>
      <c r="BC17" s="13">
        <f>BB17+預測IC!BC17</f>
        <v>1.201254582697671</v>
      </c>
      <c r="BD17" s="13">
        <f>BC17+預測IC!BD17</f>
        <v>1.2236110649438758</v>
      </c>
      <c r="BE17" s="13">
        <f>BD17+預測IC!BE17</f>
        <v>1.3009613071819361</v>
      </c>
      <c r="BF17" s="13">
        <f>BE17+預測IC!BF17</f>
        <v>1.3561588037908898</v>
      </c>
      <c r="BG17" s="13">
        <f>BF17+預測IC!BG17</f>
        <v>1.3207645677028526</v>
      </c>
      <c r="BH17" s="13">
        <f>BG17+預測IC!BH17</f>
        <v>1.3342840285546056</v>
      </c>
      <c r="BI17" s="13">
        <f>BH17+預測IC!BI17</f>
        <v>1.4213959739945528</v>
      </c>
      <c r="BJ17" s="13">
        <f>BI17+預測IC!BJ17</f>
        <v>1.4115379097213163</v>
      </c>
      <c r="BK17" s="13">
        <f>BJ17+預測IC!BK17</f>
        <v>1.3977149576512109</v>
      </c>
      <c r="BL17" s="13">
        <f>BK17+預測IC!BL17</f>
        <v>1.475197924451157</v>
      </c>
      <c r="BM17" s="13">
        <f>BL17+預測IC!BM17</f>
        <v>1.5511956948970169</v>
      </c>
      <c r="BN17" s="13">
        <f>BM17+預測IC!BN17</f>
        <v>1.5981112204908949</v>
      </c>
      <c r="BO17" s="13">
        <f>BN17+預測IC!BO17</f>
        <v>1.6332908359076186</v>
      </c>
      <c r="BP17" s="13">
        <f>BO17+預測IC!BP17</f>
        <v>1.6692868155620995</v>
      </c>
      <c r="BQ17" s="13">
        <f>BP17+預測IC!BQ17</f>
        <v>1.6806633260085511</v>
      </c>
      <c r="BR17" s="13">
        <f>BQ17+預測IC!BR17</f>
        <v>1.6710169508838011</v>
      </c>
      <c r="BS17" s="13">
        <f>BR17+預測IC!BS17</f>
        <v>1.6669134817731945</v>
      </c>
      <c r="BT17" s="13">
        <f>BS17+預測IC!BT17</f>
        <v>1.7763298606436178</v>
      </c>
      <c r="BU17" s="13">
        <f>BT17+預測IC!BU17</f>
        <v>1.8474576793943702</v>
      </c>
      <c r="BV17" s="13">
        <f>BU17+預測IC!BV17</f>
        <v>1.9176679824139986</v>
      </c>
      <c r="BW17" s="13">
        <f>BV17+預測IC!BW17</f>
        <v>1.8372362698147326</v>
      </c>
      <c r="BX17" s="13">
        <f>BW17+預測IC!BX17</f>
        <v>1.8660592344344054</v>
      </c>
      <c r="BY17" s="13">
        <f>BX17+預測IC!BY17</f>
        <v>1.781813766805711</v>
      </c>
      <c r="BZ17" s="13">
        <f>BY17+預測IC!BZ17</f>
        <v>1.9023919226867962</v>
      </c>
      <c r="CA17" s="13">
        <f>BZ17+預測IC!CA17</f>
        <v>1.9295880476867961</v>
      </c>
      <c r="CB17" s="13">
        <f>CA17+預測IC!CB17</f>
        <v>1.9191103401948035</v>
      </c>
      <c r="CC17" s="13">
        <f>CB17+預測IC!CC17</f>
        <v>1.7441523662051226</v>
      </c>
      <c r="CD17" s="13">
        <f>CC17+預測IC!CD17</f>
        <v>1.9171121074242712</v>
      </c>
      <c r="CE17" s="13">
        <f>CD17+預測IC!CE17</f>
        <v>1.7419958619182196</v>
      </c>
      <c r="CF17" s="13">
        <f>CE17+預測IC!CF17</f>
        <v>1.8407420593444181</v>
      </c>
      <c r="CG17" s="13">
        <f>CF17+預測IC!CG17</f>
        <v>1.825214954269341</v>
      </c>
      <c r="CH17" s="13">
        <f>CG17+預測IC!CH17</f>
        <v>1.8838514008763909</v>
      </c>
      <c r="CI17" s="13">
        <f>CH17+預測IC!CI17</f>
        <v>1.8693202158868023</v>
      </c>
      <c r="CJ17" s="13">
        <f>CI17+預測IC!CJ17</f>
        <v>1.8185778944023603</v>
      </c>
      <c r="CK17" s="13">
        <f>CJ17+預測IC!CK17</f>
        <v>1.9103164670602732</v>
      </c>
      <c r="CL17" s="13">
        <f>CK17+預測IC!CL17</f>
        <v>1.900890122291242</v>
      </c>
      <c r="CM17" s="13">
        <f>CL17+預測IC!CM17</f>
        <v>2.0354594667228163</v>
      </c>
      <c r="CN17" s="13">
        <f>CM17+預測IC!CN17</f>
        <v>2.0087414055718291</v>
      </c>
      <c r="CO17" s="13">
        <f>CN17+預測IC!CO17</f>
        <v>1.8062027783088397</v>
      </c>
      <c r="CP17" s="13">
        <f>CO17+預測IC!CP17</f>
        <v>1.9543620475061834</v>
      </c>
      <c r="CQ17" s="13">
        <f>CP17+預測IC!CQ17</f>
        <v>1.9954499806895867</v>
      </c>
      <c r="CR17" s="13">
        <f>CQ17+預測IC!CR17</f>
        <v>2.0461264713918097</v>
      </c>
      <c r="CS17" s="13">
        <f>CR17+預測IC!CS17</f>
        <v>2.1429681026913796</v>
      </c>
      <c r="CT17" s="13">
        <f>CS17+預測IC!CT17</f>
        <v>2.1922281590805728</v>
      </c>
      <c r="CU17" s="13">
        <f>CT17+預測IC!CU17</f>
        <v>2.1178198514973188</v>
      </c>
      <c r="CV17" s="13">
        <f>CU17+預測IC!CV17</f>
        <v>2.121699459437246</v>
      </c>
      <c r="CW17" s="13">
        <f>CV17+預測IC!CW17</f>
        <v>2.1019376055278931</v>
      </c>
      <c r="CX17" s="13">
        <f>CW17+預測IC!CX17</f>
        <v>2.1127100000518411</v>
      </c>
      <c r="CY17" s="13">
        <f>CX17+預測IC!CY17</f>
        <v>2.0633267013357512</v>
      </c>
      <c r="CZ17" s="13">
        <f>CY17+預測IC!CZ17</f>
        <v>2.1875755391833716</v>
      </c>
      <c r="DA17" s="13">
        <f>CZ17+預測IC!DA17</f>
        <v>2.1436796800382374</v>
      </c>
      <c r="DB17" s="13">
        <f>DA17+預測IC!DB17</f>
        <v>2.1087966692457694</v>
      </c>
      <c r="DC17" s="13">
        <f>DB17+預測IC!DC17</f>
        <v>2.1521601382232687</v>
      </c>
      <c r="DD17" s="13">
        <f>DC17+預測IC!DD17</f>
        <v>2.0670262051391148</v>
      </c>
      <c r="DE17" s="13">
        <f>DD17+預測IC!DE17</f>
        <v>2.1107496209224181</v>
      </c>
      <c r="DF17" s="13">
        <f>DE17+預測IC!DF17</f>
        <v>2.099518250595759</v>
      </c>
      <c r="DG17" s="13">
        <f>DF17+預測IC!DG17</f>
        <v>2.0976789686668504</v>
      </c>
      <c r="DH17" s="13">
        <f>DG17+預測IC!DH17</f>
        <v>2.0589523177288376</v>
      </c>
      <c r="DI17" s="13">
        <f>DH17+預測IC!DI17</f>
        <v>2.053659073405055</v>
      </c>
      <c r="DJ17" s="13">
        <f>DI17+預測IC!DJ17</f>
        <v>2.0083229158642353</v>
      </c>
      <c r="DK17" s="13">
        <f>DJ17+預測IC!DK17</f>
        <v>2.1643593439807813</v>
      </c>
      <c r="DL17" s="13">
        <f>DK17+預測IC!DL17</f>
        <v>2.2378749449179525</v>
      </c>
      <c r="DM17" s="13">
        <f>DL17+預測IC!DM17</f>
        <v>2.1856220343356365</v>
      </c>
      <c r="DN17" s="13">
        <f>DM17+預測IC!DN17</f>
        <v>2.2211110670499754</v>
      </c>
      <c r="DO17" s="13">
        <f>DN17+預測IC!DO17</f>
        <v>2.274562437389879</v>
      </c>
      <c r="DP17" s="13">
        <f>DO17+預測IC!DP17</f>
        <v>2.2580439291332555</v>
      </c>
      <c r="DQ17" s="13">
        <f>DP17+預測IC!DQ17</f>
        <v>2.1503414603366249</v>
      </c>
      <c r="DR17" s="13">
        <f>DQ17+預測IC!DR17</f>
        <v>2.2062262752129533</v>
      </c>
      <c r="DS17" s="13">
        <f>DR17+預測IC!DS17</f>
        <v>2.0819101154081423</v>
      </c>
      <c r="DT17" s="13">
        <f>DS17+預測IC!DT17</f>
        <v>1.9887711657229907</v>
      </c>
      <c r="DU17" s="13">
        <f>DT17+預測IC!DU17</f>
        <v>1.9170404596724855</v>
      </c>
      <c r="DV17" s="13">
        <f>DU17+預測IC!DV17</f>
        <v>2.0348058577834398</v>
      </c>
      <c r="DW17" s="13">
        <f>DV17+預測IC!DW17</f>
        <v>2.08348734119759</v>
      </c>
      <c r="DX17" s="13">
        <f>DW17+預測IC!DX17</f>
        <v>1.9539483586011159</v>
      </c>
      <c r="DY17" s="13">
        <f>DX17+預測IC!DY17</f>
        <v>2.0660868134071899</v>
      </c>
      <c r="DZ17" s="13">
        <f>DY17+預測IC!DZ17</f>
        <v>2.0342586408074039</v>
      </c>
      <c r="EA17" s="13">
        <f>DZ17+預測IC!EA17</f>
        <v>2.0460765646731165</v>
      </c>
      <c r="EB17" s="13">
        <f>EA17+預測IC!EB17</f>
        <v>2.1331769138678558</v>
      </c>
      <c r="EC17" s="13">
        <f>EB17+預測IC!EC17</f>
        <v>2.1496021310839164</v>
      </c>
      <c r="ED17" s="13">
        <f>EC17+預測IC!ED17</f>
        <v>2.0212776871550036</v>
      </c>
      <c r="EE17" s="13">
        <f>ED17+預測IC!EE17</f>
        <v>1.9958643268449696</v>
      </c>
      <c r="EF17" s="13">
        <f>EE17+預測IC!EF17</f>
        <v>2.0435740938548212</v>
      </c>
    </row>
    <row r="18" spans="1:136">
      <c r="A18" s="2"/>
      <c r="B18" s="2" t="s">
        <v>190</v>
      </c>
      <c r="C18" s="13">
        <v>-5.3942228163147227E-2</v>
      </c>
      <c r="D18" s="13">
        <f>C18+預測IC!D18</f>
        <v>0.34794177183685282</v>
      </c>
      <c r="E18" s="13">
        <f>D18+預測IC!E18</f>
        <v>0.28894111473864503</v>
      </c>
      <c r="F18" s="13">
        <f>E18+預測IC!F18</f>
        <v>0.50103197188150217</v>
      </c>
      <c r="G18" s="13">
        <f>F18+預測IC!G18</f>
        <v>0.42023772486064231</v>
      </c>
      <c r="H18" s="13">
        <f>G18+預測IC!H18</f>
        <v>0.54877772486064225</v>
      </c>
      <c r="I18" s="13">
        <f>H18+預測IC!I18</f>
        <v>0.60373029628921371</v>
      </c>
      <c r="J18" s="13">
        <f>I18+預測IC!J18</f>
        <v>0.47856943914635652</v>
      </c>
      <c r="K18" s="13">
        <f>J18+預測IC!K18</f>
        <v>0.1198873406384568</v>
      </c>
      <c r="L18" s="13">
        <f>K18+預測IC!L18</f>
        <v>0.13286982748543841</v>
      </c>
      <c r="M18" s="13">
        <f>L18+預測IC!M18</f>
        <v>-0.1206430296574188</v>
      </c>
      <c r="N18" s="13">
        <f>M18+預測IC!N18</f>
        <v>0.34117739891400978</v>
      </c>
      <c r="O18" s="13">
        <f>N18+預測IC!O18</f>
        <v>0.36550154177115263</v>
      </c>
      <c r="P18" s="13">
        <f>O18+預測IC!P18</f>
        <v>0.4200712560568669</v>
      </c>
      <c r="Q18" s="13">
        <f>P18+預測IC!Q18</f>
        <v>0.54180997034258116</v>
      </c>
      <c r="R18" s="13">
        <f>Q18+預測IC!R18</f>
        <v>0.56113654177115257</v>
      </c>
      <c r="S18" s="13">
        <f>R18+預測IC!S18</f>
        <v>0.49212325605686685</v>
      </c>
      <c r="T18" s="13">
        <f>S18+預測IC!T18</f>
        <v>0.48709368462829544</v>
      </c>
      <c r="U18" s="13">
        <f>T18+預測IC!U18</f>
        <v>0.51522725605686692</v>
      </c>
      <c r="V18" s="13">
        <f>U18+預測IC!V18</f>
        <v>0.38397425605686691</v>
      </c>
      <c r="W18" s="13">
        <f>V18+預測IC!W18</f>
        <v>0.46127125605686692</v>
      </c>
      <c r="X18" s="13">
        <f>W18+預測IC!X18</f>
        <v>0.58839454177115258</v>
      </c>
      <c r="Y18" s="13">
        <f>X18+預測IC!Y18</f>
        <v>0.6126063989140097</v>
      </c>
      <c r="Z18" s="13">
        <f>Y18+預測IC!Z18</f>
        <v>0.59570082748543829</v>
      </c>
      <c r="AA18" s="13">
        <f>Z18+預測IC!AA18</f>
        <v>0.55399558230271417</v>
      </c>
      <c r="AB18" s="13">
        <f>AA18+預測IC!AB18</f>
        <v>0.49228158230271418</v>
      </c>
      <c r="AC18" s="13">
        <f>AB18+預測IC!AC18</f>
        <v>0.41756172515985701</v>
      </c>
      <c r="AD18" s="13">
        <f>AC18+預測IC!AD18</f>
        <v>0.3909661347807768</v>
      </c>
      <c r="AE18" s="13">
        <f>AD18+預測IC!AE18</f>
        <v>0.46816713478077676</v>
      </c>
      <c r="AF18" s="13">
        <f>AE18+預測IC!AF18</f>
        <v>0.43629371662015115</v>
      </c>
      <c r="AG18" s="13">
        <f>AF18+預測IC!AG18</f>
        <v>0.42767585947729403</v>
      </c>
      <c r="AH18" s="13">
        <f>AG18+預測IC!AH18</f>
        <v>0.46787332044580876</v>
      </c>
      <c r="AI18" s="13">
        <f>AH18+預測IC!AI18</f>
        <v>0.58595974901723735</v>
      </c>
      <c r="AJ18" s="13">
        <f>AI18+預測IC!AJ18</f>
        <v>0.57863160616009446</v>
      </c>
      <c r="AK18" s="13">
        <f>AJ18+預測IC!AK18</f>
        <v>0.6059228918743802</v>
      </c>
      <c r="AL18" s="13">
        <f>AK18+預測IC!AL18</f>
        <v>0.65345065550663795</v>
      </c>
      <c r="AM18" s="13">
        <f>AL18+預測IC!AM18</f>
        <v>0.72009406093140915</v>
      </c>
      <c r="AN18" s="13">
        <f>AM18+預測IC!AN18</f>
        <v>0.79938870088661096</v>
      </c>
      <c r="AO18" s="13">
        <f>AN18+預測IC!AO18</f>
        <v>0.80481623585430373</v>
      </c>
      <c r="AP18" s="13">
        <f>AO18+預測IC!AP18</f>
        <v>0.80683195014001796</v>
      </c>
      <c r="AQ18" s="13">
        <f>AP18+預測IC!AQ18</f>
        <v>0.73060110481356799</v>
      </c>
      <c r="AR18" s="13">
        <f>AQ18+預測IC!AR18</f>
        <v>0.85514661117651225</v>
      </c>
      <c r="AS18" s="13">
        <f>AR18+預測IC!AS18</f>
        <v>0.94097316273048137</v>
      </c>
      <c r="AT18" s="13">
        <f>AS18+預測IC!AT18</f>
        <v>0.98429881255106011</v>
      </c>
      <c r="AU18" s="13">
        <f>AT18+預測IC!AU18</f>
        <v>1.0488744566306516</v>
      </c>
      <c r="AV18" s="13">
        <f>AU18+預測IC!AV18</f>
        <v>1.0201057007489345</v>
      </c>
      <c r="AW18" s="13">
        <f>AV18+預測IC!AW18</f>
        <v>1.0446437349900419</v>
      </c>
      <c r="AX18" s="13">
        <f>AW18+預測IC!AX18</f>
        <v>1.0782480207043277</v>
      </c>
      <c r="AY18" s="13">
        <f>AX18+預測IC!AY18</f>
        <v>1.1130312993454758</v>
      </c>
      <c r="AZ18" s="13">
        <f>AY18+預測IC!AZ18</f>
        <v>0.96462221695657679</v>
      </c>
      <c r="BA18" s="13">
        <f>AZ18+預測IC!BA18</f>
        <v>0.96525452788126231</v>
      </c>
      <c r="BB18" s="13">
        <f>BA18+預測IC!BB18</f>
        <v>1.1029105700385995</v>
      </c>
      <c r="BC18" s="13">
        <f>BB18+預測IC!BC18</f>
        <v>1.1861121426319201</v>
      </c>
      <c r="BD18" s="13">
        <f>BC18+預測IC!BD18</f>
        <v>1.1620958709446196</v>
      </c>
      <c r="BE18" s="13">
        <f>BD18+預測IC!BE18</f>
        <v>1.2304570841827824</v>
      </c>
      <c r="BF18" s="13">
        <f>BE18+預測IC!BF18</f>
        <v>1.2763416204823612</v>
      </c>
      <c r="BG18" s="13">
        <f>BF18+預測IC!BG18</f>
        <v>1.259535379256157</v>
      </c>
      <c r="BH18" s="13">
        <f>BG18+預測IC!BH18</f>
        <v>1.2800392323199625</v>
      </c>
      <c r="BI18" s="13">
        <f>BH18+預測IC!BI18</f>
        <v>1.3890392392386282</v>
      </c>
      <c r="BJ18" s="13">
        <f>BI18+預測IC!BJ18</f>
        <v>1.3949953032890876</v>
      </c>
      <c r="BK18" s="13">
        <f>BJ18+預測IC!BK18</f>
        <v>1.3369920591188851</v>
      </c>
      <c r="BL18" s="13">
        <f>BK18+預測IC!BL18</f>
        <v>1.4181497329390891</v>
      </c>
      <c r="BM18" s="13">
        <f>BL18+預測IC!BM18</f>
        <v>1.5209236720025288</v>
      </c>
      <c r="BN18" s="13">
        <f>BM18+預測IC!BN18</f>
        <v>1.5736980616263589</v>
      </c>
      <c r="BO18" s="13">
        <f>BN18+預測IC!BO18</f>
        <v>1.5939255577327336</v>
      </c>
      <c r="BP18" s="13">
        <f>BO18+預測IC!BP18</f>
        <v>1.6407830980674156</v>
      </c>
      <c r="BQ18" s="13">
        <f>BP18+預測IC!BQ18</f>
        <v>1.6426998821772647</v>
      </c>
      <c r="BR18" s="13">
        <f>BQ18+預測IC!BR18</f>
        <v>1.63695168859331</v>
      </c>
      <c r="BS18" s="13">
        <f>BR18+預測IC!BS18</f>
        <v>1.6329680634961907</v>
      </c>
      <c r="BT18" s="13">
        <f>BS18+預測IC!BT18</f>
        <v>1.7482048115320774</v>
      </c>
      <c r="BU18" s="13">
        <f>BT18+預測IC!BU18</f>
        <v>1.8288822555721183</v>
      </c>
      <c r="BV18" s="13">
        <f>BU18+預測IC!BV18</f>
        <v>1.9098056508491605</v>
      </c>
      <c r="BW18" s="13">
        <f>BV18+預測IC!BW18</f>
        <v>1.8244945639159651</v>
      </c>
      <c r="BX18" s="13">
        <f>BW18+預測IC!BX18</f>
        <v>1.8435130386320007</v>
      </c>
      <c r="BY18" s="13">
        <f>BX18+預測IC!BY18</f>
        <v>1.7204380628079758</v>
      </c>
      <c r="BZ18" s="13">
        <f>BY18+預測IC!BZ18</f>
        <v>1.873758050610574</v>
      </c>
      <c r="CA18" s="13">
        <f>BZ18+預測IC!CA18</f>
        <v>1.9070439077534311</v>
      </c>
      <c r="CB18" s="13">
        <f>CA18+預測IC!CB18</f>
        <v>1.8824665511409828</v>
      </c>
      <c r="CC18" s="13">
        <f>CB18+預測IC!CC18</f>
        <v>1.8542931071215827</v>
      </c>
      <c r="CD18" s="13">
        <f>CC18+預測IC!CD18</f>
        <v>2.0480099257684135</v>
      </c>
      <c r="CE18" s="13">
        <f>CD18+預測IC!CE18</f>
        <v>1.8700835694595361</v>
      </c>
      <c r="CF18" s="13">
        <f>CE18+預測IC!CF18</f>
        <v>1.9419011611599102</v>
      </c>
      <c r="CG18" s="13">
        <f>CF18+預測IC!CG18</f>
        <v>1.9390998022204946</v>
      </c>
      <c r="CH18" s="13">
        <f>CG18+預測IC!CH18</f>
        <v>2.1017568489077276</v>
      </c>
      <c r="CI18" s="13">
        <f>CH18+預測IC!CI18</f>
        <v>2.0628877090300382</v>
      </c>
      <c r="CJ18" s="13">
        <f>CI18+預測IC!CJ18</f>
        <v>2.0005740312051286</v>
      </c>
      <c r="CK18" s="13">
        <f>CJ18+預測IC!CK18</f>
        <v>2.0912418154974124</v>
      </c>
      <c r="CL18" s="13">
        <f>CK18+預測IC!CL18</f>
        <v>2.0602522704392192</v>
      </c>
      <c r="CM18" s="13">
        <f>CL18+預測IC!CM18</f>
        <v>2.2039008136036129</v>
      </c>
      <c r="CN18" s="13">
        <f>CM18+預測IC!CN18</f>
        <v>2.1688145596254365</v>
      </c>
      <c r="CO18" s="13">
        <f>CN18+預測IC!CO18</f>
        <v>1.9372406810760072</v>
      </c>
      <c r="CP18" s="13">
        <f>CO18+預測IC!CP18</f>
        <v>2.1000797900240178</v>
      </c>
      <c r="CQ18" s="13">
        <f>CP18+預測IC!CQ18</f>
        <v>2.1480563264322852</v>
      </c>
      <c r="CR18" s="13">
        <f>CQ18+預測IC!CR18</f>
        <v>2.203212455148877</v>
      </c>
      <c r="CS18" s="13">
        <f>CR18+預測IC!CS18</f>
        <v>2.2812397018808483</v>
      </c>
      <c r="CT18" s="13">
        <f>CS18+預測IC!CT18</f>
        <v>2.3717551308830975</v>
      </c>
      <c r="CU18" s="13">
        <f>CT18+預測IC!CU18</f>
        <v>2.3001064396779873</v>
      </c>
      <c r="CV18" s="13">
        <f>CU18+預測IC!CV18</f>
        <v>2.3911467219082758</v>
      </c>
      <c r="CW18" s="13">
        <f>CV18+預測IC!CW18</f>
        <v>2.3826906363437499</v>
      </c>
      <c r="CX18" s="13">
        <f>CW18+預測IC!CX18</f>
        <v>2.4442508221775281</v>
      </c>
      <c r="CY18" s="13">
        <f>CX18+預測IC!CY18</f>
        <v>2.3928934084027458</v>
      </c>
      <c r="CZ18" s="13">
        <f>CY18+預測IC!CZ18</f>
        <v>2.5257362717045173</v>
      </c>
      <c r="DA18" s="13">
        <f>CZ18+預測IC!DA18</f>
        <v>2.4783553321858238</v>
      </c>
      <c r="DB18" s="13">
        <f>DA18+預測IC!DB18</f>
        <v>2.4326201235070646</v>
      </c>
      <c r="DC18" s="13">
        <f>DB18+預測IC!DC18</f>
        <v>2.4690289050025709</v>
      </c>
      <c r="DD18" s="13">
        <f>DC18+預測IC!DD18</f>
        <v>2.3865665515071566</v>
      </c>
      <c r="DE18" s="13">
        <f>DD18+預測IC!DE18</f>
        <v>2.4357399963987976</v>
      </c>
      <c r="DF18" s="13">
        <f>DE18+預測IC!DF18</f>
        <v>2.4006972176164272</v>
      </c>
      <c r="DG18" s="13">
        <f>DF18+預測IC!DG18</f>
        <v>2.3930777444587994</v>
      </c>
      <c r="DH18" s="13">
        <f>DG18+預測IC!DH18</f>
        <v>2.3650397312101505</v>
      </c>
      <c r="DI18" s="13">
        <f>DH18+預測IC!DI18</f>
        <v>2.3489251019721236</v>
      </c>
      <c r="DJ18" s="13">
        <f>DI18+預測IC!DJ18</f>
        <v>2.3037210621868343</v>
      </c>
      <c r="DK18" s="13">
        <f>DJ18+預測IC!DK18</f>
        <v>2.4622346892792617</v>
      </c>
      <c r="DL18" s="13">
        <f>DK18+預測IC!DL18</f>
        <v>2.5436324321955031</v>
      </c>
      <c r="DM18" s="13">
        <f>DL18+預測IC!DM18</f>
        <v>2.4771242914634648</v>
      </c>
      <c r="DN18" s="13">
        <f>DM18+預測IC!DN18</f>
        <v>2.4604022273854436</v>
      </c>
      <c r="DO18" s="13">
        <f>DN18+預測IC!DO18</f>
        <v>2.5025071349360739</v>
      </c>
      <c r="DP18" s="13">
        <f>DO18+預測IC!DP18</f>
        <v>2.4819024484692083</v>
      </c>
      <c r="DQ18" s="13">
        <f>DP18+預測IC!DQ18</f>
        <v>2.3811751701633765</v>
      </c>
      <c r="DR18" s="13">
        <f>DQ18+預測IC!DR18</f>
        <v>2.4580158249353374</v>
      </c>
      <c r="DS18" s="13">
        <f>DR18+預測IC!DS18</f>
        <v>2.3102938264836048</v>
      </c>
      <c r="DT18" s="13">
        <f>DS18+預測IC!DT18</f>
        <v>2.1942764363726277</v>
      </c>
      <c r="DU18" s="13">
        <f>DT18+預測IC!DU18</f>
        <v>2.0973812502957232</v>
      </c>
      <c r="DV18" s="13">
        <f>DU18+預測IC!DV18</f>
        <v>2.2030218590957853</v>
      </c>
      <c r="DW18" s="13">
        <f>DV18+預測IC!DW18</f>
        <v>2.2849305513801585</v>
      </c>
      <c r="DX18" s="13">
        <f>DW18+預測IC!DX18</f>
        <v>2.1313275739176767</v>
      </c>
      <c r="DY18" s="13">
        <f>DX18+預測IC!DY18</f>
        <v>2.2287556108936264</v>
      </c>
      <c r="DZ18" s="13">
        <f>DY18+預測IC!DZ18</f>
        <v>2.1532392515972609</v>
      </c>
      <c r="EA18" s="13">
        <f>DZ18+預測IC!EA18</f>
        <v>2.1468776888532792</v>
      </c>
      <c r="EB18" s="13">
        <f>EA18+預測IC!EB18</f>
        <v>2.2467240668315998</v>
      </c>
      <c r="EC18" s="13">
        <f>EB18+預測IC!EC18</f>
        <v>2.2494881822569712</v>
      </c>
      <c r="ED18" s="13">
        <f>EC18+預測IC!ED18</f>
        <v>2.1390101603912055</v>
      </c>
      <c r="EE18" s="13">
        <f>ED18+預測IC!EE18</f>
        <v>2.1251564064166986</v>
      </c>
      <c r="EF18" s="13">
        <f>EE18+預測IC!EF18</f>
        <v>2.1741114235271151</v>
      </c>
    </row>
    <row r="19" spans="1:136">
      <c r="A19" s="2"/>
      <c r="B19" s="2" t="s">
        <v>191</v>
      </c>
      <c r="C19" s="13">
        <v>-7.7959416087486216E-2</v>
      </c>
      <c r="D19" s="13">
        <f>C19+預測IC!D19</f>
        <v>0.32956191724584716</v>
      </c>
      <c r="E19" s="13">
        <f>D19+預測IC!E19</f>
        <v>0.27466382347843499</v>
      </c>
      <c r="F19" s="13">
        <f>E19+預測IC!F19</f>
        <v>0.51083465681176832</v>
      </c>
      <c r="G19" s="13">
        <f>F19+預測IC!G19</f>
        <v>0.41332256625016817</v>
      </c>
      <c r="H19" s="13">
        <f>G19+預測IC!H19</f>
        <v>0.5909327329168349</v>
      </c>
      <c r="I19" s="13">
        <f>H19+預測IC!I19</f>
        <v>0.6383960662501682</v>
      </c>
      <c r="J19" s="13">
        <f>I19+預測IC!J19</f>
        <v>0.48216689958350151</v>
      </c>
      <c r="K19" s="13">
        <f>J19+預測IC!K19</f>
        <v>6.382904861386729E-2</v>
      </c>
      <c r="L19" s="13">
        <f>K19+預測IC!L19</f>
        <v>0.10687800624903332</v>
      </c>
      <c r="M19" s="13">
        <f>L19+預測IC!M19</f>
        <v>-0.15466366041763335</v>
      </c>
      <c r="N19" s="13">
        <f>M19+預測IC!N19</f>
        <v>0.37771083958236662</v>
      </c>
      <c r="O19" s="13">
        <f>N19+預測IC!O19</f>
        <v>0.35791383958236661</v>
      </c>
      <c r="P19" s="13">
        <f>O19+預測IC!P19</f>
        <v>0.38069917291569993</v>
      </c>
      <c r="Q19" s="13">
        <f>P19+預測IC!Q19</f>
        <v>0.55116350624903321</v>
      </c>
      <c r="R19" s="13">
        <f>Q19+預測IC!R19</f>
        <v>0.59310650624903327</v>
      </c>
      <c r="S19" s="13">
        <f>R19+預測IC!S19</f>
        <v>0.51441033958236659</v>
      </c>
      <c r="T19" s="13">
        <f>S19+預測IC!T19</f>
        <v>0.4048835062490333</v>
      </c>
      <c r="U19" s="13">
        <f>T19+預測IC!U19</f>
        <v>0.44906767291569993</v>
      </c>
      <c r="V19" s="13">
        <f>U19+預測IC!V19</f>
        <v>0.33038417291569994</v>
      </c>
      <c r="W19" s="13">
        <f>V19+預測IC!W19</f>
        <v>0.40280000624903328</v>
      </c>
      <c r="X19" s="13">
        <f>W19+預測IC!X19</f>
        <v>0.52572367291569999</v>
      </c>
      <c r="Y19" s="13">
        <f>X19+預測IC!Y19</f>
        <v>0.54978583958236671</v>
      </c>
      <c r="Z19" s="13">
        <f>Y19+預測IC!Z19</f>
        <v>0.52756283958236672</v>
      </c>
      <c r="AA19" s="13">
        <f>Z19+預測IC!AA19</f>
        <v>0.48599265504421096</v>
      </c>
      <c r="AB19" s="13">
        <f>AA19+預測IC!AB19</f>
        <v>0.42523015504421097</v>
      </c>
      <c r="AC19" s="13">
        <f>AB19+預測IC!AC19</f>
        <v>0.34171732171087765</v>
      </c>
      <c r="AD19" s="13">
        <f>AC19+預測IC!AD19</f>
        <v>0.30662839312292733</v>
      </c>
      <c r="AE19" s="13">
        <f>AD19+預測IC!AE19</f>
        <v>0.42185955978959394</v>
      </c>
      <c r="AF19" s="13">
        <f>AE19+預測IC!AF19</f>
        <v>0.38307389298069416</v>
      </c>
      <c r="AG19" s="13">
        <f>AF19+預測IC!AG19</f>
        <v>0.40237239298069416</v>
      </c>
      <c r="AH19" s="13">
        <f>AG19+預測IC!AH19</f>
        <v>0.45893010820239771</v>
      </c>
      <c r="AI19" s="13">
        <f>AH19+預測IC!AI19</f>
        <v>0.55047944153573103</v>
      </c>
      <c r="AJ19" s="13">
        <f>AI19+預測IC!AJ19</f>
        <v>0.56264577486906431</v>
      </c>
      <c r="AK19" s="13">
        <f>AJ19+預測IC!AK19</f>
        <v>0.61170644153573095</v>
      </c>
      <c r="AL19" s="13">
        <f>AK19+預測IC!AL19</f>
        <v>0.68197738720653645</v>
      </c>
      <c r="AM19" s="13">
        <f>AL19+預測IC!AM19</f>
        <v>0.72508339901794139</v>
      </c>
      <c r="AN19" s="13">
        <f>AM19+預測IC!AN19</f>
        <v>0.80865169338362342</v>
      </c>
      <c r="AO19" s="13">
        <f>AN19+預測IC!AO19</f>
        <v>0.83454459642903778</v>
      </c>
      <c r="AP19" s="13">
        <f>AO19+預測IC!AP19</f>
        <v>0.84425759642903775</v>
      </c>
      <c r="AQ19" s="13">
        <f>AP19+預測IC!AQ19</f>
        <v>0.75600483936838714</v>
      </c>
      <c r="AR19" s="13">
        <f>AQ19+預測IC!AR19</f>
        <v>0.90952240168124454</v>
      </c>
      <c r="AS19" s="13">
        <f>AR19+預測IC!AS19</f>
        <v>1.0073193569495591</v>
      </c>
      <c r="AT19" s="13">
        <f>AS19+預測IC!AT19</f>
        <v>1.0566143387152604</v>
      </c>
      <c r="AU19" s="13">
        <f>AT19+預測IC!AU19</f>
        <v>1.1330430544289145</v>
      </c>
      <c r="AV19" s="13">
        <f>AU19+預測IC!AV19</f>
        <v>1.0830100337319366</v>
      </c>
      <c r="AW19" s="13">
        <f>AV19+預測IC!AW19</f>
        <v>1.105366201886073</v>
      </c>
      <c r="AX19" s="13">
        <f>AW19+預測IC!AX19</f>
        <v>1.1694312018860731</v>
      </c>
      <c r="AY19" s="13">
        <f>AX19+預測IC!AY19</f>
        <v>1.198960172279453</v>
      </c>
      <c r="AZ19" s="13">
        <f>AY19+預測IC!AZ19</f>
        <v>1.0120805541112787</v>
      </c>
      <c r="BA19" s="13">
        <f>AZ19+預測IC!BA19</f>
        <v>0.97771667015720576</v>
      </c>
      <c r="BB19" s="13">
        <f>BA19+預測IC!BB19</f>
        <v>1.1374628692296374</v>
      </c>
      <c r="BC19" s="13">
        <f>BB19+預測IC!BC19</f>
        <v>1.2015183555758231</v>
      </c>
      <c r="BD19" s="13">
        <f>BC19+預測IC!BD19</f>
        <v>1.1982839629457549</v>
      </c>
      <c r="BE19" s="13">
        <f>BD19+預測IC!BE19</f>
        <v>1.2494158369094215</v>
      </c>
      <c r="BF19" s="13">
        <f>BE19+預測IC!BF19</f>
        <v>1.26298681105856</v>
      </c>
      <c r="BG19" s="13">
        <f>BF19+預測IC!BG19</f>
        <v>1.2466431527257178</v>
      </c>
      <c r="BH19" s="13">
        <f>BG19+預測IC!BH19</f>
        <v>1.2486613544271488</v>
      </c>
      <c r="BI19" s="13">
        <f>BH19+預測IC!BI19</f>
        <v>1.3764599832463675</v>
      </c>
      <c r="BJ19" s="13">
        <f>BI19+預測IC!BJ19</f>
        <v>1.3981672847849467</v>
      </c>
      <c r="BK19" s="13">
        <f>BJ19+預測IC!BK19</f>
        <v>1.3464177586929542</v>
      </c>
      <c r="BL19" s="13">
        <f>BK19+預測IC!BL19</f>
        <v>1.4263824168394574</v>
      </c>
      <c r="BM19" s="13">
        <f>BL19+預測IC!BM19</f>
        <v>1.540633017098153</v>
      </c>
      <c r="BN19" s="13">
        <f>BM19+預測IC!BN19</f>
        <v>1.6078856645654249</v>
      </c>
      <c r="BO19" s="13">
        <f>BN19+預測IC!BO19</f>
        <v>1.6336146258305404</v>
      </c>
      <c r="BP19" s="13">
        <f>BO19+預測IC!BP19</f>
        <v>1.6964334333646724</v>
      </c>
      <c r="BQ19" s="13">
        <f>BP19+預測IC!BQ19</f>
        <v>1.7063674778189954</v>
      </c>
      <c r="BR19" s="13">
        <f>BQ19+預測IC!BR19</f>
        <v>1.7130427238425154</v>
      </c>
      <c r="BS19" s="13">
        <f>BR19+預測IC!BS19</f>
        <v>1.6887863850980334</v>
      </c>
      <c r="BT19" s="13">
        <f>BS19+預測IC!BT19</f>
        <v>1.8304190649516068</v>
      </c>
      <c r="BU19" s="13">
        <f>BT19+預測IC!BU19</f>
        <v>1.9063553161858449</v>
      </c>
      <c r="BV19" s="13">
        <f>BU19+預測IC!BV19</f>
        <v>2.0000105573391913</v>
      </c>
      <c r="BW19" s="13">
        <f>BV19+預測IC!BW19</f>
        <v>1.8910435959555463</v>
      </c>
      <c r="BX19" s="13">
        <f>BW19+預測IC!BX19</f>
        <v>1.9251313812274045</v>
      </c>
      <c r="BY19" s="13">
        <f>BX19+預測IC!BY19</f>
        <v>1.8174816446717563</v>
      </c>
      <c r="BZ19" s="13">
        <f>BY19+預測IC!BZ19</f>
        <v>1.8861837694938102</v>
      </c>
      <c r="CA19" s="13">
        <f>BZ19+預測IC!CA19</f>
        <v>1.9217939361604768</v>
      </c>
      <c r="CB19" s="13">
        <f>CA19+預測IC!CB19</f>
        <v>1.8737527676522319</v>
      </c>
      <c r="CC19" s="13">
        <f>CB19+預測IC!CC19</f>
        <v>1.8490295148864044</v>
      </c>
      <c r="CD19" s="13">
        <f>CC19+預測IC!CD19</f>
        <v>2.0646487129801225</v>
      </c>
      <c r="CE19" s="13">
        <f>CD19+預測IC!CE19</f>
        <v>1.8663828838031633</v>
      </c>
      <c r="CF19" s="13">
        <f>CE19+預測IC!CF19</f>
        <v>1.9462872810092127</v>
      </c>
      <c r="CG19" s="13">
        <f>CF19+預測IC!CG19</f>
        <v>1.8956537509945592</v>
      </c>
      <c r="CH19" s="13">
        <f>CG19+預測IC!CH19</f>
        <v>2.0485436180444854</v>
      </c>
      <c r="CI19" s="13">
        <f>CH19+預測IC!CI19</f>
        <v>2.01147667188429</v>
      </c>
      <c r="CJ19" s="13">
        <f>CI19+預測IC!CJ19</f>
        <v>1.9495361719182538</v>
      </c>
      <c r="CK19" s="13">
        <f>CJ19+預測IC!CK19</f>
        <v>2.0535038897353521</v>
      </c>
      <c r="CL19" s="13">
        <f>CK19+預測IC!CL19</f>
        <v>2.0102636097605622</v>
      </c>
      <c r="CM19" s="13">
        <f>CL19+預測IC!CM19</f>
        <v>2.1856112513422774</v>
      </c>
      <c r="CN19" s="13">
        <f>CM19+預測IC!CN19</f>
        <v>2.1086785966749741</v>
      </c>
      <c r="CO19" s="13">
        <f>CN19+預測IC!CO19</f>
        <v>1.8362241920464677</v>
      </c>
      <c r="CP19" s="13">
        <f>CO19+預測IC!CP19</f>
        <v>1.9952567910288004</v>
      </c>
      <c r="CQ19" s="13">
        <f>CP19+預測IC!CQ19</f>
        <v>1.9925268828742384</v>
      </c>
      <c r="CR19" s="13">
        <f>CQ19+預測IC!CR19</f>
        <v>2.0422210724266412</v>
      </c>
      <c r="CS19" s="13">
        <f>CR19+預測IC!CS19</f>
        <v>2.1029219233251792</v>
      </c>
      <c r="CT19" s="13">
        <f>CS19+預測IC!CT19</f>
        <v>2.2255423499552101</v>
      </c>
      <c r="CU19" s="13">
        <f>CT19+預測IC!CU19</f>
        <v>2.1421059528413169</v>
      </c>
      <c r="CV19" s="13">
        <f>CU19+預測IC!CV19</f>
        <v>2.2440858143577205</v>
      </c>
      <c r="CW19" s="13">
        <f>CV19+預測IC!CW19</f>
        <v>2.222184006575822</v>
      </c>
      <c r="CX19" s="13">
        <f>CW19+預測IC!CX19</f>
        <v>2.2798187329440069</v>
      </c>
      <c r="CY19" s="13">
        <f>CX19+預測IC!CY19</f>
        <v>2.2088968633796373</v>
      </c>
      <c r="CZ19" s="13">
        <f>CY19+預測IC!CZ19</f>
        <v>2.3217486920211012</v>
      </c>
      <c r="DA19" s="13">
        <f>CZ19+預測IC!DA19</f>
        <v>2.2635248153178646</v>
      </c>
      <c r="DB19" s="13">
        <f>DA19+預測IC!DB19</f>
        <v>2.2278039162926491</v>
      </c>
      <c r="DC19" s="13">
        <f>DB19+預測IC!DC19</f>
        <v>2.1926245163905551</v>
      </c>
      <c r="DD19" s="13">
        <f>DC19+預測IC!DD19</f>
        <v>2.0863671804357544</v>
      </c>
      <c r="DE19" s="13">
        <f>DD19+預測IC!DE19</f>
        <v>2.140392135818364</v>
      </c>
      <c r="DF19" s="13">
        <f>DE19+預測IC!DF19</f>
        <v>2.0706990889253412</v>
      </c>
      <c r="DG19" s="13">
        <f>DF19+預測IC!DG19</f>
        <v>2.0579526140146922</v>
      </c>
      <c r="DH19" s="13">
        <f>DG19+預測IC!DH19</f>
        <v>2.0577956308852876</v>
      </c>
      <c r="DI19" s="13">
        <f>DH19+預測IC!DI19</f>
        <v>2.0614620553277088</v>
      </c>
      <c r="DJ19" s="13">
        <f>DI19+預測IC!DJ19</f>
        <v>2.0129477046047324</v>
      </c>
      <c r="DK19" s="13">
        <f>DJ19+預測IC!DK19</f>
        <v>2.1370922923889402</v>
      </c>
      <c r="DL19" s="13">
        <f>DK19+預測IC!DL19</f>
        <v>2.2072597001888097</v>
      </c>
      <c r="DM19" s="13">
        <f>DL19+預測IC!DM19</f>
        <v>2.1253074451548155</v>
      </c>
      <c r="DN19" s="13">
        <f>DM19+預測IC!DN19</f>
        <v>2.1277825682524538</v>
      </c>
      <c r="DO19" s="13">
        <f>DN19+預測IC!DO19</f>
        <v>2.1829091316523979</v>
      </c>
      <c r="DP19" s="13">
        <f>DO19+預測IC!DP19</f>
        <v>2.2107471461353918</v>
      </c>
      <c r="DQ19" s="13">
        <f>DP19+預測IC!DQ19</f>
        <v>2.0902577667747568</v>
      </c>
      <c r="DR19" s="13">
        <f>DQ19+預測IC!DR19</f>
        <v>2.1662201200998048</v>
      </c>
      <c r="DS19" s="13">
        <f>DR19+預測IC!DS19</f>
        <v>1.9882245731458346</v>
      </c>
      <c r="DT19" s="13">
        <f>DS19+預測IC!DT19</f>
        <v>1.8550960725264851</v>
      </c>
      <c r="DU19" s="13">
        <f>DT19+預測IC!DU19</f>
        <v>1.7122653744720449</v>
      </c>
      <c r="DV19" s="13">
        <f>DU19+預測IC!DV19</f>
        <v>1.8237900809126493</v>
      </c>
      <c r="DW19" s="13">
        <f>DV19+預測IC!DW19</f>
        <v>1.8843992202533335</v>
      </c>
      <c r="DX19" s="13">
        <f>DW19+預測IC!DX19</f>
        <v>1.7460340860151558</v>
      </c>
      <c r="DY19" s="13">
        <f>DX19+預測IC!DY19</f>
        <v>1.8161436637030788</v>
      </c>
      <c r="DZ19" s="13">
        <f>DY19+預測IC!DZ19</f>
        <v>1.7042228348390858</v>
      </c>
      <c r="EA19" s="13">
        <f>DZ19+預測IC!EA19</f>
        <v>1.6761434813634184</v>
      </c>
      <c r="EB19" s="13">
        <f>EA19+預測IC!EB19</f>
        <v>1.6979162513761969</v>
      </c>
      <c r="EC19" s="13">
        <f>EB19+預測IC!EC19</f>
        <v>1.6857262081524949</v>
      </c>
      <c r="ED19" s="13">
        <f>EC19+預測IC!ED19</f>
        <v>1.534790891162338</v>
      </c>
      <c r="EE19" s="13">
        <f>ED19+預測IC!EE19</f>
        <v>1.5474249341027604</v>
      </c>
      <c r="EF19" s="13">
        <f>EE19+預測IC!EF19</f>
        <v>1.5644028889775294</v>
      </c>
    </row>
    <row r="20" spans="1:136">
      <c r="A20" s="2"/>
      <c r="B20" s="2" t="s">
        <v>192</v>
      </c>
      <c r="C20" s="13">
        <v>-0.13932460396499161</v>
      </c>
      <c r="D20" s="13">
        <f>C20+預測IC!D20</f>
        <v>0.24270119603500842</v>
      </c>
      <c r="E20" s="13">
        <f>D20+預測IC!E20</f>
        <v>0.2582011841793424</v>
      </c>
      <c r="F20" s="13">
        <f>E20+預測IC!F20</f>
        <v>0.44062038417934241</v>
      </c>
      <c r="G20" s="13">
        <f>F20+預測IC!G20</f>
        <v>0.3402544722604785</v>
      </c>
      <c r="H20" s="13">
        <f>G20+預測IC!H20</f>
        <v>0.48418667226047851</v>
      </c>
      <c r="I20" s="13">
        <f>H20+預測IC!I20</f>
        <v>0.51212287226047848</v>
      </c>
      <c r="J20" s="13">
        <f>I20+預測IC!J20</f>
        <v>0.37891667226047848</v>
      </c>
      <c r="K20" s="13">
        <f>J20+預測IC!K20</f>
        <v>0.28880801813780449</v>
      </c>
      <c r="L20" s="13">
        <f>K20+預測IC!L20</f>
        <v>0.38451665364234022</v>
      </c>
      <c r="M20" s="13">
        <f>L20+預測IC!M20</f>
        <v>0.11582265364234023</v>
      </c>
      <c r="N20" s="13">
        <f>M20+預測IC!N20</f>
        <v>0.61583425364234023</v>
      </c>
      <c r="O20" s="13">
        <f>N20+預測IC!O20</f>
        <v>0.5057204536423402</v>
      </c>
      <c r="P20" s="13">
        <f>O20+預測IC!P20</f>
        <v>0.54574945364234018</v>
      </c>
      <c r="Q20" s="13">
        <f>P20+預測IC!Q20</f>
        <v>0.77057605364234016</v>
      </c>
      <c r="R20" s="13">
        <f>Q20+預測IC!R20</f>
        <v>0.83704565364234018</v>
      </c>
      <c r="S20" s="13">
        <f>R20+預測IC!S20</f>
        <v>0.77970425364234019</v>
      </c>
      <c r="T20" s="13">
        <f>S20+預測IC!T20</f>
        <v>0.67885845364234021</v>
      </c>
      <c r="U20" s="13">
        <f>T20+預測IC!U20</f>
        <v>0.71109345364234022</v>
      </c>
      <c r="V20" s="13">
        <f>U20+預測IC!V20</f>
        <v>0.57480525364234025</v>
      </c>
      <c r="W20" s="13">
        <f>V20+預測IC!W20</f>
        <v>0.66589025364234022</v>
      </c>
      <c r="X20" s="13">
        <f>W20+預測IC!X20</f>
        <v>0.81593325364234026</v>
      </c>
      <c r="Y20" s="13">
        <f>X20+預測IC!Y20</f>
        <v>0.81107525364234023</v>
      </c>
      <c r="Z20" s="13">
        <f>Y20+預測IC!Z20</f>
        <v>0.84023365364234026</v>
      </c>
      <c r="AA20" s="13">
        <f>Z20+預測IC!AA20</f>
        <v>0.81863910025504316</v>
      </c>
      <c r="AB20" s="13">
        <f>AA20+預測IC!AB20</f>
        <v>0.75821610025504316</v>
      </c>
      <c r="AC20" s="13">
        <f>AB20+預測IC!AC20</f>
        <v>0.6619079002550432</v>
      </c>
      <c r="AD20" s="13">
        <f>AC20+預測IC!AD20</f>
        <v>0.6274539974032135</v>
      </c>
      <c r="AE20" s="13">
        <f>AD20+預測IC!AE20</f>
        <v>0.64476419740321356</v>
      </c>
      <c r="AF20" s="13">
        <f>AE20+預測IC!AF20</f>
        <v>0.60571951901563359</v>
      </c>
      <c r="AG20" s="13">
        <f>AF20+預測IC!AG20</f>
        <v>0.59947991901563358</v>
      </c>
      <c r="AH20" s="13">
        <f>AG20+預測IC!AH20</f>
        <v>0.68965811973041624</v>
      </c>
      <c r="AI20" s="13">
        <f>AH20+預測IC!AI20</f>
        <v>0.80599531973041627</v>
      </c>
      <c r="AJ20" s="13">
        <f>AI20+預測IC!AJ20</f>
        <v>0.82323591973041621</v>
      </c>
      <c r="AK20" s="13">
        <f>AJ20+預測IC!AK20</f>
        <v>0.89020451973041625</v>
      </c>
      <c r="AL20" s="13">
        <f>AK20+預測IC!AL20</f>
        <v>0.9630979717673932</v>
      </c>
      <c r="AM20" s="13">
        <f>AL20+預測IC!AM20</f>
        <v>0.9961939525161958</v>
      </c>
      <c r="AN20" s="13">
        <f>AM20+預測IC!AN20</f>
        <v>1.0716641460351941</v>
      </c>
      <c r="AO20" s="13">
        <f>AN20+預測IC!AO20</f>
        <v>1.1169492279998825</v>
      </c>
      <c r="AP20" s="13">
        <f>AO20+預測IC!AP20</f>
        <v>1.1295548279998826</v>
      </c>
      <c r="AQ20" s="13">
        <f>AP20+預測IC!AQ20</f>
        <v>1.1570073133328336</v>
      </c>
      <c r="AR20" s="13">
        <f>AQ20+預測IC!AR20</f>
        <v>1.3270563180117578</v>
      </c>
      <c r="AS20" s="13">
        <f>AR20+預測IC!AS20</f>
        <v>1.4391521276945749</v>
      </c>
      <c r="AT20" s="13">
        <f>AS20+預測IC!AT20</f>
        <v>1.4450109014547807</v>
      </c>
      <c r="AU20" s="13">
        <f>AT20+預測IC!AU20</f>
        <v>1.5207032883499065</v>
      </c>
      <c r="AV20" s="13">
        <f>AU20+預測IC!AV20</f>
        <v>1.4660775745674284</v>
      </c>
      <c r="AW20" s="13">
        <f>AV20+預測IC!AW20</f>
        <v>1.4729428427465794</v>
      </c>
      <c r="AX20" s="13">
        <f>AW20+預測IC!AX20</f>
        <v>1.5588316427465794</v>
      </c>
      <c r="AY20" s="13">
        <f>AX20+預測IC!AY20</f>
        <v>1.5975063411894888</v>
      </c>
      <c r="AZ20" s="13">
        <f>AY20+預測IC!AZ20</f>
        <v>1.3837039100124</v>
      </c>
      <c r="BA20" s="13">
        <f>AZ20+預測IC!BA20</f>
        <v>1.3469050451518596</v>
      </c>
      <c r="BB20" s="13">
        <f>BA20+預測IC!BB20</f>
        <v>1.5145604685284288</v>
      </c>
      <c r="BC20" s="13">
        <f>BB20+預測IC!BC20</f>
        <v>1.585166036206169</v>
      </c>
      <c r="BD20" s="13">
        <f>BC20+預測IC!BD20</f>
        <v>1.5317362229845717</v>
      </c>
      <c r="BE20" s="13">
        <f>BD20+預測IC!BE20</f>
        <v>1.5257894258453113</v>
      </c>
      <c r="BF20" s="13">
        <f>BE20+預測IC!BF20</f>
        <v>1.5314780081766399</v>
      </c>
      <c r="BG20" s="13">
        <f>BF20+預測IC!BG20</f>
        <v>1.5245518654679466</v>
      </c>
      <c r="BH20" s="13">
        <f>BG20+預測IC!BH20</f>
        <v>1.4529454183538357</v>
      </c>
      <c r="BI20" s="13">
        <f>BH20+預測IC!BI20</f>
        <v>1.5846906854390106</v>
      </c>
      <c r="BJ20" s="13">
        <f>BI20+預測IC!BJ20</f>
        <v>1.6063201972721972</v>
      </c>
      <c r="BK20" s="13">
        <f>BJ20+預測IC!BK20</f>
        <v>1.5470870294293699</v>
      </c>
      <c r="BL20" s="13">
        <f>BK20+預測IC!BL20</f>
        <v>1.6333792606058246</v>
      </c>
      <c r="BM20" s="13">
        <f>BL20+預測IC!BM20</f>
        <v>1.7702969219342628</v>
      </c>
      <c r="BN20" s="13">
        <f>BM20+預測IC!BN20</f>
        <v>1.8888541633796343</v>
      </c>
      <c r="BO20" s="13">
        <f>BN20+預測IC!BO20</f>
        <v>1.8503924458636551</v>
      </c>
      <c r="BP20" s="13">
        <f>BO20+預測IC!BP20</f>
        <v>1.9107999666266102</v>
      </c>
      <c r="BQ20" s="13">
        <f>BP20+預測IC!BQ20</f>
        <v>1.9262516735874533</v>
      </c>
      <c r="BR20" s="13">
        <f>BQ20+預測IC!BR20</f>
        <v>1.9383253053179259</v>
      </c>
      <c r="BS20" s="13">
        <f>BR20+預測IC!BS20</f>
        <v>1.943732811509117</v>
      </c>
      <c r="BT20" s="13">
        <f>BS20+預測IC!BT20</f>
        <v>2.0915358446877641</v>
      </c>
      <c r="BU20" s="13">
        <f>BT20+預測IC!BU20</f>
        <v>2.1902907940554708</v>
      </c>
      <c r="BV20" s="13">
        <f>BU20+預測IC!BV20</f>
        <v>2.3062091256185426</v>
      </c>
      <c r="BW20" s="13">
        <f>BV20+預測IC!BW20</f>
        <v>2.1707058738060665</v>
      </c>
      <c r="BX20" s="13">
        <f>BW20+預測IC!BX20</f>
        <v>2.2013995104893107</v>
      </c>
      <c r="BY20" s="13">
        <f>BX20+預測IC!BY20</f>
        <v>2.0961655441200073</v>
      </c>
      <c r="BZ20" s="13">
        <f>BY20+預測IC!BZ20</f>
        <v>2.1864369483802908</v>
      </c>
      <c r="CA20" s="13">
        <f>BZ20+預測IC!CA20</f>
        <v>2.2366531483802907</v>
      </c>
      <c r="CB20" s="13">
        <f>CA20+預測IC!CB20</f>
        <v>2.1984011983693628</v>
      </c>
      <c r="CC20" s="13">
        <f>CB20+預測IC!CC20</f>
        <v>2.1723581645862975</v>
      </c>
      <c r="CD20" s="13">
        <f>CC20+預測IC!CD20</f>
        <v>2.3533856620768945</v>
      </c>
      <c r="CE20" s="13">
        <f>CD20+預測IC!CE20</f>
        <v>2.1094218666071614</v>
      </c>
      <c r="CF20" s="13">
        <f>CE20+預測IC!CF20</f>
        <v>2.190379803805838</v>
      </c>
      <c r="CG20" s="13">
        <f>CF20+預測IC!CG20</f>
        <v>2.091326915275749</v>
      </c>
      <c r="CH20" s="13">
        <f>CG20+預測IC!CH20</f>
        <v>2.1631909408728873</v>
      </c>
      <c r="CI20" s="13">
        <f>CH20+預測IC!CI20</f>
        <v>2.1327962671038052</v>
      </c>
      <c r="CJ20" s="13">
        <f>CI20+預測IC!CJ20</f>
        <v>2.0093559472164544</v>
      </c>
      <c r="CK20" s="13">
        <f>CJ20+預測IC!CK20</f>
        <v>2.1003343439665612</v>
      </c>
      <c r="CL20" s="13">
        <f>CK20+預測IC!CL20</f>
        <v>2.0081494097774319</v>
      </c>
      <c r="CM20" s="13">
        <f>CL20+預測IC!CM20</f>
        <v>2.1972005749480528</v>
      </c>
      <c r="CN20" s="13">
        <f>CM20+預測IC!CN20</f>
        <v>2.2193599863185374</v>
      </c>
      <c r="CO20" s="13">
        <f>CN20+預測IC!CO20</f>
        <v>1.803388651149525</v>
      </c>
      <c r="CP20" s="13">
        <f>CO20+預測IC!CP20</f>
        <v>1.9954198562585523</v>
      </c>
      <c r="CQ20" s="13">
        <f>CP20+預測IC!CQ20</f>
        <v>2.0015312141876147</v>
      </c>
      <c r="CR20" s="13">
        <f>CQ20+預測IC!CR20</f>
        <v>2.0746474586934651</v>
      </c>
      <c r="CS20" s="13">
        <f>CR20+預測IC!CS20</f>
        <v>2.1630117357057266</v>
      </c>
      <c r="CT20" s="13">
        <f>CS20+預測IC!CT20</f>
        <v>2.2534857731199929</v>
      </c>
      <c r="CU20" s="13">
        <f>CT20+預測IC!CU20</f>
        <v>2.1586181148534807</v>
      </c>
      <c r="CV20" s="13">
        <f>CU20+預測IC!CV20</f>
        <v>2.2511291905489066</v>
      </c>
      <c r="CW20" s="13">
        <f>CV20+預測IC!CW20</f>
        <v>2.2610822534701893</v>
      </c>
      <c r="CX20" s="13">
        <f>CW20+預測IC!CX20</f>
        <v>2.3513808043379538</v>
      </c>
      <c r="CY20" s="13">
        <f>CX20+預測IC!CY20</f>
        <v>2.3389010716696568</v>
      </c>
      <c r="CZ20" s="13">
        <f>CY20+預測IC!CZ20</f>
        <v>2.4940627168188549</v>
      </c>
      <c r="DA20" s="13">
        <f>CZ20+預測IC!DA20</f>
        <v>2.4465908236636773</v>
      </c>
      <c r="DB20" s="13">
        <f>DA20+預測IC!DB20</f>
        <v>2.3896881139065433</v>
      </c>
      <c r="DC20" s="13">
        <f>DB20+預測IC!DC20</f>
        <v>2.3400750446709875</v>
      </c>
      <c r="DD20" s="13">
        <f>DC20+預測IC!DD20</f>
        <v>2.1919662303321648</v>
      </c>
      <c r="DE20" s="13">
        <f>DD20+預測IC!DE20</f>
        <v>2.165216366411236</v>
      </c>
      <c r="DF20" s="13">
        <f>DE20+預測IC!DF20</f>
        <v>2.1660754879436568</v>
      </c>
      <c r="DG20" s="13">
        <f>DF20+預測IC!DG20</f>
        <v>2.161873277323286</v>
      </c>
      <c r="DH20" s="13">
        <f>DG20+預測IC!DH20</f>
        <v>2.1508978655807591</v>
      </c>
      <c r="DI20" s="13">
        <f>DH20+預測IC!DI20</f>
        <v>2.1280211337957065</v>
      </c>
      <c r="DJ20" s="13">
        <f>DI20+預測IC!DJ20</f>
        <v>2.0885611875268189</v>
      </c>
      <c r="DK20" s="13">
        <f>DJ20+預測IC!DK20</f>
        <v>2.1735151689728736</v>
      </c>
      <c r="DL20" s="13">
        <f>DK20+預測IC!DL20</f>
        <v>2.249341805151416</v>
      </c>
      <c r="DM20" s="13">
        <f>DL20+預測IC!DM20</f>
        <v>2.2586254554308529</v>
      </c>
      <c r="DN20" s="13">
        <f>DM20+預測IC!DN20</f>
        <v>2.3166446620850523</v>
      </c>
      <c r="DO20" s="13">
        <f>DN20+預測IC!DO20</f>
        <v>2.3824604639230227</v>
      </c>
      <c r="DP20" s="13">
        <f>DO20+預測IC!DP20</f>
        <v>2.39229099531391</v>
      </c>
      <c r="DQ20" s="13">
        <f>DP20+預測IC!DQ20</f>
        <v>2.2050836775793692</v>
      </c>
      <c r="DR20" s="13">
        <f>DQ20+預測IC!DR20</f>
        <v>2.2835963376076598</v>
      </c>
      <c r="DS20" s="13">
        <f>DR20+預測IC!DS20</f>
        <v>2.0775152400293049</v>
      </c>
      <c r="DT20" s="13">
        <f>DS20+預測IC!DT20</f>
        <v>1.9440792554071666</v>
      </c>
      <c r="DU20" s="13">
        <f>DT20+預測IC!DU20</f>
        <v>1.7720101482012973</v>
      </c>
      <c r="DV20" s="13">
        <f>DU20+預測IC!DV20</f>
        <v>1.901355620040156</v>
      </c>
      <c r="DW20" s="13">
        <f>DV20+預測IC!DW20</f>
        <v>1.9704158239981957</v>
      </c>
      <c r="DX20" s="13">
        <f>DW20+預測IC!DX20</f>
        <v>1.816549494391881</v>
      </c>
      <c r="DY20" s="13">
        <f>DX20+預測IC!DY20</f>
        <v>1.8701681037435298</v>
      </c>
      <c r="DZ20" s="13">
        <f>DY20+預測IC!DZ20</f>
        <v>1.7856935254338377</v>
      </c>
      <c r="EA20" s="13">
        <f>DZ20+預測IC!EA20</f>
        <v>1.8006105508614616</v>
      </c>
      <c r="EB20" s="13">
        <f>EA20+預測IC!EB20</f>
        <v>1.8396781842124268</v>
      </c>
      <c r="EC20" s="13">
        <f>EB20+預測IC!EC20</f>
        <v>1.8737277656263687</v>
      </c>
      <c r="ED20" s="13">
        <f>EC20+預測IC!ED20</f>
        <v>1.6968089045593584</v>
      </c>
      <c r="EE20" s="13">
        <f>ED20+預測IC!EE20</f>
        <v>1.6991761354867403</v>
      </c>
      <c r="EF20" s="13">
        <f>EE20+預測IC!EF20</f>
        <v>1.7194575521026476</v>
      </c>
    </row>
    <row r="21" spans="1:136">
      <c r="A21" s="2"/>
      <c r="B21" s="2" t="s">
        <v>193</v>
      </c>
      <c r="C21" s="13">
        <v>-0.19764916434148611</v>
      </c>
      <c r="D21" s="13">
        <f>C21+預測IC!D21</f>
        <v>-7.1260164341486104E-2</v>
      </c>
      <c r="E21" s="13">
        <f>D21+預測IC!E21</f>
        <v>-7.1539516612277948E-2</v>
      </c>
      <c r="F21" s="13">
        <f>E21+預測IC!F21</f>
        <v>0.13187348338772206</v>
      </c>
      <c r="G21" s="13">
        <f>F21+預測IC!G21</f>
        <v>0.12457734535987061</v>
      </c>
      <c r="H21" s="13">
        <f>G21+預測IC!H21</f>
        <v>0.28674134535987061</v>
      </c>
      <c r="I21" s="13">
        <f>H21+預測IC!I21</f>
        <v>0.30085334535987063</v>
      </c>
      <c r="J21" s="13">
        <f>I21+預測IC!J21</f>
        <v>0.16411184535987064</v>
      </c>
      <c r="K21" s="13">
        <f>J21+預測IC!K21</f>
        <v>7.513882800584859E-2</v>
      </c>
      <c r="L21" s="13">
        <f>K21+預測IC!L21</f>
        <v>0.18481843546007848</v>
      </c>
      <c r="M21" s="13">
        <f>L21+預測IC!M21</f>
        <v>-1.5066564539921529E-2</v>
      </c>
      <c r="N21" s="13">
        <f>M21+預測IC!N21</f>
        <v>0.56982393546007848</v>
      </c>
      <c r="O21" s="13">
        <f>N21+預測IC!O21</f>
        <v>0.43054668546007846</v>
      </c>
      <c r="P21" s="13">
        <f>O21+預測IC!P21</f>
        <v>0.47597443546007845</v>
      </c>
      <c r="Q21" s="13">
        <f>P21+預測IC!Q21</f>
        <v>0.75006018546007847</v>
      </c>
      <c r="R21" s="13">
        <f>Q21+預測IC!R21</f>
        <v>0.83496543546007851</v>
      </c>
      <c r="S21" s="13">
        <f>R21+預測IC!S21</f>
        <v>0.79840368546007856</v>
      </c>
      <c r="T21" s="13">
        <f>S21+預測IC!T21</f>
        <v>0.66728368546007855</v>
      </c>
      <c r="U21" s="13">
        <f>T21+預測IC!U21</f>
        <v>0.65745693546007855</v>
      </c>
      <c r="V21" s="13">
        <f>U21+預測IC!V21</f>
        <v>0.52570668546007848</v>
      </c>
      <c r="W21" s="13">
        <f>V21+預測IC!W21</f>
        <v>0.65020543546007847</v>
      </c>
      <c r="X21" s="13">
        <f>W21+預測IC!X21</f>
        <v>0.85800643546007849</v>
      </c>
      <c r="Y21" s="13">
        <f>X21+預測IC!Y21</f>
        <v>0.84785893546007851</v>
      </c>
      <c r="Z21" s="13">
        <f>Y21+預測IC!Z21</f>
        <v>0.88731793546007853</v>
      </c>
      <c r="AA21" s="13">
        <f>Z21+預測IC!AA21</f>
        <v>0.90680897900017243</v>
      </c>
      <c r="AB21" s="13">
        <f>AA21+預測IC!AB21</f>
        <v>0.84152197900017245</v>
      </c>
      <c r="AC21" s="13">
        <f>AB21+預測IC!AC21</f>
        <v>0.68198072900017248</v>
      </c>
      <c r="AD21" s="13">
        <f>AC21+預測IC!AD21</f>
        <v>0.63528330444742687</v>
      </c>
      <c r="AE21" s="13">
        <f>AD21+預測IC!AE21</f>
        <v>0.6455940544474269</v>
      </c>
      <c r="AF21" s="13">
        <f>AE21+預測IC!AF21</f>
        <v>0.59246844456086389</v>
      </c>
      <c r="AG21" s="13">
        <f>AF21+預測IC!AG21</f>
        <v>0.58190044456086387</v>
      </c>
      <c r="AH21" s="13">
        <f>AG21+預測IC!AH21</f>
        <v>0.6894818071256622</v>
      </c>
      <c r="AI21" s="13">
        <f>AH21+預測IC!AI21</f>
        <v>0.79160605712566223</v>
      </c>
      <c r="AJ21" s="13">
        <f>AI21+預測IC!AJ21</f>
        <v>0.79678955712566224</v>
      </c>
      <c r="AK21" s="13">
        <f>AJ21+預測IC!AK21</f>
        <v>0.90178005712566223</v>
      </c>
      <c r="AL21" s="13">
        <f>AK21+預測IC!AL21</f>
        <v>0.96715987985877283</v>
      </c>
      <c r="AM21" s="13">
        <f>AL21+預測IC!AM21</f>
        <v>1.0356956873064034</v>
      </c>
      <c r="AN21" s="13">
        <f>AM21+預測IC!AN21</f>
        <v>1.1476517433694977</v>
      </c>
      <c r="AO21" s="13">
        <f>AN21+預測IC!AO21</f>
        <v>1.1953781390132243</v>
      </c>
      <c r="AP21" s="13">
        <f>AO21+預測IC!AP21</f>
        <v>1.2143218890132244</v>
      </c>
      <c r="AQ21" s="13">
        <f>AP21+預測IC!AQ21</f>
        <v>1.2911873960237721</v>
      </c>
      <c r="AR21" s="13">
        <f>AQ21+預測IC!AR21</f>
        <v>1.4963696742542534</v>
      </c>
      <c r="AS21" s="13">
        <f>AR21+預測IC!AS21</f>
        <v>1.5608255429008828</v>
      </c>
      <c r="AT21" s="13">
        <f>AS21+預測IC!AT21</f>
        <v>1.5583326316237278</v>
      </c>
      <c r="AU21" s="13">
        <f>AT21+預測IC!AU21</f>
        <v>1.6061422631326849</v>
      </c>
      <c r="AV21" s="13">
        <f>AU21+預測IC!AV21</f>
        <v>1.5506214830705511</v>
      </c>
      <c r="AW21" s="13">
        <f>AV21+預測IC!AW21</f>
        <v>1.5604125130246485</v>
      </c>
      <c r="AX21" s="13">
        <f>AW21+預測IC!AX21</f>
        <v>1.6264210130246484</v>
      </c>
      <c r="AY21" s="13">
        <f>AX21+預測IC!AY21</f>
        <v>1.6734423040026865</v>
      </c>
      <c r="AZ21" s="13">
        <f>AY21+預測IC!AZ21</f>
        <v>1.4185310341055501</v>
      </c>
      <c r="BA21" s="13">
        <f>AZ21+預測IC!BA21</f>
        <v>1.3474988524574643</v>
      </c>
      <c r="BB21" s="13">
        <f>BA21+預測IC!BB21</f>
        <v>1.5728449874958024</v>
      </c>
      <c r="BC21" s="13">
        <f>BB21+預測IC!BC21</f>
        <v>1.6111661352209963</v>
      </c>
      <c r="BD21" s="13">
        <f>BC21+預測IC!BD21</f>
        <v>1.5894152718503685</v>
      </c>
      <c r="BE21" s="13">
        <f>BD21+預測IC!BE21</f>
        <v>1.5957658052477699</v>
      </c>
      <c r="BF21" s="13">
        <f>BE21+預測IC!BF21</f>
        <v>1.5993429054282047</v>
      </c>
      <c r="BG21" s="13">
        <f>BF21+預測IC!BG21</f>
        <v>1.6359780946450173</v>
      </c>
      <c r="BH21" s="13">
        <f>BG21+預測IC!BH21</f>
        <v>1.5596567315062619</v>
      </c>
      <c r="BI21" s="13">
        <f>BH21+預測IC!BI21</f>
        <v>1.7256263276846537</v>
      </c>
      <c r="BJ21" s="13">
        <f>BI21+預測IC!BJ21</f>
        <v>1.7492053538663714</v>
      </c>
      <c r="BK21" s="13">
        <f>BJ21+預測IC!BK21</f>
        <v>1.6807554734868366</v>
      </c>
      <c r="BL21" s="13">
        <f>BK21+預測IC!BL21</f>
        <v>1.8234765661331864</v>
      </c>
      <c r="BM21" s="13">
        <f>BL21+預測IC!BM21</f>
        <v>1.9785965700542862</v>
      </c>
      <c r="BN21" s="13">
        <f>BM21+預測IC!BN21</f>
        <v>2.0422445180465343</v>
      </c>
      <c r="BO21" s="13">
        <f>BN21+預測IC!BO21</f>
        <v>1.978387281632854</v>
      </c>
      <c r="BP21" s="13">
        <f>BO21+預測IC!BP21</f>
        <v>2.0828964110522685</v>
      </c>
      <c r="BQ21" s="13">
        <f>BP21+預測IC!BQ21</f>
        <v>2.1374386418867735</v>
      </c>
      <c r="BR21" s="13">
        <f>BQ21+預測IC!BR21</f>
        <v>2.1497625040706381</v>
      </c>
      <c r="BS21" s="13">
        <f>BR21+預測IC!BS21</f>
        <v>2.1556226768258142</v>
      </c>
      <c r="BT21" s="13">
        <f>BS21+預測IC!BT21</f>
        <v>2.287867370800257</v>
      </c>
      <c r="BU21" s="13">
        <f>BT21+預測IC!BU21</f>
        <v>2.4233638329988261</v>
      </c>
      <c r="BV21" s="13">
        <f>BU21+預測IC!BV21</f>
        <v>2.5655068331842794</v>
      </c>
      <c r="BW21" s="13">
        <f>BV21+預測IC!BW21</f>
        <v>2.4188276362485484</v>
      </c>
      <c r="BX21" s="13">
        <f>BW21+預測IC!BX21</f>
        <v>2.4158368169641342</v>
      </c>
      <c r="BY21" s="13">
        <f>BX21+預測IC!BY21</f>
        <v>2.3654569657460178</v>
      </c>
      <c r="BZ21" s="13">
        <f>BY21+預測IC!BZ21</f>
        <v>2.4131198944667336</v>
      </c>
      <c r="CA21" s="13">
        <f>BZ21+預測IC!CA21</f>
        <v>2.5081798944667337</v>
      </c>
      <c r="CB21" s="13">
        <f>CA21+預測IC!CB21</f>
        <v>2.4447585032684755</v>
      </c>
      <c r="CC21" s="13">
        <f>CB21+預測IC!CC21</f>
        <v>2.3980649537995125</v>
      </c>
      <c r="CD21" s="13">
        <f>CC21+預測IC!CD21</f>
        <v>2.6861210181619857</v>
      </c>
      <c r="CE21" s="13">
        <f>CD21+預測IC!CE21</f>
        <v>2.2910450756969403</v>
      </c>
      <c r="CF21" s="13">
        <f>CE21+預測IC!CF21</f>
        <v>2.4223107524980128</v>
      </c>
      <c r="CG21" s="13">
        <f>CF21+預測IC!CG21</f>
        <v>2.2785595633403268</v>
      </c>
      <c r="CH21" s="13">
        <f>CG21+預測IC!CH21</f>
        <v>2.3586598844165385</v>
      </c>
      <c r="CI21" s="13">
        <f>CH21+預測IC!CI21</f>
        <v>2.2781602680255562</v>
      </c>
      <c r="CJ21" s="13">
        <f>CI21+預測IC!CJ21</f>
        <v>2.1925325110090537</v>
      </c>
      <c r="CK21" s="13">
        <f>CJ21+預測IC!CK21</f>
        <v>2.3195830577391878</v>
      </c>
      <c r="CL21" s="13">
        <f>CK21+預測IC!CL21</f>
        <v>2.185692633116223</v>
      </c>
      <c r="CM21" s="13">
        <f>CL21+預測IC!CM21</f>
        <v>2.4111956215195942</v>
      </c>
      <c r="CN21" s="13">
        <f>CM21+預測IC!CN21</f>
        <v>2.4417345117233697</v>
      </c>
      <c r="CO21" s="13">
        <f>CN21+預測IC!CO21</f>
        <v>1.9268692631257771</v>
      </c>
      <c r="CP21" s="13">
        <f>CO21+預測IC!CP21</f>
        <v>2.1495693240036897</v>
      </c>
      <c r="CQ21" s="13">
        <f>CP21+預測IC!CQ21</f>
        <v>2.1528574157287803</v>
      </c>
      <c r="CR21" s="13">
        <f>CQ21+預測IC!CR21</f>
        <v>2.24368169370846</v>
      </c>
      <c r="CS21" s="13">
        <f>CR21+預測IC!CS21</f>
        <v>2.313328089855232</v>
      </c>
      <c r="CT21" s="13">
        <f>CS21+預測IC!CT21</f>
        <v>2.3956209627095708</v>
      </c>
      <c r="CU21" s="13">
        <f>CT21+預測IC!CU21</f>
        <v>2.3329474025400794</v>
      </c>
      <c r="CV21" s="13">
        <f>CU21+預測IC!CV21</f>
        <v>2.4311730345614664</v>
      </c>
      <c r="CW21" s="13">
        <f>CV21+預測IC!CW21</f>
        <v>2.496178451842455</v>
      </c>
      <c r="CX21" s="13">
        <f>CW21+預測IC!CX21</f>
        <v>2.5983006274998619</v>
      </c>
      <c r="CY21" s="13">
        <f>CX21+預測IC!CY21</f>
        <v>2.5898187110959476</v>
      </c>
      <c r="CZ21" s="13">
        <f>CY21+預測IC!CZ21</f>
        <v>2.8272700819217778</v>
      </c>
      <c r="DA21" s="13">
        <f>CZ21+預測IC!DA21</f>
        <v>2.8284623383785097</v>
      </c>
      <c r="DB21" s="13">
        <f>DA21+預測IC!DB21</f>
        <v>2.7768379047023553</v>
      </c>
      <c r="DC21" s="13">
        <f>DB21+預測IC!DC21</f>
        <v>2.7317903454790646</v>
      </c>
      <c r="DD21" s="13">
        <f>DC21+預測IC!DD21</f>
        <v>2.8531130343477136</v>
      </c>
      <c r="DE21" s="13">
        <f>DD21+預測IC!DE21</f>
        <v>2.8653511429360323</v>
      </c>
      <c r="DF21" s="13">
        <f>DE21+預測IC!DF21</f>
        <v>2.886912023633907</v>
      </c>
      <c r="DG21" s="13">
        <f>DF21+預測IC!DG21</f>
        <v>2.8947584017624401</v>
      </c>
      <c r="DH21" s="13">
        <f>DG21+預測IC!DH21</f>
        <v>2.9088352219748947</v>
      </c>
      <c r="DI21" s="13">
        <f>DH21+預測IC!DI21</f>
        <v>2.9432427002550741</v>
      </c>
      <c r="DJ21" s="13">
        <f>DI21+預測IC!DJ21</f>
        <v>2.9053313870645141</v>
      </c>
      <c r="DK21" s="13">
        <f>DJ21+預測IC!DK21</f>
        <v>3.0448340938834186</v>
      </c>
      <c r="DL21" s="13">
        <f>DK21+預測IC!DL21</f>
        <v>3.1431990327227952</v>
      </c>
      <c r="DM21" s="13">
        <f>DL21+預測IC!DM21</f>
        <v>3.113364913080555</v>
      </c>
      <c r="DN21" s="13">
        <f>DM21+預測IC!DN21</f>
        <v>3.184562525574548</v>
      </c>
      <c r="DO21" s="13">
        <f>DN21+預測IC!DO21</f>
        <v>3.2670083179052276</v>
      </c>
      <c r="DP21" s="13">
        <f>DO21+預測IC!DP21</f>
        <v>3.2912744729987935</v>
      </c>
      <c r="DQ21" s="13">
        <f>DP21+預測IC!DQ21</f>
        <v>3.136533286969458</v>
      </c>
      <c r="DR21" s="13">
        <f>DQ21+預測IC!DR21</f>
        <v>3.1867041460065386</v>
      </c>
      <c r="DS21" s="13">
        <f>DR21+預測IC!DS21</f>
        <v>2.9858646721692432</v>
      </c>
      <c r="DT21" s="13">
        <f>DS21+預測IC!DT21</f>
        <v>2.8152938694837824</v>
      </c>
      <c r="DU21" s="13">
        <f>DT21+預測IC!DU21</f>
        <v>2.7872035754874038</v>
      </c>
      <c r="DV21" s="13">
        <f>DU21+預測IC!DV21</f>
        <v>2.9274795523572816</v>
      </c>
      <c r="DW21" s="13">
        <f>DV21+預測IC!DW21</f>
        <v>3.0557274210214027</v>
      </c>
      <c r="DX21" s="13">
        <f>DW21+預測IC!DX21</f>
        <v>2.8697612069902192</v>
      </c>
      <c r="DY21" s="13">
        <f>DX21+預測IC!DY21</f>
        <v>2.8943572025282354</v>
      </c>
      <c r="DZ21" s="13">
        <f>DY21+預測IC!DZ21</f>
        <v>2.8415131359679466</v>
      </c>
      <c r="EA21" s="13">
        <f>DZ21+預測IC!EA21</f>
        <v>2.8166476135195184</v>
      </c>
      <c r="EB21" s="13">
        <f>EA21+預測IC!EB21</f>
        <v>2.8250557596901045</v>
      </c>
      <c r="EC21" s="13">
        <f>EB21+預測IC!EC21</f>
        <v>2.8390928147881467</v>
      </c>
      <c r="ED21" s="13">
        <f>EC21+預測IC!ED21</f>
        <v>2.7845939584399662</v>
      </c>
      <c r="EE21" s="13">
        <f>ED21+預測IC!EE21</f>
        <v>2.7990228105483843</v>
      </c>
      <c r="EF21" s="13">
        <f>EE21+預測IC!EF21</f>
        <v>2.7802515465062654</v>
      </c>
    </row>
    <row r="22" spans="1:136">
      <c r="A22" s="2"/>
      <c r="B22" s="2" t="s">
        <v>194</v>
      </c>
      <c r="C22" s="13">
        <v>6.4235717628454689E-2</v>
      </c>
      <c r="D22" s="13">
        <f>C22+預測IC!D22</f>
        <v>0.206665050961788</v>
      </c>
      <c r="E22" s="13">
        <f>D22+預測IC!E22</f>
        <v>0.16563751896116896</v>
      </c>
      <c r="F22" s="13">
        <f>E22+預測IC!F22</f>
        <v>2.5769518961168969E-2</v>
      </c>
      <c r="G22" s="13">
        <f>F22+預測IC!G22</f>
        <v>-7.185305288629644E-3</v>
      </c>
      <c r="H22" s="13">
        <f>G22+預測IC!H22</f>
        <v>0.11699269471137036</v>
      </c>
      <c r="I22" s="13">
        <f>H22+預測IC!I22</f>
        <v>0.13443202804470369</v>
      </c>
      <c r="J22" s="13">
        <f>I22+預測IC!J22</f>
        <v>3.0180028044703697E-2</v>
      </c>
      <c r="K22" s="13">
        <f>J22+預測IC!K22</f>
        <v>-0.1231067426098056</v>
      </c>
      <c r="L22" s="13">
        <f>K22+預測IC!L22</f>
        <v>4.807661681609561E-2</v>
      </c>
      <c r="M22" s="13">
        <f>L22+預測IC!M22</f>
        <v>-0.13658671651723769</v>
      </c>
      <c r="N22" s="13">
        <f>M22+預測IC!N22</f>
        <v>0.61955561681609561</v>
      </c>
      <c r="O22" s="13">
        <f>N22+預測IC!O22</f>
        <v>0.55311328348276234</v>
      </c>
      <c r="P22" s="13">
        <f>O22+預測IC!P22</f>
        <v>0.64374361681609571</v>
      </c>
      <c r="Q22" s="13">
        <f>P22+預測IC!Q22</f>
        <v>0.77101828348276236</v>
      </c>
      <c r="R22" s="13">
        <f>Q22+預測IC!R22</f>
        <v>0.83771595014942901</v>
      </c>
      <c r="S22" s="13">
        <f>R22+預測IC!S22</f>
        <v>0.7984836168160957</v>
      </c>
      <c r="T22" s="13">
        <f>S22+預測IC!T22</f>
        <v>0.69363561681609576</v>
      </c>
      <c r="U22" s="13">
        <f>T22+預測IC!U22</f>
        <v>0.74611995014942911</v>
      </c>
      <c r="V22" s="13">
        <f>U22+預測IC!V22</f>
        <v>0.57049628348276238</v>
      </c>
      <c r="W22" s="13">
        <f>V22+預測IC!W22</f>
        <v>0.72854428348276234</v>
      </c>
      <c r="X22" s="13">
        <f>W22+預測IC!X22</f>
        <v>0.98574628348276239</v>
      </c>
      <c r="Y22" s="13">
        <f>X22+預測IC!Y22</f>
        <v>0.91588895014942906</v>
      </c>
      <c r="Z22" s="13">
        <f>Y22+預測IC!Z22</f>
        <v>0.93975695014942906</v>
      </c>
      <c r="AA22" s="13">
        <f>Z22+預測IC!AA22</f>
        <v>0.94680496703628581</v>
      </c>
      <c r="AB22" s="13">
        <f>AA22+預測IC!AB22</f>
        <v>0.90853163370295242</v>
      </c>
      <c r="AC22" s="13">
        <f>AB22+預測IC!AC22</f>
        <v>0.73132030036961915</v>
      </c>
      <c r="AD22" s="13">
        <f>AC22+預測IC!AD22</f>
        <v>0.71885299769904665</v>
      </c>
      <c r="AE22" s="13">
        <f>AD22+預測IC!AE22</f>
        <v>0.63370399769904662</v>
      </c>
      <c r="AF22" s="13">
        <f>AE22+預測IC!AF22</f>
        <v>0.58652168154102247</v>
      </c>
      <c r="AG22" s="13">
        <f>AF22+預測IC!AG22</f>
        <v>0.54055134820768913</v>
      </c>
      <c r="AH22" s="13">
        <f>AG22+預測IC!AH22</f>
        <v>0.64641730762816185</v>
      </c>
      <c r="AI22" s="13">
        <f>AH22+預測IC!AI22</f>
        <v>0.75742197429482849</v>
      </c>
      <c r="AJ22" s="13">
        <f>AI22+預測IC!AJ22</f>
        <v>0.77050330762816177</v>
      </c>
      <c r="AK22" s="13">
        <f>AJ22+預測IC!AK22</f>
        <v>0.70223664096149507</v>
      </c>
      <c r="AL22" s="13">
        <f>AK22+預測IC!AL22</f>
        <v>0.74257760776839543</v>
      </c>
      <c r="AM22" s="13">
        <f>AL22+預測IC!AM22</f>
        <v>0.82666651123609902</v>
      </c>
      <c r="AN22" s="13">
        <f>AM22+預測IC!AN22</f>
        <v>0.93779932089965834</v>
      </c>
      <c r="AO22" s="13">
        <f>AN22+預測IC!AO22</f>
        <v>1.0125166942933639</v>
      </c>
      <c r="AP22" s="13">
        <f>AO22+預測IC!AP22</f>
        <v>1.0330100276266971</v>
      </c>
      <c r="AQ22" s="13">
        <f>AP22+預測IC!AQ22</f>
        <v>1.1124361451052902</v>
      </c>
      <c r="AR22" s="13">
        <f>AQ22+預測IC!AR22</f>
        <v>1.3629688232636727</v>
      </c>
      <c r="AS22" s="13">
        <f>AR22+預測IC!AS22</f>
        <v>1.4457792621622227</v>
      </c>
      <c r="AT22" s="13">
        <f>AS22+預測IC!AT22</f>
        <v>1.4206429003221963</v>
      </c>
      <c r="AU22" s="13">
        <f>AT22+預測IC!AU22</f>
        <v>1.4541433522330662</v>
      </c>
      <c r="AV22" s="13">
        <f>AU22+預測IC!AV22</f>
        <v>1.3943301755571862</v>
      </c>
      <c r="AW22" s="13">
        <f>AV22+預測IC!AW22</f>
        <v>1.3641807863501771</v>
      </c>
      <c r="AX22" s="13">
        <f>AW22+預測IC!AX22</f>
        <v>1.2564231196835105</v>
      </c>
      <c r="AY22" s="13">
        <f>AX22+預測IC!AY22</f>
        <v>1.3281565050177411</v>
      </c>
      <c r="AZ22" s="13">
        <f>AY22+預測IC!AZ22</f>
        <v>1.1732527266965889</v>
      </c>
      <c r="BA22" s="13">
        <f>AZ22+預測IC!BA22</f>
        <v>1.1276543015291269</v>
      </c>
      <c r="BB22" s="13">
        <f>BA22+預測IC!BB22</f>
        <v>1.4295842460695498</v>
      </c>
      <c r="BC22" s="13">
        <f>BB22+預測IC!BC22</f>
        <v>1.2987473079465945</v>
      </c>
      <c r="BD22" s="13">
        <f>BC22+預測IC!BD22</f>
        <v>1.2765731264807663</v>
      </c>
      <c r="BE22" s="13">
        <f>BD22+預測IC!BE22</f>
        <v>1.2987893098752468</v>
      </c>
      <c r="BF22" s="13">
        <f>BE22+預測IC!BF22</f>
        <v>1.3124281272135665</v>
      </c>
      <c r="BG22" s="13">
        <f>BF22+預測IC!BG22</f>
        <v>1.3587076393819526</v>
      </c>
      <c r="BH22" s="13">
        <f>BG22+預測IC!BH22</f>
        <v>1.2307470970438208</v>
      </c>
      <c r="BI22" s="13">
        <f>BH22+預測IC!BI22</f>
        <v>1.3418358164537278</v>
      </c>
      <c r="BJ22" s="13">
        <f>BI22+預測IC!BJ22</f>
        <v>1.3968322316044488</v>
      </c>
      <c r="BK22" s="13">
        <f>BJ22+預測IC!BK22</f>
        <v>1.3549925956707836</v>
      </c>
      <c r="BL22" s="13">
        <f>BK22+預測IC!BL22</f>
        <v>1.5167729347418188</v>
      </c>
      <c r="BM22" s="13">
        <f>BL22+預測IC!BM22</f>
        <v>1.7085699741978659</v>
      </c>
      <c r="BN22" s="13">
        <f>BM22+預測IC!BN22</f>
        <v>1.6932424221748237</v>
      </c>
      <c r="BO22" s="13">
        <f>BN22+預測IC!BO22</f>
        <v>1.6427579930620733</v>
      </c>
      <c r="BP22" s="13">
        <f>BO22+預測IC!BP22</f>
        <v>1.7175935432171796</v>
      </c>
      <c r="BQ22" s="13">
        <f>BP22+預測IC!BQ22</f>
        <v>1.7454236406154922</v>
      </c>
      <c r="BR22" s="13">
        <f>BQ22+預測IC!BR22</f>
        <v>1.766237250081945</v>
      </c>
      <c r="BS22" s="13">
        <f>BR22+預測IC!BS22</f>
        <v>1.7498644677051458</v>
      </c>
      <c r="BT22" s="13">
        <f>BS22+預測IC!BT22</f>
        <v>1.880395171041692</v>
      </c>
      <c r="BU22" s="13">
        <f>BT22+預測IC!BU22</f>
        <v>2.0933439371797022</v>
      </c>
      <c r="BV22" s="13">
        <f>BU22+預測IC!BV22</f>
        <v>2.2518879095773112</v>
      </c>
      <c r="BW22" s="13">
        <f>BV22+預測IC!BW22</f>
        <v>2.077219411649704</v>
      </c>
      <c r="BX22" s="13">
        <f>BW22+預測IC!BX22</f>
        <v>2.1138568573416765</v>
      </c>
      <c r="BY22" s="13">
        <f>BX22+預測IC!BY22</f>
        <v>2.1091100709389421</v>
      </c>
      <c r="BZ22" s="13">
        <f>BY22+預測IC!BZ22</f>
        <v>2.1563678068018342</v>
      </c>
      <c r="CA22" s="13">
        <f>BZ22+預測IC!CA22</f>
        <v>2.3004481401351673</v>
      </c>
      <c r="CB22" s="13">
        <f>CA22+預測IC!CB22</f>
        <v>2.1514548618892406</v>
      </c>
      <c r="CC22" s="13">
        <f>CB22+預測IC!CC22</f>
        <v>2.1364691584510842</v>
      </c>
      <c r="CD22" s="13">
        <f>CC22+預測IC!CD22</f>
        <v>2.4703471951638072</v>
      </c>
      <c r="CE22" s="13">
        <f>CD22+預測IC!CE22</f>
        <v>2.076959856059529</v>
      </c>
      <c r="CF22" s="13">
        <f>CE22+預測IC!CF22</f>
        <v>2.2657596418198063</v>
      </c>
      <c r="CG22" s="13">
        <f>CF22+預測IC!CG22</f>
        <v>2.0624965496172192</v>
      </c>
      <c r="CH22" s="13">
        <f>CG22+預測IC!CH22</f>
        <v>2.1784153208966672</v>
      </c>
      <c r="CI22" s="13">
        <f>CH22+預測IC!CI22</f>
        <v>2.060635574618308</v>
      </c>
      <c r="CJ22" s="13">
        <f>CI22+預測IC!CJ22</f>
        <v>1.9572560695287453</v>
      </c>
      <c r="CK22" s="13">
        <f>CJ22+預測IC!CK22</f>
        <v>1.9934194121334277</v>
      </c>
      <c r="CL22" s="13">
        <f>CK22+預測IC!CL22</f>
        <v>1.7527676135083869</v>
      </c>
      <c r="CM22" s="13">
        <f>CL22+預測IC!CM22</f>
        <v>2.0731996171662121</v>
      </c>
      <c r="CN22" s="13">
        <f>CM22+預測IC!CN22</f>
        <v>2.0646528453453046</v>
      </c>
      <c r="CO22" s="13">
        <f>CN22+預測IC!CO22</f>
        <v>1.4146963770961489</v>
      </c>
      <c r="CP22" s="13">
        <f>CO22+預測IC!CP22</f>
        <v>1.6741049340655514</v>
      </c>
      <c r="CQ22" s="13">
        <f>CP22+預測IC!CQ22</f>
        <v>1.6617711547398868</v>
      </c>
      <c r="CR22" s="13">
        <f>CQ22+預測IC!CR22</f>
        <v>1.8236215760412788</v>
      </c>
      <c r="CS22" s="13">
        <f>CR22+預測IC!CS22</f>
        <v>1.808419392519856</v>
      </c>
      <c r="CT22" s="13">
        <f>CS22+預測IC!CT22</f>
        <v>1.8666519138758413</v>
      </c>
      <c r="CU22" s="13">
        <f>CT22+預測IC!CU22</f>
        <v>1.7464202019117434</v>
      </c>
      <c r="CV22" s="13">
        <f>CU22+預測IC!CV22</f>
        <v>1.8586538971187976</v>
      </c>
      <c r="CW22" s="13">
        <f>CV22+預測IC!CW22</f>
        <v>1.8951051504449627</v>
      </c>
      <c r="CX22" s="13">
        <f>CW22+預測IC!CX22</f>
        <v>1.8988547437128116</v>
      </c>
      <c r="CY22" s="13">
        <f>CX22+預測IC!CY22</f>
        <v>1.8908659179393024</v>
      </c>
      <c r="CZ22" s="13">
        <f>CY22+預測IC!CZ22</f>
        <v>2.1537864025385414</v>
      </c>
      <c r="DA22" s="13">
        <f>CZ22+預測IC!DA22</f>
        <v>2.1497946486566173</v>
      </c>
      <c r="DB22" s="13">
        <f>DA22+預測IC!DB22</f>
        <v>2.0914111418281252</v>
      </c>
      <c r="DC22" s="13">
        <f>DB22+預測IC!DC22</f>
        <v>2.0706863573839676</v>
      </c>
      <c r="DD22" s="13">
        <f>DC22+預測IC!DD22</f>
        <v>2.2185804599567711</v>
      </c>
      <c r="DE22" s="13">
        <f>DD22+預測IC!DE22</f>
        <v>2.2130887019748209</v>
      </c>
      <c r="DF22" s="13">
        <f>DE22+預測IC!DF22</f>
        <v>2.230120477248374</v>
      </c>
      <c r="DG22" s="13">
        <f>DF22+預測IC!DG22</f>
        <v>2.2621055203292615</v>
      </c>
      <c r="DH22" s="13">
        <f>DG22+預測IC!DH22</f>
        <v>2.2760508665127652</v>
      </c>
      <c r="DI22" s="13">
        <f>DH22+預測IC!DI22</f>
        <v>2.3396118657750145</v>
      </c>
      <c r="DJ22" s="13">
        <f>DI22+預測IC!DJ22</f>
        <v>2.2893658599419187</v>
      </c>
      <c r="DK22" s="13">
        <f>DJ22+預測IC!DK22</f>
        <v>2.468500573764759</v>
      </c>
      <c r="DL22" s="13">
        <f>DK22+預測IC!DL22</f>
        <v>2.593442221502142</v>
      </c>
      <c r="DM22" s="13">
        <f>DL22+預測IC!DM22</f>
        <v>2.5299761704641086</v>
      </c>
      <c r="DN22" s="13">
        <f>DM22+預測IC!DN22</f>
        <v>2.576739498668116</v>
      </c>
      <c r="DO22" s="13">
        <f>DN22+預測IC!DO22</f>
        <v>2.700176999979754</v>
      </c>
      <c r="DP22" s="13">
        <f>DO22+預測IC!DP22</f>
        <v>2.7104042578326579</v>
      </c>
      <c r="DQ22" s="13">
        <f>DP22+預測IC!DQ22</f>
        <v>2.5793732540132179</v>
      </c>
      <c r="DR22" s="13">
        <f>DQ22+預測IC!DR22</f>
        <v>2.5732807013978998</v>
      </c>
      <c r="DS22" s="13">
        <f>DR22+預測IC!DS22</f>
        <v>2.3762297798355405</v>
      </c>
      <c r="DT22" s="13">
        <f>DS22+預測IC!DT22</f>
        <v>2.3178727708387754</v>
      </c>
      <c r="DU22" s="13">
        <f>DT22+預測IC!DU22</f>
        <v>2.2603773800019362</v>
      </c>
      <c r="DV22" s="13">
        <f>DU22+預測IC!DV22</f>
        <v>2.386082497680114</v>
      </c>
      <c r="DW22" s="13">
        <f>DV22+預測IC!DW22</f>
        <v>2.4644722213871111</v>
      </c>
      <c r="DX22" s="13">
        <f>DW22+預測IC!DX22</f>
        <v>2.2420296129388162</v>
      </c>
      <c r="DY22" s="13">
        <f>DX22+預測IC!DY22</f>
        <v>2.2338824963132762</v>
      </c>
      <c r="DZ22" s="13">
        <f>DY22+預測IC!DZ22</f>
        <v>2.1301345153677187</v>
      </c>
      <c r="EA22" s="13">
        <f>DZ22+預測IC!EA22</f>
        <v>2.05958586652836</v>
      </c>
      <c r="EB22" s="13">
        <f>EA22+預測IC!EB22</f>
        <v>1.9789891389930421</v>
      </c>
      <c r="EC22" s="13">
        <f>EB22+預測IC!EC22</f>
        <v>2.0004842405686802</v>
      </c>
      <c r="ED22" s="13">
        <f>EC22+預測IC!ED22</f>
        <v>1.9230706735110727</v>
      </c>
      <c r="EE22" s="13">
        <f>ED22+預測IC!EE22</f>
        <v>1.9565169773232862</v>
      </c>
      <c r="EF22" s="13">
        <f>EE22+預測IC!EF22</f>
        <v>1.9217267309511139</v>
      </c>
    </row>
    <row r="23" spans="1:136">
      <c r="A23" s="2"/>
      <c r="B23" s="2" t="s">
        <v>195</v>
      </c>
      <c r="C23" s="13">
        <v>-3.4987009286289193E-2</v>
      </c>
      <c r="D23" s="13">
        <f>C23+預測IC!D23</f>
        <v>0.21910699071371079</v>
      </c>
      <c r="E23" s="13">
        <f>D23+預測IC!E23</f>
        <v>0.13816581814303858</v>
      </c>
      <c r="F23" s="13">
        <f>E23+預測IC!F23</f>
        <v>0.13442381814303858</v>
      </c>
      <c r="G23" s="13">
        <f>F23+預測IC!G23</f>
        <v>8.2199644296540197E-2</v>
      </c>
      <c r="H23" s="13">
        <f>G23+預測IC!H23</f>
        <v>6.4011144296540201E-2</v>
      </c>
      <c r="I23" s="13">
        <f>H23+預測IC!I23</f>
        <v>2.76256442965402E-2</v>
      </c>
      <c r="J23" s="13">
        <f>I23+預測IC!J23</f>
        <v>-8.7249855703459805E-2</v>
      </c>
      <c r="K23" s="13">
        <f>J23+預測IC!K23</f>
        <v>-0.29173933217569337</v>
      </c>
      <c r="L23" s="13">
        <f>K23+預測IC!L23</f>
        <v>-0.23769580240009475</v>
      </c>
      <c r="M23" s="13">
        <f>L23+預測IC!M23</f>
        <v>-0.38498530240009476</v>
      </c>
      <c r="N23" s="13">
        <f>M23+預測IC!N23</f>
        <v>0.59091569759990525</v>
      </c>
      <c r="O23" s="13">
        <f>N23+預測IC!O23</f>
        <v>0.46801569759990524</v>
      </c>
      <c r="P23" s="13">
        <f>O23+預測IC!P23</f>
        <v>0.52269719759990529</v>
      </c>
      <c r="Q23" s="13">
        <f>P23+預測IC!Q23</f>
        <v>0.81387469759990527</v>
      </c>
      <c r="R23" s="13">
        <f>Q23+預測IC!R23</f>
        <v>0.87669469759990526</v>
      </c>
      <c r="S23" s="13">
        <f>R23+預測IC!S23</f>
        <v>0.80412419759990528</v>
      </c>
      <c r="T23" s="13">
        <f>S23+預測IC!T23</f>
        <v>0.71944719759990527</v>
      </c>
      <c r="U23" s="13">
        <f>T23+預測IC!U23</f>
        <v>0.7786836975999053</v>
      </c>
      <c r="V23" s="13">
        <f>U23+預測IC!V23</f>
        <v>0.54620819759990535</v>
      </c>
      <c r="W23" s="13">
        <f>V23+預測IC!W23</f>
        <v>0.80575519759990533</v>
      </c>
      <c r="X23" s="13">
        <f>W23+預測IC!X23</f>
        <v>1.0003111975999053</v>
      </c>
      <c r="Y23" s="13">
        <f>X23+預測IC!Y23</f>
        <v>0.93235669759990525</v>
      </c>
      <c r="Z23" s="13">
        <f>Y23+預測IC!Z23</f>
        <v>0.97340869759990523</v>
      </c>
      <c r="AA23" s="13">
        <f>Z23+預測IC!AA23</f>
        <v>0.98001498956937549</v>
      </c>
      <c r="AB23" s="13">
        <f>AA23+預測IC!AB23</f>
        <v>0.93226698956937548</v>
      </c>
      <c r="AC23" s="13">
        <f>AB23+預測IC!AC23</f>
        <v>0.69825848956937553</v>
      </c>
      <c r="AD23" s="13">
        <f>AC23+預測IC!AD23</f>
        <v>0.68324758921232809</v>
      </c>
      <c r="AE23" s="13">
        <f>AD23+預測IC!AE23</f>
        <v>0.46153058921232809</v>
      </c>
      <c r="AF23" s="13">
        <f>AE23+預測IC!AF23</f>
        <v>0.39462432912257683</v>
      </c>
      <c r="AG23" s="13">
        <f>AF23+預測IC!AG23</f>
        <v>0.39256882912257685</v>
      </c>
      <c r="AH23" s="13">
        <f>AG23+預測IC!AH23</f>
        <v>0.47674041364576009</v>
      </c>
      <c r="AI23" s="13">
        <f>AH23+預測IC!AI23</f>
        <v>0.68589241364576004</v>
      </c>
      <c r="AJ23" s="13">
        <f>AI23+預測IC!AJ23</f>
        <v>0.70947941364576006</v>
      </c>
      <c r="AK23" s="13">
        <f>AJ23+預測IC!AK23</f>
        <v>0.72803941364576008</v>
      </c>
      <c r="AL23" s="13">
        <f>AK23+預測IC!AL23</f>
        <v>0.85947112683829574</v>
      </c>
      <c r="AM23" s="13">
        <f>AL23+預測IC!AM23</f>
        <v>0.86724061584316103</v>
      </c>
      <c r="AN23" s="13">
        <f>AM23+預測IC!AN23</f>
        <v>1.1095553152004618</v>
      </c>
      <c r="AO23" s="13">
        <f>AN23+預測IC!AO23</f>
        <v>1.1042183630090376</v>
      </c>
      <c r="AP23" s="13">
        <f>AO23+預測IC!AP23</f>
        <v>0.93895186300903766</v>
      </c>
      <c r="AQ23" s="13">
        <f>AP23+預測IC!AQ23</f>
        <v>1.0283768552686483</v>
      </c>
      <c r="AR23" s="13">
        <f>AQ23+預測IC!AR23</f>
        <v>1.365120899113716</v>
      </c>
      <c r="AS23" s="13">
        <f>AR23+預測IC!AS23</f>
        <v>1.3504140111163385</v>
      </c>
      <c r="AT23" s="13">
        <f>AS23+預測IC!AT23</f>
        <v>1.3089862893026889</v>
      </c>
      <c r="AU23" s="13">
        <f>AT23+預測IC!AU23</f>
        <v>1.3421318154311932</v>
      </c>
      <c r="AV23" s="13">
        <f>AU23+預測IC!AV23</f>
        <v>1.3144928212338192</v>
      </c>
      <c r="AW23" s="13">
        <f>AV23+預測IC!AW23</f>
        <v>1.2624659113954164</v>
      </c>
      <c r="AX23" s="13">
        <f>AW23+預測IC!AX23</f>
        <v>1.3276049113954165</v>
      </c>
      <c r="AY23" s="13">
        <f>AX23+預測IC!AY23</f>
        <v>1.4978388922359986</v>
      </c>
      <c r="AZ23" s="13">
        <f>AY23+預測IC!AZ23</f>
        <v>1.4340852748349384</v>
      </c>
      <c r="BA23" s="13">
        <f>AZ23+預測IC!BA23</f>
        <v>1.4437320549150392</v>
      </c>
      <c r="BB23" s="13">
        <f>BA23+預測IC!BB23</f>
        <v>1.3926825708121542</v>
      </c>
      <c r="BC23" s="13">
        <f>BB23+預測IC!BC23</f>
        <v>1.0918543216390884</v>
      </c>
      <c r="BD23" s="13">
        <f>BC23+預測IC!BD23</f>
        <v>1.1866852029855386</v>
      </c>
      <c r="BE23" s="13">
        <f>BD23+預測IC!BE23</f>
        <v>1.1152544405882421</v>
      </c>
      <c r="BF23" s="13">
        <f>BE23+預測IC!BF23</f>
        <v>1.0924074499835559</v>
      </c>
      <c r="BG23" s="13">
        <f>BF23+預測IC!BG23</f>
        <v>1.1671689211803085</v>
      </c>
      <c r="BH23" s="13">
        <f>BG23+預測IC!BH23</f>
        <v>0.96368493982502124</v>
      </c>
      <c r="BI23" s="13">
        <f>BH23+預測IC!BI23</f>
        <v>1.1547970191482204</v>
      </c>
      <c r="BJ23" s="13">
        <f>BI23+預測IC!BJ23</f>
        <v>1.2588003344161474</v>
      </c>
      <c r="BK23" s="13">
        <f>BJ23+預測IC!BK23</f>
        <v>1.2608344427526248</v>
      </c>
      <c r="BL23" s="13">
        <f>BK23+預測IC!BL23</f>
        <v>1.4103687390028643</v>
      </c>
      <c r="BM23" s="13">
        <f>BL23+預測IC!BM23</f>
        <v>1.5995494257900182</v>
      </c>
      <c r="BN23" s="13">
        <f>BM23+預測IC!BN23</f>
        <v>1.5926022550312051</v>
      </c>
      <c r="BO23" s="13">
        <f>BN23+預測IC!BO23</f>
        <v>1.6291271967772043</v>
      </c>
      <c r="BP23" s="13">
        <f>BO23+預測IC!BP23</f>
        <v>1.7273935959886608</v>
      </c>
      <c r="BQ23" s="13">
        <f>BP23+預測IC!BQ23</f>
        <v>1.799441497423927</v>
      </c>
      <c r="BR23" s="13">
        <f>BQ23+預測IC!BR23</f>
        <v>1.8172858188878898</v>
      </c>
      <c r="BS23" s="13">
        <f>BR23+預測IC!BS23</f>
        <v>1.7440104302299779</v>
      </c>
      <c r="BT23" s="13">
        <f>BS23+預測IC!BT23</f>
        <v>1.8876602362559751</v>
      </c>
      <c r="BU23" s="13">
        <f>BT23+預測IC!BU23</f>
        <v>2.0933479721019213</v>
      </c>
      <c r="BV23" s="13">
        <f>BU23+預測IC!BV23</f>
        <v>2.2068155404621099</v>
      </c>
      <c r="BW23" s="13">
        <f>BV23+預測IC!BW23</f>
        <v>2.0046632071864185</v>
      </c>
      <c r="BX23" s="13">
        <f>BW23+預測IC!BX23</f>
        <v>1.9964500874591653</v>
      </c>
      <c r="BY23" s="13">
        <f>BX23+預測IC!BY23</f>
        <v>1.9862443947648176</v>
      </c>
      <c r="BZ23" s="13">
        <f>BY23+預測IC!BZ23</f>
        <v>1.9939141571966625</v>
      </c>
      <c r="CA23" s="13">
        <f>BZ23+預測IC!CA23</f>
        <v>2.2002896571966626</v>
      </c>
      <c r="CB23" s="13">
        <f>CA23+預測IC!CB23</f>
        <v>1.9826754542042226</v>
      </c>
      <c r="CC23" s="13">
        <f>CB23+預測IC!CC23</f>
        <v>2.2076340816999029</v>
      </c>
      <c r="CD23" s="13">
        <f>CC23+預測IC!CD23</f>
        <v>2.3993105367146881</v>
      </c>
      <c r="CE23" s="13">
        <f>CD23+預測IC!CE23</f>
        <v>2.2826859299182267</v>
      </c>
      <c r="CF23" s="13">
        <f>CE23+預測IC!CF23</f>
        <v>2.4398208397093919</v>
      </c>
      <c r="CG23" s="13">
        <f>CF23+預測IC!CG23</f>
        <v>2.0465770517857154</v>
      </c>
      <c r="CH23" s="13">
        <f>CG23+預測IC!CH23</f>
        <v>2.2267735007071439</v>
      </c>
      <c r="CI23" s="13">
        <f>CH23+預測IC!CI23</f>
        <v>1.916874083579047</v>
      </c>
      <c r="CJ23" s="13">
        <f>CI23+預測IC!CJ23</f>
        <v>1.8969987160286363</v>
      </c>
      <c r="CK23" s="13">
        <f>CJ23+預測IC!CK23</f>
        <v>1.993115710756598</v>
      </c>
      <c r="CL23" s="13">
        <f>CK23+預測IC!CL23</f>
        <v>1.5844546980891796</v>
      </c>
      <c r="CM23" s="13">
        <f>CL23+預測IC!CM23</f>
        <v>1.9711876446120891</v>
      </c>
      <c r="CN23" s="13">
        <f>CM23+預測IC!CN23</f>
        <v>1.9181824662422857</v>
      </c>
      <c r="CO23" s="13">
        <f>CN23+預測IC!CO23</f>
        <v>1.0092591788766661</v>
      </c>
      <c r="CP23" s="13">
        <f>CO23+預測IC!CP23</f>
        <v>1.3206199220394228</v>
      </c>
      <c r="CQ23" s="13">
        <f>CP23+預測IC!CQ23</f>
        <v>1.3114361775396168</v>
      </c>
      <c r="CR23" s="13">
        <f>CQ23+預測IC!CR23</f>
        <v>1.3230339813606955</v>
      </c>
      <c r="CS23" s="13">
        <f>CR23+預測IC!CS23</f>
        <v>1.286059762369417</v>
      </c>
      <c r="CT23" s="13">
        <f>CS23+預測IC!CT23</f>
        <v>1.3317223040806709</v>
      </c>
      <c r="CU23" s="13">
        <f>CT23+預測IC!CU23</f>
        <v>1.3106657083673838</v>
      </c>
      <c r="CV23" s="13">
        <f>CU23+預測IC!CV23</f>
        <v>1.2884205708785781</v>
      </c>
      <c r="CW23" s="13">
        <f>CV23+預測IC!CW23</f>
        <v>1.3893219026809966</v>
      </c>
      <c r="CX23" s="13">
        <f>CW23+預測IC!CX23</f>
        <v>1.3006049085844702</v>
      </c>
      <c r="CY23" s="13">
        <f>CX23+預測IC!CY23</f>
        <v>1.3226514393378488</v>
      </c>
      <c r="CZ23" s="13">
        <f>CY23+預測IC!CZ23</f>
        <v>1.5046502331952001</v>
      </c>
      <c r="DA23" s="13">
        <f>CZ23+預測IC!DA23</f>
        <v>1.4736680969692897</v>
      </c>
      <c r="DB23" s="13">
        <f>DA23+預測IC!DB23</f>
        <v>1.4577129401022932</v>
      </c>
      <c r="DC23" s="13">
        <f>DB23+預測IC!DC23</f>
        <v>1.5769034261727075</v>
      </c>
      <c r="DD23" s="13">
        <f>DC23+預測IC!DD23</f>
        <v>1.7903144705797043</v>
      </c>
      <c r="DE23" s="13">
        <f>DD23+預測IC!DE23</f>
        <v>1.7809192446280595</v>
      </c>
      <c r="DF23" s="13">
        <f>DE23+預測IC!DF23</f>
        <v>1.8428613716729649</v>
      </c>
      <c r="DG23" s="13">
        <f>DF23+預測IC!DG23</f>
        <v>1.8811313835476819</v>
      </c>
      <c r="DH23" s="13">
        <f>DG23+預測IC!DH23</f>
        <v>1.9365448308564244</v>
      </c>
      <c r="DI23" s="13">
        <f>DH23+預測IC!DI23</f>
        <v>1.9900244277724453</v>
      </c>
      <c r="DJ23" s="13">
        <f>DI23+預測IC!DJ23</f>
        <v>1.9029664196000975</v>
      </c>
      <c r="DK23" s="13">
        <f>DJ23+預測IC!DK23</f>
        <v>2.1807996361589406</v>
      </c>
      <c r="DL23" s="13">
        <f>DK23+預測IC!DL23</f>
        <v>2.3969006956992143</v>
      </c>
      <c r="DM23" s="13">
        <f>DL23+預測IC!DM23</f>
        <v>2.3774033907798482</v>
      </c>
      <c r="DN23" s="13">
        <f>DM23+預測IC!DN23</f>
        <v>2.3839005868238186</v>
      </c>
      <c r="DO23" s="13">
        <f>DN23+預測IC!DO23</f>
        <v>2.5479918905576526</v>
      </c>
      <c r="DP23" s="13">
        <f>DO23+預測IC!DP23</f>
        <v>2.5950801232133753</v>
      </c>
      <c r="DQ23" s="13">
        <f>DP23+預測IC!DQ23</f>
        <v>2.4248691267098375</v>
      </c>
      <c r="DR23" s="13">
        <f>DQ23+預測IC!DR23</f>
        <v>2.3349831239785308</v>
      </c>
      <c r="DS23" s="13">
        <f>DR23+預測IC!DS23</f>
        <v>2.0468865470594846</v>
      </c>
      <c r="DT23" s="13">
        <f>DS23+預測IC!DT23</f>
        <v>1.9229313238632857</v>
      </c>
      <c r="DU23" s="13">
        <f>DT23+預測IC!DU23</f>
        <v>1.9572185091182832</v>
      </c>
      <c r="DV23" s="13">
        <f>DU23+預測IC!DV23</f>
        <v>2.2334901174477229</v>
      </c>
      <c r="DW23" s="13">
        <f>DV23+預測IC!DW23</f>
        <v>2.3747183500305615</v>
      </c>
      <c r="DX23" s="13">
        <f>DW23+預測IC!DX23</f>
        <v>2.0612251436515954</v>
      </c>
      <c r="DY23" s="13">
        <f>DX23+預測IC!DY23</f>
        <v>2.2311019723038497</v>
      </c>
      <c r="DZ23" s="13">
        <f>DY23+預測IC!DZ23</f>
        <v>2.1282289536773371</v>
      </c>
      <c r="EA23" s="13">
        <f>DZ23+預測IC!EA23</f>
        <v>2.1047800460642176</v>
      </c>
      <c r="EB23" s="13">
        <f>EA23+預測IC!EB23</f>
        <v>2.0420266063535424</v>
      </c>
      <c r="EC23" s="13">
        <f>EB23+預測IC!EC23</f>
        <v>2.0054422900277289</v>
      </c>
      <c r="ED23" s="13">
        <f>EC23+預測IC!ED23</f>
        <v>1.9140163854079479</v>
      </c>
      <c r="EE23" s="13">
        <f>ED23+預測IC!EE23</f>
        <v>1.9730670692961882</v>
      </c>
      <c r="EF23" s="13">
        <f>EE23+預測IC!EF23</f>
        <v>1.9252847907045285</v>
      </c>
    </row>
    <row r="24" spans="1:136">
      <c r="A24" s="2"/>
      <c r="B24" s="2" t="s">
        <v>196</v>
      </c>
      <c r="C24" s="13">
        <v>0.162993136931085</v>
      </c>
      <c r="D24" s="13">
        <f>C24+預測IC!D24</f>
        <v>0.263603136931085</v>
      </c>
      <c r="E24" s="13">
        <f>D24+預測IC!E24</f>
        <v>0.33500346710038192</v>
      </c>
      <c r="F24" s="13">
        <f>E24+預測IC!F24</f>
        <v>0.41032946710038193</v>
      </c>
      <c r="G24" s="13">
        <f>F24+預測IC!G24</f>
        <v>0.63608949015795435</v>
      </c>
      <c r="H24" s="13">
        <f>G24+預測IC!H24</f>
        <v>0.67194549015795435</v>
      </c>
      <c r="I24" s="13">
        <f>H24+預測IC!I24</f>
        <v>0.68887549015795435</v>
      </c>
      <c r="J24" s="13">
        <f>I24+預測IC!J24</f>
        <v>0.57341449015795432</v>
      </c>
      <c r="K24" s="13">
        <f>J24+預測IC!K24</f>
        <v>0.55189921180299417</v>
      </c>
      <c r="L24" s="13">
        <f>K24+預測IC!L24</f>
        <v>0.64752246231167632</v>
      </c>
      <c r="M24" s="13">
        <f>L24+預測IC!M24</f>
        <v>0.42973646231167628</v>
      </c>
      <c r="N24" s="13">
        <f>M24+預測IC!N24</f>
        <v>2.1987684623116763</v>
      </c>
      <c r="O24" s="13">
        <f>N24+預測IC!O24</f>
        <v>1.9544884623116763</v>
      </c>
      <c r="P24" s="13">
        <f>O24+預測IC!P24</f>
        <v>1.9562244623116762</v>
      </c>
      <c r="Q24" s="13">
        <f>P24+預測IC!Q24</f>
        <v>1.9533844623116763</v>
      </c>
      <c r="R24" s="13">
        <f>Q24+預測IC!R24</f>
        <v>1.9255574623116762</v>
      </c>
      <c r="S24" s="13">
        <f>R24+預測IC!S24</f>
        <v>1.9145074623116762</v>
      </c>
      <c r="T24" s="13">
        <f>S24+預測IC!T24</f>
        <v>1.6266874623116763</v>
      </c>
      <c r="U24" s="13">
        <f>T24+預測IC!U24</f>
        <v>1.9125404623116764</v>
      </c>
      <c r="V24" s="13">
        <f>U24+預測IC!V24</f>
        <v>1.8138604623116763</v>
      </c>
      <c r="W24" s="13">
        <f>V24+預測IC!W24</f>
        <v>1.6492984623116762</v>
      </c>
      <c r="X24" s="13">
        <f>W24+預測IC!X24</f>
        <v>1.6483994623116762</v>
      </c>
      <c r="Y24" s="13">
        <f>X24+預測IC!Y24</f>
        <v>1.5280804623116762</v>
      </c>
      <c r="Z24" s="13">
        <f>Y24+預測IC!Z24</f>
        <v>1.5036854623116762</v>
      </c>
      <c r="AA24" s="13">
        <f>Z24+預測IC!AA24</f>
        <v>1.5172332305492535</v>
      </c>
      <c r="AB24" s="13">
        <f>AA24+預測IC!AB24</f>
        <v>1.3329842305492536</v>
      </c>
      <c r="AC24" s="13">
        <f>AB24+預測IC!AC24</f>
        <v>1.0868142305492536</v>
      </c>
      <c r="AD24" s="13">
        <f>AC24+預測IC!AD24</f>
        <v>1.078992391656624</v>
      </c>
      <c r="AE24" s="13">
        <f>AD24+預測IC!AE24</f>
        <v>0.90372139165662402</v>
      </c>
      <c r="AF24" s="13">
        <f>AE24+預測IC!AF24</f>
        <v>0.88119938162183353</v>
      </c>
      <c r="AG24" s="13">
        <f>AF24+預測IC!AG24</f>
        <v>0.98710038162183356</v>
      </c>
      <c r="AH24" s="13">
        <f>AG24+預測IC!AH24</f>
        <v>1.0437977416896231</v>
      </c>
      <c r="AI24" s="13">
        <f>AH24+預測IC!AI24</f>
        <v>1.3542117416896231</v>
      </c>
      <c r="AJ24" s="13">
        <f>AI24+預測IC!AJ24</f>
        <v>1.439646741689623</v>
      </c>
      <c r="AK24" s="13">
        <f>AJ24+預測IC!AK24</f>
        <v>1.4410867416896231</v>
      </c>
      <c r="AL24" s="13">
        <f>AK24+預測IC!AL24</f>
        <v>1.3864098061989878</v>
      </c>
      <c r="AM24" s="13">
        <f>AL24+預測IC!AM24</f>
        <v>1.367490524778461</v>
      </c>
      <c r="AN24" s="13">
        <f>AM24+預測IC!AN24</f>
        <v>1.5886799899238924</v>
      </c>
      <c r="AO24" s="13">
        <f>AN24+預測IC!AO24</f>
        <v>1.6547701017528824</v>
      </c>
      <c r="AP24" s="13">
        <f>AO24+預測IC!AP24</f>
        <v>1.4902851017528824</v>
      </c>
      <c r="AQ24" s="13">
        <f>AP24+預測IC!AQ24</f>
        <v>1.5373620745871281</v>
      </c>
      <c r="AR24" s="13">
        <f>AQ24+預測IC!AR24</f>
        <v>1.547001331194735</v>
      </c>
      <c r="AS24" s="13">
        <f>AR24+預測IC!AS24</f>
        <v>1.5190452539281449</v>
      </c>
      <c r="AT24" s="13">
        <f>AS24+預測IC!AT24</f>
        <v>1.5495044614128535</v>
      </c>
      <c r="AU24" s="13">
        <f>AT24+預測IC!AU24</f>
        <v>1.5935997812780778</v>
      </c>
      <c r="AV24" s="13">
        <f>AU24+預測IC!AV24</f>
        <v>1.5064478290911818</v>
      </c>
      <c r="AW24" s="13">
        <f>AV24+預測IC!AW24</f>
        <v>1.511435370602221</v>
      </c>
      <c r="AX24" s="13">
        <f>AW24+預測IC!AX24</f>
        <v>1.485877370602221</v>
      </c>
      <c r="AY24" s="13">
        <f>AX24+預測IC!AY24</f>
        <v>1.6540046644871105</v>
      </c>
      <c r="AZ24" s="13">
        <f>AY24+預測IC!AZ24</f>
        <v>1.6918717380867756</v>
      </c>
      <c r="BA24" s="13">
        <f>AZ24+預測IC!BA24</f>
        <v>1.6380770060021423</v>
      </c>
      <c r="BB24" s="13">
        <f>BA24+預測IC!BB24</f>
        <v>1.5519179726068075</v>
      </c>
      <c r="BC24" s="13">
        <f>BB24+預測IC!BC24</f>
        <v>0.74870195956243013</v>
      </c>
      <c r="BD24" s="13">
        <f>BC24+預測IC!BD24</f>
        <v>0.93429717880886531</v>
      </c>
      <c r="BE24" s="13">
        <f>BD24+預測IC!BE24</f>
        <v>0.88823282477717846</v>
      </c>
      <c r="BF24" s="13">
        <f>BE24+預測IC!BF24</f>
        <v>0.97588416083127072</v>
      </c>
      <c r="BG24" s="13">
        <f>BF24+預測IC!BG24</f>
        <v>1.0027201266975816</v>
      </c>
      <c r="BH24" s="13">
        <f>BG24+預測IC!BH24</f>
        <v>0.61646478978404662</v>
      </c>
      <c r="BI24" s="13">
        <f>BH24+預測IC!BI24</f>
        <v>0.84009389585409378</v>
      </c>
      <c r="BJ24" s="13">
        <f>BI24+預測IC!BJ24</f>
        <v>0.84344221160897836</v>
      </c>
      <c r="BK24" s="13">
        <f>BJ24+預測IC!BK24</f>
        <v>0.84746575850326455</v>
      </c>
      <c r="BL24" s="13">
        <f>BK24+預測IC!BL24</f>
        <v>1.1646300524279811</v>
      </c>
      <c r="BM24" s="13">
        <f>BL24+預測IC!BM24</f>
        <v>1.1761030715457184</v>
      </c>
      <c r="BN24" s="13">
        <f>BM24+預測IC!BN24</f>
        <v>1.1829524133912932</v>
      </c>
      <c r="BO24" s="13">
        <f>BN24+預測IC!BO24</f>
        <v>1.0218427222956512</v>
      </c>
      <c r="BP24" s="13">
        <f>BO24+預測IC!BP24</f>
        <v>1.1451939034249732</v>
      </c>
      <c r="BQ24" s="13">
        <f>BP24+預測IC!BQ24</f>
        <v>1.0810242700948582</v>
      </c>
      <c r="BR24" s="13">
        <f>BQ24+預測IC!BR24</f>
        <v>1.1233804933982761</v>
      </c>
      <c r="BS24" s="13">
        <f>BR24+預測IC!BS24</f>
        <v>1.122095775913819</v>
      </c>
      <c r="BT24" s="13">
        <f>BS24+預測IC!BT24</f>
        <v>1.2383664719680063</v>
      </c>
      <c r="BU24" s="13">
        <f>BT24+預測IC!BU24</f>
        <v>1.4666931035279469</v>
      </c>
      <c r="BV24" s="13">
        <f>BU24+預測IC!BV24</f>
        <v>1.5744215574159297</v>
      </c>
      <c r="BW24" s="13">
        <f>BV24+預測IC!BW24</f>
        <v>1.5125856737803365</v>
      </c>
      <c r="BX24" s="13">
        <f>BW24+預測IC!BX24</f>
        <v>1.3796256180698787</v>
      </c>
      <c r="BY24" s="13">
        <f>BX24+預測IC!BY24</f>
        <v>1.4893712872372959</v>
      </c>
      <c r="BZ24" s="13">
        <f>BY24+預測IC!BZ24</f>
        <v>1.7482641860872929</v>
      </c>
      <c r="CA24" s="13">
        <f>BZ24+預測IC!CA24</f>
        <v>1.848292186087293</v>
      </c>
      <c r="CB24" s="13">
        <f>CA24+預測IC!CB24</f>
        <v>2.057054160375162</v>
      </c>
      <c r="CC24" s="13">
        <f>CB24+預測IC!CC24</f>
        <v>2.4969086726420957</v>
      </c>
      <c r="CD24" s="13">
        <f>CC24+預測IC!CD24</f>
        <v>2.6412149833842906</v>
      </c>
      <c r="CE24" s="13">
        <f>CD24+預測IC!CE24</f>
        <v>2.4310935481482021</v>
      </c>
      <c r="CF24" s="13">
        <f>CE24+預測IC!CF24</f>
        <v>2.6528149103935905</v>
      </c>
      <c r="CG24" s="13">
        <f>CF24+預測IC!CG24</f>
        <v>2.32899693137453</v>
      </c>
      <c r="CH24" s="13">
        <f>CG24+預測IC!CH24</f>
        <v>2.6832742282170328</v>
      </c>
      <c r="CI24" s="13">
        <f>CH24+預測IC!CI24</f>
        <v>3.0117260489262971</v>
      </c>
      <c r="CJ24" s="13">
        <f>CI24+預測IC!CJ24</f>
        <v>3.0248355343457165</v>
      </c>
      <c r="CK24" s="13">
        <f>CJ24+預測IC!CK24</f>
        <v>3.1183656136614131</v>
      </c>
      <c r="CL24" s="13">
        <f>CK24+預測IC!CL24</f>
        <v>3.2601209470339536</v>
      </c>
      <c r="CM24" s="13">
        <f>CL24+預測IC!CM24</f>
        <v>3.8097080569930539</v>
      </c>
      <c r="CN24" s="13">
        <f>CM24+預測IC!CN24</f>
        <v>3.7019692905358408</v>
      </c>
      <c r="CO24" s="13">
        <f>CN24+預測IC!CO24</f>
        <v>2.9253160721996094</v>
      </c>
      <c r="CP24" s="13">
        <f>CO24+預測IC!CP24</f>
        <v>3.0856602770144517</v>
      </c>
      <c r="CQ24" s="13">
        <f>CP24+預測IC!CQ24</f>
        <v>3.2003474508777483</v>
      </c>
      <c r="CR24" s="13">
        <f>CQ24+預測IC!CR24</f>
        <v>3.2614322891173049</v>
      </c>
      <c r="CS24" s="13">
        <f>CR24+預測IC!CS24</f>
        <v>3.1755370563704992</v>
      </c>
      <c r="CT24" s="13">
        <f>CS24+預測IC!CT24</f>
        <v>3.2719560645178949</v>
      </c>
      <c r="CU24" s="13">
        <f>CT24+預測IC!CU24</f>
        <v>3.199204716861185</v>
      </c>
      <c r="CV24" s="13">
        <f>CU24+預測IC!CV24</f>
        <v>3.2142687644005603</v>
      </c>
      <c r="CW24" s="13">
        <f>CV24+預測IC!CW24</f>
        <v>3.3893859304725678</v>
      </c>
      <c r="CX24" s="13">
        <f>CW24+預測IC!CX24</f>
        <v>3.4445931241812549</v>
      </c>
      <c r="CY24" s="13">
        <f>CX24+預測IC!CY24</f>
        <v>3.3645262195444361</v>
      </c>
      <c r="CZ24" s="13">
        <f>CY24+預測IC!CZ24</f>
        <v>3.4767328479890032</v>
      </c>
      <c r="DA24" s="13">
        <f>CZ24+預測IC!DA24</f>
        <v>3.5012440521517578</v>
      </c>
      <c r="DB24" s="13">
        <f>DA24+預測IC!DB24</f>
        <v>3.3057833796391036</v>
      </c>
      <c r="DC24" s="13">
        <f>DB24+預測IC!DC24</f>
        <v>3.4969591378096383</v>
      </c>
      <c r="DD24" s="13">
        <f>DC24+預測IC!DD24</f>
        <v>3.6503405185487443</v>
      </c>
      <c r="DE24" s="13">
        <f>DD24+預測IC!DE24</f>
        <v>3.4742777610392093</v>
      </c>
      <c r="DF24" s="13">
        <f>DE24+預測IC!DF24</f>
        <v>3.3696127850186479</v>
      </c>
      <c r="DG24" s="13">
        <f>DF24+預測IC!DG24</f>
        <v>3.4287186191429919</v>
      </c>
      <c r="DH24" s="13">
        <f>DG24+預測IC!DH24</f>
        <v>3.4295651442083583</v>
      </c>
      <c r="DI24" s="13">
        <f>DH24+預測IC!DI24</f>
        <v>3.5714406031466277</v>
      </c>
      <c r="DJ24" s="13">
        <f>DI24+預測IC!DJ24</f>
        <v>3.4389519926373882</v>
      </c>
      <c r="DK24" s="13">
        <f>DJ24+預測IC!DK24</f>
        <v>3.778461203267832</v>
      </c>
      <c r="DL24" s="13">
        <f>DK24+預測IC!DL24</f>
        <v>3.9915656295537132</v>
      </c>
      <c r="DM24" s="13">
        <f>DL24+預測IC!DM24</f>
        <v>3.8501261023268385</v>
      </c>
      <c r="DN24" s="13">
        <f>DM24+預測IC!DN24</f>
        <v>4.083460673101535</v>
      </c>
      <c r="DO24" s="13">
        <f>DN24+預測IC!DO24</f>
        <v>4.2689014757342232</v>
      </c>
      <c r="DP24" s="13">
        <f>DO24+預測IC!DP24</f>
        <v>4.3832749012202372</v>
      </c>
      <c r="DQ24" s="13">
        <f>DP24+預測IC!DQ24</f>
        <v>4.2502975499842677</v>
      </c>
      <c r="DR24" s="13">
        <f>DQ24+預測IC!DR24</f>
        <v>4.2297819197722388</v>
      </c>
      <c r="DS24" s="13">
        <f>DR24+預測IC!DS24</f>
        <v>4.0135203787393934</v>
      </c>
      <c r="DT24" s="13">
        <f>DS24+預測IC!DT24</f>
        <v>3.9751575125692638</v>
      </c>
      <c r="DU24" s="13">
        <f>DT24+預測IC!DU24</f>
        <v>3.9275189252955061</v>
      </c>
      <c r="DV24" s="13">
        <f>DU24+預測IC!DV24</f>
        <v>4.0857436239393206</v>
      </c>
      <c r="DW24" s="13">
        <f>DV24+預測IC!DW24</f>
        <v>4.1946007138306509</v>
      </c>
      <c r="DX24" s="13">
        <f>DW24+預測IC!DX24</f>
        <v>3.883007586038147</v>
      </c>
      <c r="DY24" s="13">
        <f>DX24+預測IC!DY24</f>
        <v>4.2268118728363557</v>
      </c>
      <c r="DZ24" s="13">
        <f>DY24+預測IC!DZ24</f>
        <v>4.1763426904332395</v>
      </c>
      <c r="EA24" s="13">
        <f>DZ24+預測IC!EA24</f>
        <v>4.2536936126605749</v>
      </c>
      <c r="EB24" s="13">
        <f>EA24+預測IC!EB24</f>
        <v>4.2241114362952805</v>
      </c>
      <c r="EC24" s="13">
        <f>EB24+預測IC!EC24</f>
        <v>4.2098015175246015</v>
      </c>
      <c r="ED24" s="13">
        <f>EC24+預測IC!ED24</f>
        <v>4.1536286722262394</v>
      </c>
      <c r="EE24" s="13">
        <f>ED24+預測IC!EE24</f>
        <v>4.2670581114174579</v>
      </c>
      <c r="EF24" s="13">
        <f>EE24+預測IC!EF24</f>
        <v>4.3343347884614261</v>
      </c>
    </row>
    <row r="25" spans="1:136">
      <c r="A25" s="2"/>
      <c r="B25" s="2" t="s">
        <v>144</v>
      </c>
      <c r="C25" s="4">
        <v>-1.7446770539390338E-2</v>
      </c>
      <c r="D25" s="4">
        <f>C25+預測IC!D26</f>
        <v>3.2542899924252917E-3</v>
      </c>
      <c r="E25" s="4">
        <f>D25+預測IC!E26</f>
        <v>2.7236419247192001E-2</v>
      </c>
      <c r="F25" s="4">
        <f>E25+預測IC!F26</f>
        <v>2.0678840274368924E-2</v>
      </c>
      <c r="G25" s="4">
        <f>F25+預測IC!G26</f>
        <v>5.2523970074888612E-2</v>
      </c>
      <c r="H25" s="4">
        <f>G25+預測IC!H26</f>
        <v>8.6872502811879138E-2</v>
      </c>
      <c r="I25" s="4">
        <f>H25+預測IC!I26</f>
        <v>7.8617570030553904E-2</v>
      </c>
      <c r="J25" s="4">
        <f>I25+預測IC!J26</f>
        <v>9.1461094424606662E-2</v>
      </c>
      <c r="K25" s="4">
        <f>J25+預測IC!K26</f>
        <v>4.0442569797815839E-2</v>
      </c>
      <c r="L25" s="4">
        <f>K25+預測IC!L26</f>
        <v>4.1316512538852428E-2</v>
      </c>
      <c r="M25" s="4">
        <f>L25+預測IC!M26</f>
        <v>6.4706088044348353E-2</v>
      </c>
      <c r="N25" s="4">
        <f>M25+預測IC!N26</f>
        <v>7.7695060244681202E-2</v>
      </c>
      <c r="O25" s="4">
        <f>N25+預測IC!O26</f>
        <v>8.3549648970316082E-2</v>
      </c>
      <c r="P25" s="4">
        <f>O25+預測IC!P26</f>
        <v>0.11096285554210664</v>
      </c>
      <c r="Q25" s="4">
        <f>P25+預測IC!Q26</f>
        <v>0.10724991942441378</v>
      </c>
      <c r="R25" s="4">
        <f>Q25+預測IC!R26</f>
        <v>0.13132653347223711</v>
      </c>
      <c r="S25" s="4">
        <f>R25+預測IC!S26</f>
        <v>0.11913650817319715</v>
      </c>
      <c r="T25" s="4">
        <f>S25+預測IC!T26</f>
        <v>7.9386930013607554E-2</v>
      </c>
      <c r="U25" s="4">
        <f>T25+預測IC!U26</f>
        <v>6.2314801819580018E-3</v>
      </c>
      <c r="V25" s="4">
        <f>U25+預測IC!V26</f>
        <v>-5.2028749728156659E-2</v>
      </c>
      <c r="W25" s="4">
        <f>V25+預測IC!W26</f>
        <v>-5.1255952162648284E-2</v>
      </c>
      <c r="X25" s="4">
        <f>W25+預測IC!X26</f>
        <v>-6.6644310274293142E-3</v>
      </c>
      <c r="Y25" s="4">
        <f>X25+預測IC!Y26</f>
        <v>-3.4364111077642409E-2</v>
      </c>
      <c r="Z25" s="4">
        <f>Y25+預測IC!Z26</f>
        <v>-3.226910512789876E-2</v>
      </c>
      <c r="AA25" s="4">
        <f>Z25+預測IC!AA26</f>
        <v>-5.5669656120462874E-2</v>
      </c>
      <c r="AB25" s="4">
        <f>AA25+預測IC!AB26</f>
        <v>-2.3540285023140685E-2</v>
      </c>
      <c r="AC25" s="4">
        <f>AB25+預測IC!AC26</f>
        <v>1.5362988070925745E-2</v>
      </c>
      <c r="AD25" s="4">
        <f>AC25+預測IC!AD26</f>
        <v>-2.7502394100178525E-2</v>
      </c>
      <c r="AE25" s="4">
        <f>AD25+預測IC!AE26</f>
        <v>-8.8551995500263658E-3</v>
      </c>
      <c r="AF25" s="4">
        <f>AE25+預測IC!AF26</f>
        <v>6.3745687725025833E-3</v>
      </c>
      <c r="AG25" s="4">
        <f>AF25+預測IC!AG26</f>
        <v>4.2391172551395004E-2</v>
      </c>
      <c r="AH25" s="4">
        <f>AG25+預測IC!AH26</f>
        <v>5.174578393671117E-2</v>
      </c>
      <c r="AI25" s="4">
        <f>AH25+預測IC!AI26</f>
        <v>6.2494035273549312E-2</v>
      </c>
      <c r="AJ25" s="4">
        <f>AI25+預測IC!AJ26</f>
        <v>7.5851789326630281E-2</v>
      </c>
      <c r="AK25" s="4">
        <f>AJ25+預測IC!AK26</f>
        <v>7.0519041997534893E-2</v>
      </c>
      <c r="AL25" s="4">
        <f>AK25+預測IC!AL26</f>
        <v>7.1902177804796574E-2</v>
      </c>
      <c r="AM25" s="4">
        <f>AL25+預測IC!AM26</f>
        <v>9.2698106224871041E-2</v>
      </c>
      <c r="AN25" s="4">
        <f>AM25+預測IC!AN26</f>
        <v>0.12421580844526167</v>
      </c>
      <c r="AO25" s="4">
        <f>AN25+預測IC!AO26</f>
        <v>0.13045752497859112</v>
      </c>
      <c r="AP25" s="4">
        <f>AO25+預測IC!AP26</f>
        <v>0.13660278663216249</v>
      </c>
      <c r="AQ25" s="4">
        <f>AP25+預測IC!AQ26</f>
        <v>0.15354914430885899</v>
      </c>
      <c r="AR25" s="4">
        <f>AQ25+預測IC!AR26</f>
        <v>0.18823197476316722</v>
      </c>
      <c r="AS25" s="4">
        <f>AR25+預測IC!AS26</f>
        <v>0.19133056338036419</v>
      </c>
      <c r="AT25" s="4">
        <f>AS25+預測IC!AT26</f>
        <v>0.2064119105238503</v>
      </c>
      <c r="AU25" s="4">
        <f>AT25+預測IC!AU26</f>
        <v>0.18716070129398632</v>
      </c>
      <c r="AV25" s="4">
        <f>AU25+預測IC!AV26</f>
        <v>0.22587221468161775</v>
      </c>
      <c r="AW25" s="4">
        <f>AV25+預測IC!AW26</f>
        <v>0.20401526354588115</v>
      </c>
      <c r="AX25" s="4">
        <f>AW25+預測IC!AX26</f>
        <v>0.21178956425567083</v>
      </c>
      <c r="AY25" s="4">
        <f>AX25+預測IC!AY26</f>
        <v>0.25418681095099677</v>
      </c>
      <c r="AZ25" s="4">
        <f>AY25+預測IC!AZ26</f>
        <v>0.22787783608983703</v>
      </c>
      <c r="BA25" s="4">
        <f>AZ25+預測IC!BA26</f>
        <v>0.23744958539855326</v>
      </c>
      <c r="BB25" s="4">
        <f>BA25+預測IC!BB26</f>
        <v>0.21319984413227844</v>
      </c>
      <c r="BC25" s="4">
        <f>BB25+預測IC!BC26</f>
        <v>0.23336321827619427</v>
      </c>
      <c r="BD25" s="4">
        <f>BC25+預測IC!BD26</f>
        <v>0.22985821949407825</v>
      </c>
      <c r="BE25" s="4">
        <f>BD25+預測IC!BE26</f>
        <v>0.25001015459262055</v>
      </c>
      <c r="BF25" s="4">
        <f>BE25+預測IC!BF26</f>
        <v>0.25059149082339083</v>
      </c>
      <c r="BG25" s="4">
        <f>BF25+預測IC!BG26</f>
        <v>0.24537178987013822</v>
      </c>
      <c r="BH25" s="4">
        <f>BG25+預測IC!BH26</f>
        <v>0.12950002846800823</v>
      </c>
      <c r="BI25" s="4">
        <f>BH25+預測IC!BI26</f>
        <v>0.13822525416044559</v>
      </c>
      <c r="BJ25" s="4">
        <f>BI25+預測IC!BJ26</f>
        <v>0.12184799318262345</v>
      </c>
      <c r="BK25" s="4">
        <f>BJ25+預測IC!BK26</f>
        <v>0.14268836478288388</v>
      </c>
      <c r="BL25" s="4">
        <f>BK25+預測IC!BL26</f>
        <v>0.18766423688499859</v>
      </c>
      <c r="BM25" s="4">
        <f>BL25+預測IC!BM26</f>
        <v>0.21161854296686244</v>
      </c>
      <c r="BN25" s="4">
        <f>BM25+預測IC!BN26</f>
        <v>0.24185764435830504</v>
      </c>
      <c r="BO25" s="4">
        <f>BN25+預測IC!BO26</f>
        <v>0.19813175676721753</v>
      </c>
      <c r="BP25" s="4">
        <f>BO25+預測IC!BP26</f>
        <v>0.22002122633541615</v>
      </c>
      <c r="BQ25" s="4">
        <f>BP25+預測IC!BQ26</f>
        <v>0.22864865659892455</v>
      </c>
      <c r="BR25" s="4">
        <f>BQ25+預測IC!BR26</f>
        <v>0.20945570260426577</v>
      </c>
      <c r="BS25" s="4">
        <f>BR25+預測IC!BS26</f>
        <v>0.22919083249239883</v>
      </c>
      <c r="BT25" s="4">
        <f>BS25+預測IC!BT26</f>
        <v>0.27688516997609824</v>
      </c>
      <c r="BU25" s="4">
        <f>BT25+預測IC!BU26</f>
        <v>0.28833998678268163</v>
      </c>
      <c r="BV25" s="4">
        <f>BU25+預測IC!BV26</f>
        <v>0.33156860751789485</v>
      </c>
      <c r="BW25" s="4">
        <f>BV25+預測IC!BW26</f>
        <v>0.28882117708097205</v>
      </c>
      <c r="BX25" s="4">
        <f>BW25+預測IC!BX26</f>
        <v>0.27100988465317749</v>
      </c>
      <c r="BY25" s="4">
        <f>BX25+預測IC!BY26</f>
        <v>0.11985678778410189</v>
      </c>
      <c r="BZ25" s="4">
        <f>BY25+預測IC!BZ26</f>
        <v>0.24408079140367717</v>
      </c>
      <c r="CA25" s="4">
        <f>BZ25+預測IC!CA26</f>
        <v>0.23952353755914751</v>
      </c>
      <c r="CB25" s="4">
        <f>CA25+預測IC!CB26</f>
        <v>0.29973477776405871</v>
      </c>
      <c r="CC25" s="4">
        <f>CB25+預測IC!CC26</f>
        <v>0.385726811246561</v>
      </c>
      <c r="CD25" s="4">
        <f>CC25+預測IC!CD26</f>
        <v>0.37991833166419492</v>
      </c>
      <c r="CE25" s="4">
        <f>CD25+預測IC!CE26</f>
        <v>0.37387698467522684</v>
      </c>
      <c r="CF25" s="4">
        <f>CE25+預測IC!CF26</f>
        <v>0.37632930904747891</v>
      </c>
      <c r="CG25" s="4">
        <f>CF25+預測IC!CG26</f>
        <v>0.46596556098450181</v>
      </c>
      <c r="CH25" s="4">
        <f>CG25+預測IC!CH26</f>
        <v>0.53695829351125968</v>
      </c>
      <c r="CI25" s="4">
        <f>CH25+預測IC!CI26</f>
        <v>0.56412893641304307</v>
      </c>
      <c r="CJ25" s="4">
        <f>CI25+預測IC!CJ26</f>
        <v>0.61659736483837313</v>
      </c>
      <c r="CK25" s="4">
        <f>CJ25+預測IC!CK26</f>
        <v>0.64607802578142259</v>
      </c>
      <c r="CL25" s="4">
        <f>CK25+預測IC!CL26</f>
        <v>0.71290310684162383</v>
      </c>
      <c r="CM25" s="4">
        <f>CL25+預測IC!CM26</f>
        <v>0.68413087782180682</v>
      </c>
      <c r="CN25" s="4">
        <f>CM25+預測IC!CN26</f>
        <v>0.72359339372344467</v>
      </c>
      <c r="CO25" s="4">
        <f>CN25+預測IC!CO26</f>
        <v>0.69456230674608477</v>
      </c>
      <c r="CP25" s="4">
        <f>CO25+預測IC!CP26</f>
        <v>0.70854618926555268</v>
      </c>
      <c r="CQ25" s="4">
        <f>CP25+預測IC!CQ26</f>
        <v>0.67626922430621883</v>
      </c>
      <c r="CR25" s="4">
        <f>CQ25+預測IC!CR26</f>
        <v>0.6793728009191129</v>
      </c>
      <c r="CS25" s="4">
        <f>CR25+預測IC!CS26</f>
        <v>0.70496465668619601</v>
      </c>
      <c r="CT25" s="4">
        <f>CS25+預測IC!CT26</f>
        <v>0.74935654297338927</v>
      </c>
      <c r="CU25" s="4">
        <f>CT25+預測IC!CU26</f>
        <v>0.71901758442381181</v>
      </c>
      <c r="CV25" s="4">
        <f>CU25+預測IC!CV26</f>
        <v>0.7177596079692401</v>
      </c>
      <c r="CW25" s="4">
        <f>CV25+預測IC!CW26</f>
        <v>0.72009596442509805</v>
      </c>
      <c r="CX25" s="4">
        <f>CW25+預測IC!CX26</f>
        <v>0.655831819499192</v>
      </c>
      <c r="CY25" s="4">
        <f>CX25+預測IC!CY26</f>
        <v>0.66874159895818441</v>
      </c>
      <c r="CZ25" s="4">
        <f>CY25+預測IC!CZ26</f>
        <v>0.54326450428732564</v>
      </c>
      <c r="DA25" s="4">
        <f>CZ25+預測IC!DA26</f>
        <v>0.55495518722711823</v>
      </c>
      <c r="DB25" s="4">
        <f>DA25+預測IC!DB26</f>
        <v>0.56129303092785998</v>
      </c>
      <c r="DC25" s="4">
        <f>DB25+預測IC!DC26</f>
        <v>0.44398767445847448</v>
      </c>
      <c r="DD25" s="4">
        <f>DC25+預測IC!DD26</f>
        <v>0.40797680240902789</v>
      </c>
      <c r="DE25" s="4">
        <f>DD25+預測IC!DE26</f>
        <v>0.54688810648129582</v>
      </c>
      <c r="DF25" s="4">
        <f>DE25+預測IC!DF26</f>
        <v>0.49574460025519007</v>
      </c>
      <c r="DG25" s="4">
        <f>DF25+預測IC!DG26</f>
        <v>0.57247604743715907</v>
      </c>
      <c r="DH25" s="4">
        <f>DG25+預測IC!DH26</f>
        <v>0.58798482963416721</v>
      </c>
      <c r="DI25" s="4">
        <f>DH25+預測IC!DI26</f>
        <v>0.61120860330892302</v>
      </c>
      <c r="DJ25" s="4">
        <f>DI25+預測IC!DJ26</f>
        <v>0.59283572694769515</v>
      </c>
      <c r="DK25" s="4">
        <f>DJ25+預測IC!DK26</f>
        <v>0.65503474103279458</v>
      </c>
      <c r="DL25" s="4">
        <f>DK25+預測IC!DL26</f>
        <v>0.67513304551975173</v>
      </c>
      <c r="DM25" s="4">
        <f>DL25+預測IC!DM26</f>
        <v>0.68863198526781977</v>
      </c>
      <c r="DN25" s="4">
        <f>DM25+預測IC!DN26</f>
        <v>0.65837977253939894</v>
      </c>
      <c r="DO25" s="4">
        <f>DN25+預測IC!DO26</f>
        <v>0.64135693683134509</v>
      </c>
      <c r="DP25" s="4">
        <f>DO25+預測IC!DP26</f>
        <v>0.61956841355888315</v>
      </c>
      <c r="DQ25" s="4">
        <f>DP25+預測IC!DQ26</f>
        <v>0.70531403814402038</v>
      </c>
      <c r="DR25" s="4">
        <f>DQ25+預測IC!DR26</f>
        <v>0.73342078174899417</v>
      </c>
      <c r="DS25" s="4">
        <f>DR25+預測IC!DS26</f>
        <v>0.73111762194163477</v>
      </c>
      <c r="DT25" s="4">
        <f>DS25+預測IC!DT26</f>
        <v>0.78958882007312226</v>
      </c>
      <c r="DU25" s="4">
        <f>DT25+預測IC!DU26</f>
        <v>0.85724776912176992</v>
      </c>
      <c r="DV25" s="4">
        <f>DU25+預測IC!DV26</f>
        <v>0.86226853976220219</v>
      </c>
      <c r="DW25" s="4">
        <f>DV25+預測IC!DW26</f>
        <v>0.89968472343740924</v>
      </c>
      <c r="DX25" s="4">
        <f>DW25+預測IC!DX26</f>
        <v>0.98379572718345132</v>
      </c>
      <c r="DY25" s="4">
        <f>DX25+預測IC!DY26</f>
        <v>0.94696332863943844</v>
      </c>
      <c r="DZ25" s="4">
        <f>DY25+預測IC!DZ26</f>
        <v>0.95005503145637549</v>
      </c>
      <c r="EA25" s="4">
        <f>DZ25+預測IC!EA26</f>
        <v>0.94809740324208092</v>
      </c>
      <c r="EB25" s="4">
        <f>EA25+預測IC!EB26</f>
        <v>0.97455650684560069</v>
      </c>
      <c r="EC25" s="4">
        <f>EB25+預測IC!EC26</f>
        <v>0.94980396808491041</v>
      </c>
      <c r="ED25" s="4">
        <f>EC25+預測IC!ED26</f>
        <v>0.98391945906747036</v>
      </c>
      <c r="EE25" s="4">
        <f>ED25+預測IC!EE26</f>
        <v>1.0049814330565034</v>
      </c>
      <c r="EF25" s="4">
        <f>EE25+預測IC!EF26</f>
        <v>0.98470404035049752</v>
      </c>
    </row>
    <row r="26" spans="1:136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F21"/>
  <sheetViews>
    <sheetView topLeftCell="A10" zoomScale="178" workbookViewId="0">
      <selection activeCell="C22" sqref="C22"/>
    </sheetView>
  </sheetViews>
  <sheetFormatPr baseColWidth="10" defaultColWidth="8.83203125" defaultRowHeight="15"/>
  <cols>
    <col min="1" max="1" width="14.1640625" style="12" customWidth="1"/>
  </cols>
  <sheetData>
    <row r="1" spans="1:136">
      <c r="A1" t="s">
        <v>197</v>
      </c>
    </row>
    <row r="2" spans="1:136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  <c r="DY2" t="s">
        <v>128</v>
      </c>
      <c r="DZ2" t="s">
        <v>129</v>
      </c>
      <c r="EA2" t="s">
        <v>130</v>
      </c>
      <c r="EB2" t="s">
        <v>131</v>
      </c>
      <c r="EC2" t="s">
        <v>132</v>
      </c>
      <c r="ED2" t="s">
        <v>133</v>
      </c>
      <c r="EE2" t="s">
        <v>134</v>
      </c>
      <c r="EF2" t="s">
        <v>135</v>
      </c>
    </row>
    <row r="3" spans="1:136">
      <c r="B3" t="s">
        <v>136</v>
      </c>
      <c r="C3" s="7">
        <v>7.9040621616132428E-2</v>
      </c>
      <c r="D3" s="7">
        <v>0.17983518543162419</v>
      </c>
      <c r="E3" s="7">
        <v>1.5558542820582799E-2</v>
      </c>
      <c r="F3" s="7">
        <v>-2.1374203652038289E-2</v>
      </c>
      <c r="G3" s="7">
        <v>-8.0895058721012214E-3</v>
      </c>
      <c r="H3" s="7">
        <v>-1.5424142996262571E-2</v>
      </c>
      <c r="I3" s="7">
        <v>-0.1970079222252091</v>
      </c>
      <c r="J3" s="7">
        <v>0.27879379848666003</v>
      </c>
      <c r="K3" s="7">
        <v>-5.8042552738333253E-3</v>
      </c>
      <c r="L3" s="7">
        <v>-4.7625460802946967E-2</v>
      </c>
      <c r="M3" s="7">
        <v>-5.2692769603885914E-3</v>
      </c>
      <c r="N3" s="7">
        <v>-0.1907915725736046</v>
      </c>
      <c r="O3" s="7">
        <v>0.31104453537531868</v>
      </c>
      <c r="P3" s="7">
        <v>0.1137423411079562</v>
      </c>
      <c r="Q3" s="7">
        <v>-0.12249966541698799</v>
      </c>
      <c r="R3" s="7">
        <v>-0.1125772096752599</v>
      </c>
      <c r="S3" s="7">
        <v>0.1047628479068862</v>
      </c>
      <c r="T3" s="7">
        <v>-0.1451144301876503</v>
      </c>
      <c r="U3" s="7">
        <v>-0.26268964672070189</v>
      </c>
      <c r="V3" s="7">
        <v>2.009334481821196E-3</v>
      </c>
      <c r="W3" s="7">
        <v>0.12943264471598109</v>
      </c>
      <c r="X3" s="7">
        <v>-8.859040691762049E-2</v>
      </c>
      <c r="Y3" s="7">
        <v>0.27865156855692891</v>
      </c>
      <c r="Z3" s="7">
        <v>0.1034271724790103</v>
      </c>
      <c r="AA3" s="7">
        <v>0.48570701238273079</v>
      </c>
      <c r="AB3" s="7">
        <v>-0.23509490687265411</v>
      </c>
      <c r="AC3" s="7">
        <v>1.2145875696980829E-2</v>
      </c>
      <c r="AD3" s="7">
        <v>2.4576879822336362E-2</v>
      </c>
      <c r="AE3" s="7">
        <v>-6.1133662722790971E-3</v>
      </c>
      <c r="AF3" s="7">
        <v>-5.6971515948832707E-2</v>
      </c>
      <c r="AG3" s="7">
        <v>0.1202382386574528</v>
      </c>
      <c r="AH3" s="7">
        <v>4.4012260680666333E-2</v>
      </c>
      <c r="AI3" s="7">
        <v>0.16346824092386009</v>
      </c>
      <c r="AJ3" s="7">
        <v>6.8233888505041862E-2</v>
      </c>
      <c r="AK3" s="7">
        <v>8.7340318019473118E-2</v>
      </c>
      <c r="AL3" s="7">
        <v>0.18601906455501879</v>
      </c>
      <c r="AM3" s="7">
        <v>9.6461005928937582E-2</v>
      </c>
      <c r="AN3" s="7">
        <v>0.20788493486511331</v>
      </c>
      <c r="AO3" s="7">
        <v>0.11987464702588579</v>
      </c>
      <c r="AP3" s="7">
        <v>-2.8675104661629199E-2</v>
      </c>
      <c r="AQ3" s="7">
        <v>-0.2120280442754702</v>
      </c>
      <c r="AR3" s="7">
        <v>-3.2704510357730587E-2</v>
      </c>
      <c r="AS3" s="7">
        <v>0.14122641902805161</v>
      </c>
      <c r="AT3" s="7">
        <v>-3.4747272652197507E-2</v>
      </c>
      <c r="AU3" s="7">
        <v>4.5616594078816568E-2</v>
      </c>
      <c r="AV3" s="7">
        <v>2.2144326545282141E-2</v>
      </c>
      <c r="AW3" s="7">
        <v>-0.17266700355485989</v>
      </c>
      <c r="AX3" s="7">
        <v>7.5979339060004814E-2</v>
      </c>
      <c r="AY3" s="7">
        <v>9.1669895598312512E-3</v>
      </c>
      <c r="AZ3" s="7">
        <v>1.5811638424496791E-2</v>
      </c>
      <c r="BA3" s="7">
        <v>0.1596223887210684</v>
      </c>
      <c r="BB3" s="7">
        <v>-0.12355126364150031</v>
      </c>
      <c r="BC3" s="7">
        <v>0.15614706721655541</v>
      </c>
      <c r="BD3" s="7">
        <v>0.16786712695784009</v>
      </c>
      <c r="BE3" s="7">
        <v>-0.1307095148892152</v>
      </c>
      <c r="BF3" s="7">
        <v>1.004111774608712E-2</v>
      </c>
      <c r="BG3" s="7">
        <v>0.31562101483380489</v>
      </c>
      <c r="BH3" s="7">
        <v>0.27021360932664601</v>
      </c>
      <c r="BI3" s="7">
        <v>5.6087308194300967E-2</v>
      </c>
      <c r="BJ3" s="7">
        <v>-2.428144716888792E-3</v>
      </c>
      <c r="BK3" s="7">
        <v>7.9795011400059179E-2</v>
      </c>
      <c r="BL3" s="7">
        <v>-2.3464502785466301E-2</v>
      </c>
      <c r="BM3" s="7">
        <v>9.4115599855399634E-2</v>
      </c>
      <c r="BN3" s="7">
        <v>1.8770326613512078E-2</v>
      </c>
      <c r="BO3" s="7">
        <v>-0.14839887615687969</v>
      </c>
      <c r="BP3" s="7">
        <v>4.107337954030732E-2</v>
      </c>
      <c r="BQ3" s="7">
        <v>-8.3183003971063707E-2</v>
      </c>
      <c r="BR3" s="7">
        <v>0.21369643032545599</v>
      </c>
      <c r="BS3" s="7">
        <v>-6.8149447486198445E-2</v>
      </c>
      <c r="BT3" s="7">
        <v>0.14424087762590629</v>
      </c>
      <c r="BU3" s="7">
        <v>0.11401522994132141</v>
      </c>
      <c r="BV3" s="7">
        <v>4.801166723024719E-3</v>
      </c>
      <c r="BW3" s="7">
        <v>0.11476889041196631</v>
      </c>
      <c r="BX3" s="7">
        <v>-9.0964923920277552E-2</v>
      </c>
      <c r="BY3" s="7">
        <v>0.11808451667450549</v>
      </c>
      <c r="BZ3" s="7">
        <v>-0.1410200400283034</v>
      </c>
      <c r="CA3" s="7">
        <v>7.4952845793382461E-2</v>
      </c>
      <c r="CB3" s="7">
        <v>-0.17068809420813311</v>
      </c>
      <c r="CC3" s="7">
        <v>8.5908462508696548E-2</v>
      </c>
      <c r="CD3" s="7">
        <v>3.0939148675174891E-2</v>
      </c>
      <c r="CE3" s="7">
        <v>0.21825654845162559</v>
      </c>
      <c r="CF3" s="7">
        <v>-0.1410466608471542</v>
      </c>
      <c r="CG3" s="7">
        <v>0.1002648354568221</v>
      </c>
      <c r="CH3" s="7">
        <v>4.561217918655408E-2</v>
      </c>
      <c r="CI3" s="7">
        <v>9.0372406724707033E-2</v>
      </c>
      <c r="CJ3" s="7">
        <v>-0.39056585729995208</v>
      </c>
      <c r="CK3" s="7">
        <v>-0.1094505841467153</v>
      </c>
      <c r="CL3" s="7">
        <v>-4.349854958948618E-2</v>
      </c>
      <c r="CM3" s="7">
        <v>0.1846143777910941</v>
      </c>
      <c r="CN3" s="7">
        <v>-0.39777868940720429</v>
      </c>
      <c r="CO3" s="7">
        <v>-9.7839711643685545E-2</v>
      </c>
      <c r="CP3" s="7">
        <v>-9.426417275536908E-2</v>
      </c>
      <c r="CQ3" s="7">
        <v>0.1719508179227969</v>
      </c>
      <c r="CR3" s="7">
        <v>6.1937752450725032E-2</v>
      </c>
      <c r="CS3" s="7">
        <v>-4.6146612606264681E-2</v>
      </c>
      <c r="CT3" s="7">
        <v>-1.1541379756887181E-2</v>
      </c>
      <c r="CU3" s="7">
        <v>-3.3298799782413353E-2</v>
      </c>
      <c r="CV3" s="7">
        <v>-2.1859147285423371E-2</v>
      </c>
      <c r="CW3" s="7">
        <v>3.9730772293418759E-2</v>
      </c>
      <c r="CX3" s="7">
        <v>-5.4060803392226853E-2</v>
      </c>
      <c r="CY3" s="7">
        <v>2.687080278938447E-2</v>
      </c>
      <c r="CZ3" s="7">
        <v>9.8156222827321893E-2</v>
      </c>
      <c r="DA3" s="7">
        <v>0.31191401999076479</v>
      </c>
      <c r="DB3" s="7">
        <v>-0.1557252615503073</v>
      </c>
      <c r="DC3" s="7">
        <v>-0.1877698733748154</v>
      </c>
      <c r="DD3" s="7">
        <v>-0.16882595651231219</v>
      </c>
      <c r="DE3" s="7">
        <v>0.16874399575438129</v>
      </c>
      <c r="DF3" s="7">
        <v>-9.1094675706205552E-2</v>
      </c>
      <c r="DG3" s="7">
        <v>-7.6287293877835782E-2</v>
      </c>
      <c r="DH3" s="7">
        <v>7.0221693802381413E-3</v>
      </c>
      <c r="DI3" s="7">
        <v>-2.1000382633728498E-3</v>
      </c>
      <c r="DJ3" s="7">
        <v>-6.8286379709951939E-2</v>
      </c>
      <c r="DK3" s="7">
        <v>4.5815090263610248E-2</v>
      </c>
      <c r="DL3" s="7">
        <v>-5.8209946840535542E-2</v>
      </c>
      <c r="DM3" s="7">
        <v>-7.0753845764884304E-2</v>
      </c>
      <c r="DN3" s="7">
        <v>2.8209852005243619E-2</v>
      </c>
      <c r="DO3" s="7">
        <v>-7.0120490357447773E-2</v>
      </c>
      <c r="DP3" s="7">
        <v>0.1609671486675571</v>
      </c>
      <c r="DQ3" s="7">
        <v>0.15477541257526009</v>
      </c>
      <c r="DR3" s="7">
        <v>-0.1084011796207669</v>
      </c>
      <c r="DS3" s="7">
        <v>0.11315866159628871</v>
      </c>
      <c r="DT3" s="7">
        <v>-9.1924478693107325E-2</v>
      </c>
      <c r="DU3" s="7">
        <v>-6.6151009182965181E-2</v>
      </c>
      <c r="DV3" s="7">
        <v>-7.3979125425596259E-2</v>
      </c>
      <c r="DW3" s="7">
        <v>6.6618381751488459E-2</v>
      </c>
      <c r="DX3" s="7">
        <v>6.9180839339883643E-2</v>
      </c>
      <c r="DY3" s="7">
        <v>-0.1020143752545596</v>
      </c>
      <c r="DZ3" s="7">
        <v>0.26467995828442159</v>
      </c>
      <c r="EA3" s="7">
        <v>-8.9146065677995434E-2</v>
      </c>
      <c r="EB3" s="7">
        <v>0.19478075764446831</v>
      </c>
      <c r="EC3" s="7">
        <v>-2.9992963587027192E-2</v>
      </c>
      <c r="ED3" s="7">
        <v>2.8755087358344141E-2</v>
      </c>
      <c r="EE3" s="7">
        <v>-8.7170363159390307E-2</v>
      </c>
      <c r="EF3" s="7">
        <v>-2.107712607482665E-2</v>
      </c>
    </row>
    <row r="4" spans="1:136">
      <c r="B4" t="s">
        <v>137</v>
      </c>
      <c r="C4" s="7">
        <v>-0.2039249712326647</v>
      </c>
      <c r="D4" s="7">
        <v>-0.1964237658858288</v>
      </c>
      <c r="E4" s="7">
        <v>-0.25001562319789628</v>
      </c>
      <c r="F4" s="7">
        <v>4.6225301858132888E-2</v>
      </c>
      <c r="G4" s="7">
        <v>3.2330243247768557E-2</v>
      </c>
      <c r="H4" s="7">
        <v>-5.1603684781703407E-2</v>
      </c>
      <c r="I4" s="7">
        <v>-7.1932762783788462E-4</v>
      </c>
      <c r="J4" s="7">
        <v>4.7735584517047507E-2</v>
      </c>
      <c r="K4" s="7">
        <v>-0.10000933785236479</v>
      </c>
      <c r="L4" s="7">
        <v>-1.5861567150846408E-2</v>
      </c>
      <c r="M4" s="7">
        <v>-5.3940441895917957E-2</v>
      </c>
      <c r="N4" s="7">
        <v>-3.006128637493433E-2</v>
      </c>
      <c r="O4" s="7">
        <v>-0.1863663761089018</v>
      </c>
      <c r="P4" s="7">
        <v>3.0686804370747112E-2</v>
      </c>
      <c r="Q4" s="7">
        <v>9.6560631213524317E-2</v>
      </c>
      <c r="R4" s="7">
        <v>-9.3806844009220569E-2</v>
      </c>
      <c r="S4" s="7">
        <v>2.384641514176522E-2</v>
      </c>
      <c r="T4" s="7">
        <v>7.3443894560089262E-2</v>
      </c>
      <c r="U4" s="7">
        <v>6.8552151821030796E-3</v>
      </c>
      <c r="V4" s="7">
        <v>-2.2154839675355479E-2</v>
      </c>
      <c r="W4" s="7">
        <v>-7.0055171589089582E-3</v>
      </c>
      <c r="X4" s="7">
        <v>-0.1692982319172103</v>
      </c>
      <c r="Y4" s="7">
        <v>-0.23320259238128571</v>
      </c>
      <c r="Z4" s="7">
        <v>-1.0288574917018071E-2</v>
      </c>
      <c r="AA4" s="7">
        <v>-2.5866334724611311E-3</v>
      </c>
      <c r="AB4" s="7">
        <v>-0.1637843756315753</v>
      </c>
      <c r="AC4" s="7">
        <v>-6.4688800973662808E-2</v>
      </c>
      <c r="AD4" s="7">
        <v>-5.3477424616254148E-2</v>
      </c>
      <c r="AE4" s="7">
        <v>4.309073895244353E-2</v>
      </c>
      <c r="AF4" s="7">
        <v>8.0218323830894889E-2</v>
      </c>
      <c r="AG4" s="7">
        <v>-0.1002521131150758</v>
      </c>
      <c r="AH4" s="7">
        <v>0.1185404057803101</v>
      </c>
      <c r="AI4" s="7">
        <v>-8.6514098466683009E-2</v>
      </c>
      <c r="AJ4" s="7">
        <v>-9.6720591922766275E-2</v>
      </c>
      <c r="AK4" s="7">
        <v>7.714821270149308E-2</v>
      </c>
      <c r="AL4" s="7">
        <v>2.0174232134641201E-2</v>
      </c>
      <c r="AM4" s="7">
        <v>-6.7241324666724722E-3</v>
      </c>
      <c r="AN4" s="7">
        <v>1.122578986331213E-2</v>
      </c>
      <c r="AO4" s="7">
        <v>-4.4498439328666713E-2</v>
      </c>
      <c r="AP4" s="7">
        <v>7.9516907835369466E-2</v>
      </c>
      <c r="AQ4" s="7">
        <v>-9.1550116191305264E-2</v>
      </c>
      <c r="AR4" s="7">
        <v>0.1142424157596746</v>
      </c>
      <c r="AS4" s="7">
        <v>8.2448436759978705E-2</v>
      </c>
      <c r="AT4" s="7">
        <v>9.7249827762322383E-3</v>
      </c>
      <c r="AU4" s="7">
        <v>-3.4605903137480347E-2</v>
      </c>
      <c r="AV4" s="7">
        <v>-0.2174533789678712</v>
      </c>
      <c r="AW4" s="7">
        <v>5.2334484190899033E-2</v>
      </c>
      <c r="AX4" s="7">
        <v>1.384542021274626E-2</v>
      </c>
      <c r="AY4" s="7">
        <v>0.106382535700245</v>
      </c>
      <c r="AZ4" s="7">
        <v>1.573201072361563E-2</v>
      </c>
      <c r="BA4" s="7">
        <v>-0.15377072052847751</v>
      </c>
      <c r="BB4" s="7">
        <v>-0.25244423454125631</v>
      </c>
      <c r="BC4" s="7">
        <v>-0.14982873402575869</v>
      </c>
      <c r="BD4" s="7">
        <v>-2.2554321715718469E-2</v>
      </c>
      <c r="BE4" s="7">
        <v>-3.1285268658100662E-2</v>
      </c>
      <c r="BF4" s="7">
        <v>0.1240869826657605</v>
      </c>
      <c r="BG4" s="7">
        <v>-7.4642493295524304E-2</v>
      </c>
      <c r="BH4" s="7">
        <v>-6.4841754756111314E-2</v>
      </c>
      <c r="BI4" s="7">
        <v>1.8201446010561281E-2</v>
      </c>
      <c r="BJ4" s="7">
        <v>-0.15018846614211159</v>
      </c>
      <c r="BK4" s="7">
        <v>-5.9172596101159769E-2</v>
      </c>
      <c r="BL4" s="7">
        <v>-4.7948186331197462E-2</v>
      </c>
      <c r="BM4" s="7">
        <v>2.052177888404572E-2</v>
      </c>
      <c r="BN4" s="7">
        <v>4.0184826284235697E-2</v>
      </c>
      <c r="BO4" s="7">
        <v>4.4253141477314628E-2</v>
      </c>
      <c r="BP4" s="7">
        <v>8.2144881969639982E-2</v>
      </c>
      <c r="BQ4" s="7">
        <v>3.034994243067857E-2</v>
      </c>
      <c r="BR4" s="7">
        <v>-0.1178677152142722</v>
      </c>
      <c r="BS4" s="7">
        <v>-1.7435734218624429E-2</v>
      </c>
      <c r="BT4" s="7">
        <v>-3.4138675888959469E-2</v>
      </c>
      <c r="BU4" s="7">
        <v>-4.6293256972850472E-2</v>
      </c>
      <c r="BV4" s="7">
        <v>0.17074793581774189</v>
      </c>
      <c r="BW4" s="7">
        <v>-0.1002724725514543</v>
      </c>
      <c r="BX4" s="7">
        <v>-7.1039208889066785E-2</v>
      </c>
      <c r="BY4" s="7">
        <v>-0.17569208578460399</v>
      </c>
      <c r="BZ4" s="7">
        <v>8.5263289590539415E-2</v>
      </c>
      <c r="CA4" s="7">
        <v>1.455569009171143E-2</v>
      </c>
      <c r="CB4" s="7">
        <v>0.19268600459385959</v>
      </c>
      <c r="CC4" s="7">
        <v>-0.29881238545137911</v>
      </c>
      <c r="CD4" s="7">
        <v>-0.1349379461871649</v>
      </c>
      <c r="CE4" s="7">
        <v>-5.6657895268028113E-2</v>
      </c>
      <c r="CF4" s="7">
        <v>-0.11375971139280951</v>
      </c>
      <c r="CG4" s="7">
        <v>5.7622067517158371E-2</v>
      </c>
      <c r="CH4" s="7">
        <v>-4.001254466679427E-3</v>
      </c>
      <c r="CI4" s="7">
        <v>7.7424647921532141E-2</v>
      </c>
      <c r="CJ4" s="7">
        <v>2.6114056760381029E-2</v>
      </c>
      <c r="CK4" s="7">
        <v>-2.240001723672691E-2</v>
      </c>
      <c r="CL4" s="7">
        <v>-7.0095624035594994E-2</v>
      </c>
      <c r="CM4" s="7">
        <v>4.3436542483707541E-2</v>
      </c>
      <c r="CN4" s="7">
        <v>0.18690672157174859</v>
      </c>
      <c r="CO4" s="7">
        <v>4.446453202920253E-3</v>
      </c>
      <c r="CP4" s="7">
        <v>2.4151386485087301E-2</v>
      </c>
      <c r="CQ4" s="7">
        <v>-3.1460764321860069E-2</v>
      </c>
      <c r="CR4" s="7">
        <v>-0.29662338596077831</v>
      </c>
      <c r="CS4" s="7">
        <v>-0.27970336465505241</v>
      </c>
      <c r="CT4" s="7">
        <v>7.8684619263164279E-2</v>
      </c>
      <c r="CU4" s="7">
        <v>-0.11218630160750109</v>
      </c>
      <c r="CV4" s="7">
        <v>0.11296132499189331</v>
      </c>
      <c r="CW4" s="7">
        <v>-4.1031038792660013E-2</v>
      </c>
      <c r="CX4" s="7">
        <v>6.6400736315959108E-2</v>
      </c>
      <c r="CY4" s="7">
        <v>-0.17738472354507101</v>
      </c>
      <c r="CZ4" s="7">
        <v>-0.14025649491331291</v>
      </c>
      <c r="DA4" s="7">
        <v>-0.22065215831468171</v>
      </c>
      <c r="DB4" s="7">
        <v>-4.7530422130282801E-2</v>
      </c>
      <c r="DC4" s="7">
        <v>-0.1384211204142467</v>
      </c>
      <c r="DD4" s="7">
        <v>0.10113629887646169</v>
      </c>
      <c r="DE4" s="7">
        <v>4.5885478784697398E-2</v>
      </c>
      <c r="DF4" s="7">
        <v>4.9743559277015237E-2</v>
      </c>
      <c r="DG4" s="7">
        <v>-0.137130303806142</v>
      </c>
      <c r="DH4" s="7">
        <v>0.15813722836365329</v>
      </c>
      <c r="DI4" s="7">
        <v>-5.8844921242510402E-2</v>
      </c>
      <c r="DJ4" s="7">
        <v>-0.1256585188069437</v>
      </c>
      <c r="DK4" s="7">
        <v>-0.17054839142057079</v>
      </c>
      <c r="DL4" s="7">
        <v>8.7111231199973105E-2</v>
      </c>
      <c r="DM4" s="7">
        <v>0.22121757588715951</v>
      </c>
      <c r="DN4" s="7">
        <v>8.2980876911495471E-2</v>
      </c>
      <c r="DO4" s="7">
        <v>-3.4106922891275808E-2</v>
      </c>
      <c r="DP4" s="7">
        <v>-7.2756652210209438E-2</v>
      </c>
      <c r="DQ4" s="7">
        <v>-0.1680556719972266</v>
      </c>
      <c r="DR4" s="7">
        <v>-0.12816572962436371</v>
      </c>
      <c r="DS4" s="7">
        <v>-7.759167425624014E-2</v>
      </c>
      <c r="DT4" s="7">
        <v>-0.20203504768606001</v>
      </c>
      <c r="DU4" s="7">
        <v>-5.5486709118024891E-2</v>
      </c>
      <c r="DV4" s="7">
        <v>8.2663101688531526E-3</v>
      </c>
      <c r="DW4" s="7">
        <v>-1.40933401356591E-2</v>
      </c>
      <c r="DX4" s="7">
        <v>-9.0217886051373597E-2</v>
      </c>
      <c r="DY4" s="7">
        <v>9.7821812382289153E-2</v>
      </c>
      <c r="DZ4" s="7">
        <v>-0.12757008956569391</v>
      </c>
      <c r="EA4" s="7">
        <v>-0.1945089543306722</v>
      </c>
      <c r="EB4" s="7">
        <v>-0.31627292637508481</v>
      </c>
      <c r="EC4" s="7">
        <v>4.5255164501341483E-2</v>
      </c>
      <c r="ED4" s="7">
        <v>5.6017206552507297E-2</v>
      </c>
      <c r="EE4" s="7">
        <v>0.1196917374403057</v>
      </c>
      <c r="EF4" s="7">
        <v>0.24309353172991879</v>
      </c>
    </row>
    <row r="5" spans="1:136">
      <c r="B5" t="s">
        <v>138</v>
      </c>
      <c r="C5" s="7">
        <v>-0.20935361149472831</v>
      </c>
      <c r="D5" s="7">
        <v>-0.1072455023751924</v>
      </c>
      <c r="E5" s="7">
        <v>0.52501530683772435</v>
      </c>
      <c r="F5" s="7">
        <v>4.6823768151851013E-2</v>
      </c>
      <c r="G5" s="7">
        <v>-0.21046493626235849</v>
      </c>
      <c r="H5" s="7">
        <v>0.47449114813492221</v>
      </c>
      <c r="I5" s="7">
        <v>0.14680892480266791</v>
      </c>
      <c r="J5" s="7">
        <v>-5.6142242586696901E-2</v>
      </c>
      <c r="K5" s="7">
        <v>0.27557732059741852</v>
      </c>
      <c r="L5" s="7">
        <v>-0.429803895577967</v>
      </c>
      <c r="M5" s="7">
        <v>0.32349590077241003</v>
      </c>
      <c r="N5" s="7">
        <v>-0.34825072939559049</v>
      </c>
      <c r="O5" s="7">
        <v>-9.75267647927303E-2</v>
      </c>
      <c r="P5" s="7">
        <v>0.39540466236699251</v>
      </c>
      <c r="Q5" s="7">
        <v>4.8478108376362662E-2</v>
      </c>
      <c r="R5" s="7">
        <v>-9.8985600985133329E-2</v>
      </c>
      <c r="S5" s="7">
        <v>0.305793727896155</v>
      </c>
      <c r="T5" s="7">
        <v>7.2165930759538061E-2</v>
      </c>
      <c r="U5" s="7">
        <v>-4.9009230430883954E-4</v>
      </c>
      <c r="V5" s="7">
        <v>-0.13929554545575701</v>
      </c>
      <c r="W5" s="7">
        <v>-0.39469257513977751</v>
      </c>
      <c r="X5" s="7">
        <v>-0.12931156060545229</v>
      </c>
      <c r="Y5" s="7">
        <v>-0.68125891047001907</v>
      </c>
      <c r="Z5" s="7">
        <v>-4.1938156243548769E-3</v>
      </c>
      <c r="AA5" s="7">
        <v>1.8560125119517271E-2</v>
      </c>
      <c r="AB5" s="7">
        <v>0.20113094605220941</v>
      </c>
      <c r="AC5" s="7">
        <v>-8.9483378930757945E-2</v>
      </c>
      <c r="AD5" s="7">
        <v>0.1451410860629446</v>
      </c>
      <c r="AE5" s="7">
        <v>7.4624119096799141E-2</v>
      </c>
      <c r="AF5" s="7">
        <v>0.17580443763613759</v>
      </c>
      <c r="AG5" s="7">
        <v>-0.30331265835277282</v>
      </c>
      <c r="AH5" s="7">
        <v>-0.3483397071352336</v>
      </c>
      <c r="AI5" s="7">
        <v>0.25873608106819568</v>
      </c>
      <c r="AJ5" s="7">
        <v>-0.48879761544229228</v>
      </c>
      <c r="AK5" s="7">
        <v>0.13252874976468179</v>
      </c>
      <c r="AL5" s="7">
        <v>-2.3800153911279789E-2</v>
      </c>
      <c r="AM5" s="7">
        <v>1.173620113508929E-2</v>
      </c>
      <c r="AN5" s="7">
        <v>-7.4812103146932943E-2</v>
      </c>
      <c r="AO5" s="7">
        <v>0.1844777721646908</v>
      </c>
      <c r="AP5" s="7">
        <v>3.2454138263480981E-2</v>
      </c>
      <c r="AQ5" s="7">
        <v>0.15120275047085749</v>
      </c>
      <c r="AR5" s="7">
        <v>-9.5283188802216146E-2</v>
      </c>
      <c r="AS5" s="7">
        <v>-0.1260032609462903</v>
      </c>
      <c r="AT5" s="7">
        <v>0.1516753034210738</v>
      </c>
      <c r="AU5" s="7">
        <v>-0.2007889112295945</v>
      </c>
      <c r="AV5" s="7">
        <v>7.8901861222600136E-2</v>
      </c>
      <c r="AW5" s="7">
        <v>6.6907089587781021E-4</v>
      </c>
      <c r="AX5" s="7">
        <v>0.1123518508204545</v>
      </c>
      <c r="AY5" s="7">
        <v>-0.11800901394968941</v>
      </c>
      <c r="AZ5" s="7">
        <v>0.20623475003072961</v>
      </c>
      <c r="BA5" s="7">
        <v>-3.97937801882461E-2</v>
      </c>
      <c r="BB5" s="7">
        <v>8.3008355637714748E-2</v>
      </c>
      <c r="BC5" s="7">
        <v>-0.13000300529739819</v>
      </c>
      <c r="BD5" s="7">
        <v>-0.1064312900594583</v>
      </c>
      <c r="BE5" s="7">
        <v>0.1158849362838152</v>
      </c>
      <c r="BF5" s="7">
        <v>-0.28526717215295749</v>
      </c>
      <c r="BG5" s="7">
        <v>-0.1509842362786851</v>
      </c>
      <c r="BH5" s="7">
        <v>2.9341057503422599E-3</v>
      </c>
      <c r="BI5" s="7">
        <v>5.8262514508516133E-2</v>
      </c>
      <c r="BJ5" s="7">
        <v>-0.25989264623200092</v>
      </c>
      <c r="BK5" s="7">
        <v>0.18474040199136449</v>
      </c>
      <c r="BL5" s="7">
        <v>-0.26914540554674848</v>
      </c>
      <c r="BM5" s="7">
        <v>0.17150836470177749</v>
      </c>
      <c r="BN5" s="7">
        <v>-0.18088850446581761</v>
      </c>
      <c r="BO5" s="7">
        <v>-6.3206745350197338E-2</v>
      </c>
      <c r="BP5" s="7">
        <v>7.1774957077323495E-2</v>
      </c>
      <c r="BQ5" s="7">
        <v>-0.1686195689897588</v>
      </c>
      <c r="BR5" s="7">
        <v>-2.545873273363362E-2</v>
      </c>
      <c r="BS5" s="7">
        <v>0.1245446019666267</v>
      </c>
      <c r="BT5" s="7">
        <v>0.20782503929497201</v>
      </c>
      <c r="BU5" s="7">
        <v>-6.0037446829220693E-2</v>
      </c>
      <c r="BV5" s="7">
        <v>-5.1905003051803483E-2</v>
      </c>
      <c r="BW5" s="7">
        <v>-0.12680819125864681</v>
      </c>
      <c r="BX5" s="7">
        <v>-0.1052510446788132</v>
      </c>
      <c r="BY5" s="7">
        <v>5.3601773045040088E-2</v>
      </c>
      <c r="BZ5" s="7">
        <v>-3.4388144014312297E-2</v>
      </c>
      <c r="CA5" s="7">
        <v>-2.0069736378605839E-2</v>
      </c>
      <c r="CB5" s="7">
        <v>8.4300430524421641E-2</v>
      </c>
      <c r="CC5" s="7">
        <v>-0.110410835022124</v>
      </c>
      <c r="CD5" s="7">
        <v>0.32740031270766617</v>
      </c>
      <c r="CE5" s="7">
        <v>-1.5012168586274939E-2</v>
      </c>
      <c r="CF5" s="7">
        <v>-0.14937021175902551</v>
      </c>
      <c r="CG5" s="7">
        <v>0.16297301454092969</v>
      </c>
      <c r="CH5" s="7">
        <v>-6.896103144523659E-2</v>
      </c>
      <c r="CI5" s="7">
        <v>-0.11541146458518491</v>
      </c>
      <c r="CJ5" s="7">
        <v>-0.26303527345610228</v>
      </c>
      <c r="CK5" s="7">
        <v>0.37924960384624179</v>
      </c>
      <c r="CL5" s="7">
        <v>-7.6790699983737498E-2</v>
      </c>
      <c r="CM5" s="7">
        <v>4.2652506298582429E-2</v>
      </c>
      <c r="CN5" s="7">
        <v>-0.1516858867131603</v>
      </c>
      <c r="CO5" s="7">
        <v>0.43724307982140581</v>
      </c>
      <c r="CP5" s="7">
        <v>-3.9926150423868351E-3</v>
      </c>
      <c r="CQ5" s="7">
        <v>-0.49916489273431458</v>
      </c>
      <c r="CR5" s="7">
        <v>0.33988683275055442</v>
      </c>
      <c r="CS5" s="7">
        <v>-0.18986441617449731</v>
      </c>
      <c r="CT5" s="7">
        <v>0.2246321236344469</v>
      </c>
      <c r="CU5" s="7">
        <v>-0.25170889936125151</v>
      </c>
      <c r="CV5" s="7">
        <v>-6.0592355965027593E-2</v>
      </c>
      <c r="CW5" s="7">
        <v>0.2109010090070762</v>
      </c>
      <c r="CX5" s="7">
        <v>0.25025019061541082</v>
      </c>
      <c r="CY5" s="7">
        <v>-0.52414963758384503</v>
      </c>
      <c r="CZ5" s="7">
        <v>0.82142749669553927</v>
      </c>
      <c r="DA5" s="7">
        <v>-0.17651348566266811</v>
      </c>
      <c r="DB5" s="7">
        <v>0.13125649202051129</v>
      </c>
      <c r="DC5" s="7">
        <v>0.17576145031796331</v>
      </c>
      <c r="DD5" s="7">
        <v>-0.42086343262939768</v>
      </c>
      <c r="DE5" s="7">
        <v>-0.22795497779214821</v>
      </c>
      <c r="DF5" s="7">
        <v>-0.3368819221783515</v>
      </c>
      <c r="DG5" s="7">
        <v>-0.44413532346609758</v>
      </c>
      <c r="DH5" s="7">
        <v>-4.27982998765781E-2</v>
      </c>
      <c r="DI5" s="7">
        <v>0.30948159020781918</v>
      </c>
      <c r="DJ5" s="7">
        <v>-0.28667223643824391</v>
      </c>
      <c r="DK5" s="7">
        <v>0.84630493967791443</v>
      </c>
      <c r="DL5" s="7">
        <v>-0.1693329876927529</v>
      </c>
      <c r="DM5" s="7">
        <v>-0.4391099461359883</v>
      </c>
      <c r="DN5" s="7">
        <v>0.74761868532509412</v>
      </c>
      <c r="DO5" s="7">
        <v>-0.40009342240963602</v>
      </c>
      <c r="DP5" s="7">
        <v>-4.4799489944027257E-2</v>
      </c>
      <c r="DQ5" s="7">
        <v>-0.58861281581662461</v>
      </c>
      <c r="DR5" s="7">
        <v>-6.4257074862891627E-3</v>
      </c>
      <c r="DS5" s="7">
        <v>-0.19880266564910609</v>
      </c>
      <c r="DT5" s="7">
        <v>0.41307307328401038</v>
      </c>
      <c r="DU5" s="7">
        <v>-0.17063643177968549</v>
      </c>
      <c r="DV5" s="7">
        <v>0.68807702540912619</v>
      </c>
      <c r="DW5" s="7">
        <v>4.0827356191794333E-2</v>
      </c>
      <c r="DX5" s="7">
        <v>-0.1999673354250954</v>
      </c>
      <c r="DY5" s="7">
        <v>0.56631330445582462</v>
      </c>
      <c r="DZ5" s="7">
        <v>0.47368914822135011</v>
      </c>
      <c r="EA5" s="7">
        <v>9.5631863057402539E-2</v>
      </c>
      <c r="EB5" s="7">
        <v>-1.0762939402606311</v>
      </c>
      <c r="EC5" s="7">
        <v>-0.13598026508787489</v>
      </c>
      <c r="ED5" s="7">
        <v>-0.2734944373108647</v>
      </c>
      <c r="EE5" s="7">
        <v>0.6014180383447254</v>
      </c>
      <c r="EF5" s="7">
        <v>6.7940871428030583E-3</v>
      </c>
    </row>
    <row r="7" spans="1:136">
      <c r="A7" t="s">
        <v>198</v>
      </c>
    </row>
    <row r="8" spans="1:136"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22</v>
      </c>
      <c r="X8" t="s">
        <v>23</v>
      </c>
      <c r="Y8" t="s">
        <v>24</v>
      </c>
      <c r="Z8" t="s">
        <v>25</v>
      </c>
      <c r="AA8" t="s">
        <v>26</v>
      </c>
      <c r="AB8" t="s">
        <v>27</v>
      </c>
      <c r="AC8" t="s">
        <v>28</v>
      </c>
      <c r="AD8" t="s">
        <v>29</v>
      </c>
      <c r="AE8" t="s">
        <v>30</v>
      </c>
      <c r="AF8" t="s">
        <v>31</v>
      </c>
      <c r="AG8" t="s">
        <v>32</v>
      </c>
      <c r="AH8" t="s">
        <v>33</v>
      </c>
      <c r="AI8" t="s">
        <v>34</v>
      </c>
      <c r="AJ8" t="s">
        <v>35</v>
      </c>
      <c r="AK8" t="s">
        <v>36</v>
      </c>
      <c r="AL8" t="s">
        <v>37</v>
      </c>
      <c r="AM8" t="s">
        <v>38</v>
      </c>
      <c r="AN8" t="s">
        <v>39</v>
      </c>
      <c r="AO8" t="s">
        <v>40</v>
      </c>
      <c r="AP8" t="s">
        <v>41</v>
      </c>
      <c r="AQ8" t="s">
        <v>42</v>
      </c>
      <c r="AR8" t="s">
        <v>43</v>
      </c>
      <c r="AS8" t="s">
        <v>44</v>
      </c>
      <c r="AT8" t="s">
        <v>45</v>
      </c>
      <c r="AU8" t="s">
        <v>46</v>
      </c>
      <c r="AV8" t="s">
        <v>47</v>
      </c>
      <c r="AW8" t="s">
        <v>48</v>
      </c>
      <c r="AX8" t="s">
        <v>49</v>
      </c>
      <c r="AY8" t="s">
        <v>50</v>
      </c>
      <c r="AZ8" t="s">
        <v>51</v>
      </c>
      <c r="BA8" t="s">
        <v>52</v>
      </c>
      <c r="BB8" t="s">
        <v>53</v>
      </c>
      <c r="BC8" t="s">
        <v>54</v>
      </c>
      <c r="BD8" t="s">
        <v>55</v>
      </c>
      <c r="BE8" t="s">
        <v>56</v>
      </c>
      <c r="BF8" t="s">
        <v>57</v>
      </c>
      <c r="BG8" t="s">
        <v>58</v>
      </c>
      <c r="BH8" t="s">
        <v>59</v>
      </c>
      <c r="BI8" t="s">
        <v>60</v>
      </c>
      <c r="BJ8" t="s">
        <v>61</v>
      </c>
      <c r="BK8" t="s">
        <v>62</v>
      </c>
      <c r="BL8" t="s">
        <v>63</v>
      </c>
      <c r="BM8" t="s">
        <v>64</v>
      </c>
      <c r="BN8" t="s">
        <v>65</v>
      </c>
      <c r="BO8" t="s">
        <v>66</v>
      </c>
      <c r="BP8" t="s">
        <v>67</v>
      </c>
      <c r="BQ8" t="s">
        <v>68</v>
      </c>
      <c r="BR8" t="s">
        <v>69</v>
      </c>
      <c r="BS8" t="s">
        <v>70</v>
      </c>
      <c r="BT8" t="s">
        <v>71</v>
      </c>
      <c r="BU8" t="s">
        <v>72</v>
      </c>
      <c r="BV8" t="s">
        <v>73</v>
      </c>
      <c r="BW8" t="s">
        <v>74</v>
      </c>
      <c r="BX8" t="s">
        <v>75</v>
      </c>
      <c r="BY8" t="s">
        <v>76</v>
      </c>
      <c r="BZ8" t="s">
        <v>77</v>
      </c>
      <c r="CA8" t="s">
        <v>78</v>
      </c>
      <c r="CB8" t="s">
        <v>79</v>
      </c>
      <c r="CC8" t="s">
        <v>80</v>
      </c>
      <c r="CD8" t="s">
        <v>81</v>
      </c>
      <c r="CE8" t="s">
        <v>82</v>
      </c>
      <c r="CF8" t="s">
        <v>83</v>
      </c>
      <c r="CG8" t="s">
        <v>84</v>
      </c>
      <c r="CH8" t="s">
        <v>85</v>
      </c>
      <c r="CI8" t="s">
        <v>86</v>
      </c>
      <c r="CJ8" t="s">
        <v>87</v>
      </c>
      <c r="CK8" t="s">
        <v>88</v>
      </c>
      <c r="CL8" t="s">
        <v>89</v>
      </c>
      <c r="CM8" t="s">
        <v>90</v>
      </c>
      <c r="CN8" t="s">
        <v>91</v>
      </c>
      <c r="CO8" t="s">
        <v>92</v>
      </c>
      <c r="CP8" t="s">
        <v>93</v>
      </c>
      <c r="CQ8" t="s">
        <v>94</v>
      </c>
      <c r="CR8" t="s">
        <v>95</v>
      </c>
      <c r="CS8" t="s">
        <v>96</v>
      </c>
      <c r="CT8" t="s">
        <v>97</v>
      </c>
      <c r="CU8" t="s">
        <v>98</v>
      </c>
      <c r="CV8" t="s">
        <v>99</v>
      </c>
      <c r="CW8" t="s">
        <v>100</v>
      </c>
      <c r="CX8" t="s">
        <v>101</v>
      </c>
      <c r="CY8" t="s">
        <v>102</v>
      </c>
      <c r="CZ8" t="s">
        <v>103</v>
      </c>
      <c r="DA8" t="s">
        <v>104</v>
      </c>
      <c r="DB8" t="s">
        <v>105</v>
      </c>
      <c r="DC8" t="s">
        <v>106</v>
      </c>
      <c r="DD8" t="s">
        <v>107</v>
      </c>
      <c r="DE8" t="s">
        <v>108</v>
      </c>
      <c r="DF8" t="s">
        <v>109</v>
      </c>
      <c r="DG8" t="s">
        <v>110</v>
      </c>
      <c r="DH8" t="s">
        <v>111</v>
      </c>
      <c r="DI8" t="s">
        <v>112</v>
      </c>
      <c r="DJ8" t="s">
        <v>113</v>
      </c>
      <c r="DK8" t="s">
        <v>114</v>
      </c>
      <c r="DL8" t="s">
        <v>115</v>
      </c>
      <c r="DM8" t="s">
        <v>116</v>
      </c>
      <c r="DN8" t="s">
        <v>117</v>
      </c>
      <c r="DO8" t="s">
        <v>118</v>
      </c>
      <c r="DP8" t="s">
        <v>119</v>
      </c>
      <c r="DQ8" t="s">
        <v>120</v>
      </c>
      <c r="DR8" t="s">
        <v>121</v>
      </c>
      <c r="DS8" t="s">
        <v>122</v>
      </c>
      <c r="DT8" t="s">
        <v>123</v>
      </c>
      <c r="DU8" t="s">
        <v>124</v>
      </c>
      <c r="DV8" t="s">
        <v>125</v>
      </c>
      <c r="DW8" t="s">
        <v>126</v>
      </c>
      <c r="DX8" t="s">
        <v>127</v>
      </c>
      <c r="DY8" t="s">
        <v>128</v>
      </c>
      <c r="DZ8" t="s">
        <v>129</v>
      </c>
      <c r="EA8" t="s">
        <v>130</v>
      </c>
      <c r="EB8" t="s">
        <v>131</v>
      </c>
      <c r="EC8" t="s">
        <v>132</v>
      </c>
      <c r="ED8" t="s">
        <v>133</v>
      </c>
      <c r="EE8" t="s">
        <v>134</v>
      </c>
      <c r="EF8" t="s">
        <v>135</v>
      </c>
    </row>
    <row r="9" spans="1:136">
      <c r="B9" t="s">
        <v>136</v>
      </c>
      <c r="C9" s="9">
        <v>0.109105830631824</v>
      </c>
      <c r="D9" s="9">
        <v>1.4576582608432649E-2</v>
      </c>
      <c r="E9" s="9">
        <v>-3.6154356576976902E-2</v>
      </c>
      <c r="F9" s="9">
        <v>-4.742600977062153E-3</v>
      </c>
      <c r="G9" s="9">
        <v>-5.7477531385562736E-3</v>
      </c>
      <c r="H9" s="9">
        <v>4.9378023156909527E-2</v>
      </c>
      <c r="I9" s="9">
        <v>0.18325176920476779</v>
      </c>
      <c r="J9" s="9">
        <v>0.1164863088741452</v>
      </c>
      <c r="K9" s="9">
        <v>-3.0594945598924051E-2</v>
      </c>
      <c r="L9" s="9">
        <v>1.9828051430277011E-2</v>
      </c>
      <c r="M9" s="9">
        <v>-2.0999006362740089E-2</v>
      </c>
      <c r="N9" s="9">
        <v>0.1497794247734946</v>
      </c>
      <c r="O9" s="9">
        <v>1.5463406170905081E-2</v>
      </c>
      <c r="P9" s="9">
        <v>-9.1792321477913982E-2</v>
      </c>
      <c r="Q9" s="9">
        <v>-7.7409013100986537E-2</v>
      </c>
      <c r="R9" s="9">
        <v>5.4776596014220982E-2</v>
      </c>
      <c r="S9" s="9">
        <v>-0.12533438670858049</v>
      </c>
      <c r="T9" s="9">
        <v>-0.1190534205538864</v>
      </c>
      <c r="U9" s="9">
        <v>-3.777005083138045E-2</v>
      </c>
      <c r="V9" s="9">
        <v>8.1183823152198617E-2</v>
      </c>
      <c r="W9" s="9">
        <v>8.4008967865119855E-2</v>
      </c>
      <c r="X9" s="9">
        <v>0.14701135657134901</v>
      </c>
      <c r="Y9" s="9">
        <v>-0.12536053701812139</v>
      </c>
      <c r="Z9" s="9">
        <v>0.1919535535452612</v>
      </c>
      <c r="AA9" s="9">
        <v>-8.4370782422902996E-2</v>
      </c>
      <c r="AB9" s="9">
        <v>7.2897613803716274E-2</v>
      </c>
      <c r="AC9" s="9">
        <v>0.10260456025692451</v>
      </c>
      <c r="AD9" s="9">
        <v>1.5770167253116588E-2</v>
      </c>
      <c r="AE9" s="9">
        <v>-0.15200716210156701</v>
      </c>
      <c r="AF9" s="9">
        <v>5.9250251506559243E-2</v>
      </c>
      <c r="AG9" s="9">
        <v>0.13005883770177931</v>
      </c>
      <c r="AH9" s="9">
        <v>0.11525639530312259</v>
      </c>
      <c r="AI9" s="9">
        <v>3.2606621901195412E-2</v>
      </c>
      <c r="AJ9" s="9">
        <v>2.79991148643382E-2</v>
      </c>
      <c r="AK9" s="9">
        <v>0.14657041796408479</v>
      </c>
      <c r="AL9" s="9">
        <v>4.0841921466891577E-2</v>
      </c>
      <c r="AM9" s="9">
        <v>0.13137636706820099</v>
      </c>
      <c r="AN9" s="9">
        <v>0.22143295930140211</v>
      </c>
      <c r="AO9" s="9">
        <v>-2.0941038924054418E-2</v>
      </c>
      <c r="AP9" s="9">
        <v>-0.13715995040864579</v>
      </c>
      <c r="AQ9" s="9">
        <v>-2.4882854865750599E-2</v>
      </c>
      <c r="AR9" s="9">
        <v>1.551397070984222E-2</v>
      </c>
      <c r="AS9" s="9">
        <v>3.4373036510765703E-2</v>
      </c>
      <c r="AT9" s="9">
        <v>6.3095686135752824E-2</v>
      </c>
      <c r="AU9" s="9">
        <v>4.3237695395113553E-2</v>
      </c>
      <c r="AV9" s="9">
        <v>-7.4230367380587331E-2</v>
      </c>
      <c r="AW9" s="9">
        <v>2.7994827208502701E-2</v>
      </c>
      <c r="AX9" s="9">
        <v>0.1198644178103629</v>
      </c>
      <c r="AY9" s="9">
        <v>7.6559571245744709E-2</v>
      </c>
      <c r="AZ9" s="9">
        <v>-2.1730386111293399E-2</v>
      </c>
      <c r="BA9" s="9">
        <v>-1.2464632784982711E-3</v>
      </c>
      <c r="BB9" s="9">
        <v>0.10099582217884891</v>
      </c>
      <c r="BC9" s="9">
        <v>2.9826929857085831E-2</v>
      </c>
      <c r="BD9" s="9">
        <v>8.6757683796749117E-3</v>
      </c>
      <c r="BE9" s="9">
        <v>6.8557206018591665E-2</v>
      </c>
      <c r="BF9" s="9">
        <v>0.15691259652648329</v>
      </c>
      <c r="BG9" s="9">
        <v>0.1592037331379933</v>
      </c>
      <c r="BH9" s="9">
        <v>6.1121667651573217E-2</v>
      </c>
      <c r="BI9" s="9">
        <v>9.6912851275401127E-2</v>
      </c>
      <c r="BJ9" s="9">
        <v>-5.4746248471514068E-2</v>
      </c>
      <c r="BK9" s="9">
        <v>-8.7492963132843785E-2</v>
      </c>
      <c r="BL9" s="9">
        <v>9.4426745861656128E-2</v>
      </c>
      <c r="BM9" s="9">
        <v>-2.2191058729398399E-2</v>
      </c>
      <c r="BN9" s="9">
        <v>1.562861243910833E-2</v>
      </c>
      <c r="BO9" s="9">
        <v>8.1418240100881306E-2</v>
      </c>
      <c r="BP9" s="9">
        <v>-1.8508942424783719E-2</v>
      </c>
      <c r="BQ9" s="9">
        <v>6.8729568027927734E-2</v>
      </c>
      <c r="BR9" s="9">
        <v>3.1023605185006549E-3</v>
      </c>
      <c r="BS9" s="9">
        <v>7.4964417651561921E-2</v>
      </c>
      <c r="BT9" s="9">
        <v>4.5201587698112312E-2</v>
      </c>
      <c r="BU9" s="9">
        <v>2.5677329398223779E-2</v>
      </c>
      <c r="BV9" s="9">
        <v>9.180403106274436E-2</v>
      </c>
      <c r="BW9" s="9">
        <v>-2.6353999034970911E-2</v>
      </c>
      <c r="BX9" s="9">
        <v>1.9394832235212069E-2</v>
      </c>
      <c r="BY9" s="9">
        <v>-7.6838899317359197E-2</v>
      </c>
      <c r="BZ9" s="9">
        <v>0.1133093139289441</v>
      </c>
      <c r="CA9" s="9">
        <v>-0.10735493495839039</v>
      </c>
      <c r="CB9" s="9">
        <v>4.0844788501696747E-2</v>
      </c>
      <c r="CC9" s="9">
        <v>-1.9801708972640539E-2</v>
      </c>
      <c r="CD9" s="9">
        <v>0.1883770899619405</v>
      </c>
      <c r="CE9" s="9">
        <v>5.5574905720929421E-2</v>
      </c>
      <c r="CF9" s="9">
        <v>7.4872074365934668E-2</v>
      </c>
      <c r="CG9" s="9">
        <v>0.1000001919024945</v>
      </c>
      <c r="CH9" s="9">
        <v>0.1360217220005796</v>
      </c>
      <c r="CI9" s="9">
        <v>-9.3741014702459921E-2</v>
      </c>
      <c r="CJ9" s="9">
        <v>3.9305991202356373E-3</v>
      </c>
      <c r="CK9" s="9">
        <v>5.6507776574398372E-2</v>
      </c>
      <c r="CL9" s="9">
        <v>0.26354577822564818</v>
      </c>
      <c r="CM9" s="9">
        <v>-9.5554349157474378E-3</v>
      </c>
      <c r="CN9" s="9">
        <v>-3.1511899508967982E-2</v>
      </c>
      <c r="CO9" s="9">
        <v>-2.2619031528730349E-2</v>
      </c>
      <c r="CP9" s="9">
        <v>0.13265560934539161</v>
      </c>
      <c r="CQ9" s="9">
        <v>0.1330727797426777</v>
      </c>
      <c r="CR9" s="9">
        <v>-1.4956408370414089E-2</v>
      </c>
      <c r="CS9" s="9">
        <v>-3.3419937997587537E-2</v>
      </c>
      <c r="CT9" s="9">
        <v>1.228120855821169E-2</v>
      </c>
      <c r="CU9" s="9">
        <v>0.11681498356736621</v>
      </c>
      <c r="CV9" s="9">
        <v>-3.1589453565969692E-3</v>
      </c>
      <c r="CW9" s="9">
        <v>3.8217758352757383E-2</v>
      </c>
      <c r="CX9" s="9">
        <v>0.13917409482071269</v>
      </c>
      <c r="CY9" s="9">
        <v>-2.3712287606589749E-2</v>
      </c>
      <c r="CZ9" s="9">
        <v>0.21835291106172269</v>
      </c>
      <c r="DA9" s="9">
        <v>-5.796736233046404E-2</v>
      </c>
      <c r="DB9" s="9">
        <v>-1.410421852050941E-2</v>
      </c>
      <c r="DC9" s="9">
        <v>0.11395608079284369</v>
      </c>
      <c r="DD9" s="9">
        <v>7.4472261891957006E-2</v>
      </c>
      <c r="DE9" s="9">
        <v>-8.9969275376677231E-4</v>
      </c>
      <c r="DF9" s="9">
        <v>9.7707180382245536E-4</v>
      </c>
      <c r="DG9" s="9">
        <v>-7.2980095070914866E-2</v>
      </c>
      <c r="DH9" s="9">
        <v>-2.384528684741952E-2</v>
      </c>
      <c r="DI9" s="9">
        <v>-0.101530671996864</v>
      </c>
      <c r="DJ9" s="9">
        <v>2.7692536462605249E-2</v>
      </c>
      <c r="DK9" s="9">
        <v>-4.9335152901351147E-2</v>
      </c>
      <c r="DL9" s="9">
        <v>-5.6993575669654463E-3</v>
      </c>
      <c r="DM9" s="9">
        <v>-3.698176006290884E-2</v>
      </c>
      <c r="DN9" s="9">
        <v>0.1098129862949979</v>
      </c>
      <c r="DO9" s="9">
        <v>4.2036825231170707E-2</v>
      </c>
      <c r="DP9" s="9">
        <v>8.4566668006112469E-2</v>
      </c>
      <c r="DQ9" s="9">
        <v>-0.11027981086457481</v>
      </c>
      <c r="DR9" s="9">
        <v>9.4328709127723676E-2</v>
      </c>
      <c r="DS9" s="9">
        <v>-7.1906912609422696E-2</v>
      </c>
      <c r="DT9" s="9">
        <v>-9.6236429507091506E-2</v>
      </c>
      <c r="DU9" s="9">
        <v>2.3455494098847921E-3</v>
      </c>
      <c r="DV9" s="9">
        <v>0.13401742358239299</v>
      </c>
      <c r="DW9" s="9">
        <v>9.4732519114383587E-2</v>
      </c>
      <c r="DX9" s="9">
        <v>-0.1037731978548066</v>
      </c>
      <c r="DY9" s="9">
        <v>7.5762154171076845E-2</v>
      </c>
      <c r="DZ9" s="9">
        <v>-3.1829720434029513E-2</v>
      </c>
      <c r="EA9" s="9">
        <v>0.16130801932992569</v>
      </c>
      <c r="EB9" s="9">
        <v>1.020353315832318E-2</v>
      </c>
      <c r="EC9" s="9">
        <v>7.3988425168607055E-2</v>
      </c>
      <c r="ED9" s="9">
        <v>-0.15737687498945321</v>
      </c>
      <c r="EE9" s="9">
        <v>7.9137553498671423E-2</v>
      </c>
      <c r="EF9" s="9">
        <v>7.252854687485949E-2</v>
      </c>
    </row>
    <row r="10" spans="1:136">
      <c r="B10" t="s">
        <v>137</v>
      </c>
      <c r="C10" s="9">
        <v>-0.24758870953733739</v>
      </c>
      <c r="D10" s="9">
        <v>-0.27469330301591988</v>
      </c>
      <c r="E10" s="9">
        <v>-8.4648385226775952E-2</v>
      </c>
      <c r="F10" s="9">
        <v>2.264463125499239E-2</v>
      </c>
      <c r="G10" s="9">
        <v>-4.968000079578011E-2</v>
      </c>
      <c r="H10" s="9">
        <v>-0.100759633161552</v>
      </c>
      <c r="I10" s="9">
        <v>-1.2522721374844691E-2</v>
      </c>
      <c r="J10" s="9">
        <v>7.8736550465264579E-2</v>
      </c>
      <c r="K10" s="9">
        <v>-3.418510024326199E-2</v>
      </c>
      <c r="L10" s="9">
        <v>8.8406797789969321E-2</v>
      </c>
      <c r="M10" s="9">
        <v>-3.063454560011507E-3</v>
      </c>
      <c r="N10" s="9">
        <v>-0.21221799304980321</v>
      </c>
      <c r="O10" s="9">
        <v>-3.6805388582279122E-2</v>
      </c>
      <c r="P10" s="9">
        <v>7.1033118877316462E-2</v>
      </c>
      <c r="Q10" s="9">
        <v>-7.1261132998910126E-2</v>
      </c>
      <c r="R10" s="9">
        <v>2.1560446706208151E-2</v>
      </c>
      <c r="S10" s="9">
        <v>0.10111125807516751</v>
      </c>
      <c r="T10" s="9">
        <v>4.3224739792793003E-2</v>
      </c>
      <c r="U10" s="9">
        <v>1.488194958969411E-2</v>
      </c>
      <c r="V10" s="9">
        <v>6.3260243037239986E-3</v>
      </c>
      <c r="W10" s="9">
        <v>-0.1435529784595129</v>
      </c>
      <c r="X10" s="9">
        <v>-6.4282172013507929E-2</v>
      </c>
      <c r="Y10" s="9">
        <v>-1.9034202878042191E-2</v>
      </c>
      <c r="Z10" s="9">
        <v>-2.0644556245472189E-2</v>
      </c>
      <c r="AA10" s="9">
        <v>3.3059540377865217E-2</v>
      </c>
      <c r="AB10" s="9">
        <v>-1.9418226776777941E-2</v>
      </c>
      <c r="AC10" s="9">
        <v>-6.3126838764061721E-2</v>
      </c>
      <c r="AD10" s="9">
        <v>-6.5629712146108229E-2</v>
      </c>
      <c r="AE10" s="9">
        <v>0.1379956892668254</v>
      </c>
      <c r="AF10" s="9">
        <v>-0.1005679184552228</v>
      </c>
      <c r="AG10" s="9">
        <v>-3.7969091150733998E-2</v>
      </c>
      <c r="AH10" s="9">
        <v>-4.5839537807496208E-2</v>
      </c>
      <c r="AI10" s="9">
        <v>-5.1034095516539722E-2</v>
      </c>
      <c r="AJ10" s="9">
        <v>-3.2204408877165632E-3</v>
      </c>
      <c r="AK10" s="9">
        <v>4.8952958975013116E-4</v>
      </c>
      <c r="AL10" s="9">
        <v>-0.1064467536119352</v>
      </c>
      <c r="AM10" s="9">
        <v>-1.3723973583554899E-2</v>
      </c>
      <c r="AN10" s="9">
        <v>-0.1219647076543238</v>
      </c>
      <c r="AO10" s="9">
        <v>-4.858966597382592E-2</v>
      </c>
      <c r="AP10" s="9">
        <v>-1.903150433663008E-3</v>
      </c>
      <c r="AQ10" s="9">
        <v>2.9067484813314101E-2</v>
      </c>
      <c r="AR10" s="9">
        <v>5.2635776863899968E-2</v>
      </c>
      <c r="AS10" s="9">
        <v>-1.289325857571229E-2</v>
      </c>
      <c r="AT10" s="9">
        <v>-2.131134772842519E-3</v>
      </c>
      <c r="AU10" s="9">
        <v>-0.15538438197178719</v>
      </c>
      <c r="AV10" s="9">
        <v>1.268178414302561E-2</v>
      </c>
      <c r="AW10" s="9">
        <v>-1.1942321618877561E-2</v>
      </c>
      <c r="AX10" s="9">
        <v>-4.2537914968475456E-3</v>
      </c>
      <c r="AY10" s="9">
        <v>2.930087158954232E-2</v>
      </c>
      <c r="AZ10" s="9">
        <v>-0.13412750113921701</v>
      </c>
      <c r="BA10" s="9">
        <v>-0.13711152966130111</v>
      </c>
      <c r="BB10" s="9">
        <v>1.7546605068716691E-3</v>
      </c>
      <c r="BC10" s="9">
        <v>2.5117126105990401E-2</v>
      </c>
      <c r="BD10" s="9">
        <v>-0.11960190660895841</v>
      </c>
      <c r="BE10" s="9">
        <v>0.1357616496399312</v>
      </c>
      <c r="BF10" s="9">
        <v>4.7091161676368357E-2</v>
      </c>
      <c r="BG10" s="9">
        <v>-2.605004393557599E-2</v>
      </c>
      <c r="BH10" s="9">
        <v>4.3752773670266483E-2</v>
      </c>
      <c r="BI10" s="9">
        <v>-8.1391827895093402E-2</v>
      </c>
      <c r="BJ10" s="9">
        <v>-0.10060082155953699</v>
      </c>
      <c r="BK10" s="9">
        <v>9.0490079041763594E-2</v>
      </c>
      <c r="BL10" s="9">
        <v>-3.0898458704964389E-2</v>
      </c>
      <c r="BM10" s="9">
        <v>5.8814186622603987E-2</v>
      </c>
      <c r="BN10" s="9">
        <v>8.1345639246770615E-2</v>
      </c>
      <c r="BO10" s="9">
        <v>-7.7164168976593351E-3</v>
      </c>
      <c r="BP10" s="9">
        <v>0.1067348704344353</v>
      </c>
      <c r="BQ10" s="9">
        <v>-2.7156341096342261E-2</v>
      </c>
      <c r="BR10" s="9">
        <v>-5.4431018659150447E-2</v>
      </c>
      <c r="BS10" s="9">
        <v>-6.822927751511014E-2</v>
      </c>
      <c r="BT10" s="9">
        <v>9.8612222991557266E-2</v>
      </c>
      <c r="BU10" s="9">
        <v>0.1283985422991091</v>
      </c>
      <c r="BV10" s="9">
        <v>-7.8402519476778718E-2</v>
      </c>
      <c r="BW10" s="9">
        <v>-0.1191337216524913</v>
      </c>
      <c r="BX10" s="9">
        <v>-4.6890096077604589E-2</v>
      </c>
      <c r="BY10" s="9">
        <v>0.10169834364209621</v>
      </c>
      <c r="BZ10" s="9">
        <v>-2.5680084240218899E-2</v>
      </c>
      <c r="CA10" s="9">
        <v>-8.3301790010408508E-2</v>
      </c>
      <c r="CB10" s="9">
        <v>-0.15782764847875469</v>
      </c>
      <c r="CC10" s="9">
        <v>-7.1052571704280934E-2</v>
      </c>
      <c r="CD10" s="9">
        <v>-7.3875492145199798E-2</v>
      </c>
      <c r="CE10" s="9">
        <v>-0.23678647002516851</v>
      </c>
      <c r="CF10" s="9">
        <v>3.2627706277002622E-2</v>
      </c>
      <c r="CG10" s="9">
        <v>1.3423084626575861E-2</v>
      </c>
      <c r="CH10" s="9">
        <v>-2.7966658799032269E-3</v>
      </c>
      <c r="CI10" s="9">
        <v>4.7925699911805238E-2</v>
      </c>
      <c r="CJ10" s="9">
        <v>-3.2520192681292038E-3</v>
      </c>
      <c r="CK10" s="9">
        <v>-7.570819035307215E-2</v>
      </c>
      <c r="CL10" s="9">
        <v>-4.439725585073561E-2</v>
      </c>
      <c r="CM10" s="9">
        <v>0.17898858319392719</v>
      </c>
      <c r="CN10" s="9">
        <v>5.799426642317386E-2</v>
      </c>
      <c r="CO10" s="9">
        <v>-0.13939018969183081</v>
      </c>
      <c r="CP10" s="9">
        <v>6.4714670503515537E-2</v>
      </c>
      <c r="CQ10" s="9">
        <v>-0.18118788880647541</v>
      </c>
      <c r="CR10" s="9">
        <v>-8.8633532328162568E-2</v>
      </c>
      <c r="CS10" s="9">
        <v>-2.532177470861038E-2</v>
      </c>
      <c r="CT10" s="9">
        <v>-0.11307907407472829</v>
      </c>
      <c r="CU10" s="9">
        <v>8.095957294189474E-3</v>
      </c>
      <c r="CV10" s="9">
        <v>-4.5200208394220349E-2</v>
      </c>
      <c r="CW10" s="9">
        <v>-5.8941225467328592E-2</v>
      </c>
      <c r="CX10" s="9">
        <v>-0.1077283016776811</v>
      </c>
      <c r="CY10" s="9">
        <v>-9.6503499496267492E-2</v>
      </c>
      <c r="CZ10" s="9">
        <v>-0.2103543453191653</v>
      </c>
      <c r="DA10" s="9">
        <v>-0.10996113735654101</v>
      </c>
      <c r="DB10" s="9">
        <v>-0.1908204716293295</v>
      </c>
      <c r="DC10" s="9">
        <v>-2.0727272402408872E-2</v>
      </c>
      <c r="DD10" s="9">
        <v>8.7029095351123936E-2</v>
      </c>
      <c r="DE10" s="9">
        <v>8.2024592921593045E-2</v>
      </c>
      <c r="DF10" s="9">
        <v>-0.166876664789437</v>
      </c>
      <c r="DG10" s="9">
        <v>0.22243808581717431</v>
      </c>
      <c r="DH10" s="9">
        <v>-0.144297746243673</v>
      </c>
      <c r="DI10" s="9">
        <v>-0.1196199522370443</v>
      </c>
      <c r="DJ10" s="9">
        <v>-0.10159274396951661</v>
      </c>
      <c r="DK10" s="9">
        <v>9.2855058740681395E-2</v>
      </c>
      <c r="DL10" s="9">
        <v>-4.2630490096108087E-2</v>
      </c>
      <c r="DM10" s="9">
        <v>8.2732072899953643E-2</v>
      </c>
      <c r="DN10" s="9">
        <v>-3.1049452465540091E-2</v>
      </c>
      <c r="DO10" s="9">
        <v>-9.8141990492640205E-2</v>
      </c>
      <c r="DP10" s="9">
        <v>-0.13058888143944061</v>
      </c>
      <c r="DQ10" s="9">
        <v>4.8655718251279387E-2</v>
      </c>
      <c r="DR10" s="9">
        <v>-3.9251909935401189E-2</v>
      </c>
      <c r="DS10" s="9">
        <v>-0.1610301993932845</v>
      </c>
      <c r="DT10" s="9">
        <v>-7.8883966483063367E-2</v>
      </c>
      <c r="DU10" s="9">
        <v>0.16407715854109439</v>
      </c>
      <c r="DV10" s="9">
        <v>7.5052515397744431E-3</v>
      </c>
      <c r="DW10" s="9">
        <v>-0.1016452501185193</v>
      </c>
      <c r="DX10" s="9">
        <v>-5.6040292492535823E-2</v>
      </c>
      <c r="DY10" s="9">
        <v>-0.1066566396478186</v>
      </c>
      <c r="DZ10" s="9">
        <v>-6.9186575508287662E-2</v>
      </c>
      <c r="EA10" s="9">
        <v>-0.12618865773840809</v>
      </c>
      <c r="EB10" s="9">
        <v>-6.4737118328050736E-2</v>
      </c>
      <c r="EC10" s="9">
        <v>5.142607344157852E-2</v>
      </c>
      <c r="ED10" s="9">
        <v>3.4496728436731378E-2</v>
      </c>
      <c r="EE10" s="9">
        <v>0.15767759835539891</v>
      </c>
      <c r="EF10" s="9">
        <v>-0.12718001699129389</v>
      </c>
    </row>
    <row r="11" spans="1:136">
      <c r="B11" t="s">
        <v>138</v>
      </c>
      <c r="C11" s="9">
        <v>-5.4244781267602057E-2</v>
      </c>
      <c r="D11" s="9">
        <v>4.5377022463556939E-2</v>
      </c>
      <c r="E11" s="9">
        <v>-1.7752272607948309E-2</v>
      </c>
      <c r="F11" s="9">
        <v>-8.7687354470119203E-2</v>
      </c>
      <c r="G11" s="9">
        <v>0.1027592597916023</v>
      </c>
      <c r="H11" s="9">
        <v>2.5113717342445511E-3</v>
      </c>
      <c r="I11" s="9">
        <v>-1.8303552483615069E-2</v>
      </c>
      <c r="J11" s="9">
        <v>2.2110525104917209E-2</v>
      </c>
      <c r="K11" s="9">
        <v>7.7258045731841044E-2</v>
      </c>
      <c r="L11" s="9">
        <v>9.3440783982297517E-3</v>
      </c>
      <c r="M11" s="9">
        <v>5.3602181204841143E-2</v>
      </c>
      <c r="N11" s="9">
        <v>-6.7877357290963961E-2</v>
      </c>
      <c r="O11" s="9">
        <v>6.4929886491987929E-2</v>
      </c>
      <c r="P11" s="9">
        <v>4.8806817542238106E-3</v>
      </c>
      <c r="Q11" s="9">
        <v>1.919781824762783E-2</v>
      </c>
      <c r="R11" s="9">
        <v>-5.4653492448842392E-3</v>
      </c>
      <c r="S11" s="9">
        <v>3.6551467134004201E-2</v>
      </c>
      <c r="T11" s="9">
        <v>0.12918506866843241</v>
      </c>
      <c r="U11" s="9">
        <v>1.369240766293847E-2</v>
      </c>
      <c r="V11" s="9">
        <v>1.529525194063162E-2</v>
      </c>
      <c r="W11" s="9">
        <v>-0.10468571910271469</v>
      </c>
      <c r="X11" s="9">
        <v>-0.29384805056845642</v>
      </c>
      <c r="Y11" s="9">
        <v>5.9212485033458218E-2</v>
      </c>
      <c r="Z11" s="9">
        <v>-0.18494831245363619</v>
      </c>
      <c r="AA11" s="9">
        <v>9.8247438772127521E-2</v>
      </c>
      <c r="AB11" s="9">
        <v>-6.5734107189282197E-4</v>
      </c>
      <c r="AC11" s="9">
        <v>-0.1036861156532312</v>
      </c>
      <c r="AD11" s="9">
        <v>3.5450938075395509E-3</v>
      </c>
      <c r="AE11" s="9">
        <v>0.17560148677061019</v>
      </c>
      <c r="AF11" s="9">
        <v>-0.1550331010885124</v>
      </c>
      <c r="AG11" s="9">
        <v>-2.6328625232284051E-2</v>
      </c>
      <c r="AH11" s="9">
        <v>-4.9988101579694936E-3</v>
      </c>
      <c r="AI11" s="9">
        <v>2.8067714594873169E-2</v>
      </c>
      <c r="AJ11" s="9">
        <v>-2.2384193940381401E-2</v>
      </c>
      <c r="AK11" s="9">
        <v>-4.7020825392250949E-2</v>
      </c>
      <c r="AL11" s="9">
        <v>-0.10156151199043489</v>
      </c>
      <c r="AM11" s="9">
        <v>2.3525148704495701E-2</v>
      </c>
      <c r="AN11" s="9">
        <v>5.2525230105422573E-2</v>
      </c>
      <c r="AO11" s="9">
        <v>5.8502893637957562E-2</v>
      </c>
      <c r="AP11" s="9">
        <v>3.3447356041428761E-2</v>
      </c>
      <c r="AQ11" s="9">
        <v>1.430036545094069E-2</v>
      </c>
      <c r="AR11" s="9">
        <v>3.5903594729592501E-2</v>
      </c>
      <c r="AS11" s="9">
        <v>3.9782285287992311E-2</v>
      </c>
      <c r="AT11" s="9">
        <v>0.1484561956282951</v>
      </c>
      <c r="AU11" s="9">
        <v>-4.078729487218978E-2</v>
      </c>
      <c r="AV11" s="9">
        <v>0.13895895413073689</v>
      </c>
      <c r="AW11" s="9">
        <v>5.9863283397122782E-2</v>
      </c>
      <c r="AX11" s="9">
        <v>-0.1497898129881709</v>
      </c>
      <c r="AY11" s="9">
        <v>6.1595851435820623E-2</v>
      </c>
      <c r="AZ11" s="9">
        <v>-6.1949751488506538E-2</v>
      </c>
      <c r="BA11" s="9">
        <v>-2.389264381020083E-3</v>
      </c>
      <c r="BB11" s="9">
        <v>-0.14887029613688371</v>
      </c>
      <c r="BC11" s="9">
        <v>6.0350517971681748E-2</v>
      </c>
      <c r="BD11" s="9">
        <v>-1.468575255625916E-2</v>
      </c>
      <c r="BE11" s="9">
        <v>-0.14651529968819679</v>
      </c>
      <c r="BF11" s="9">
        <v>-0.2087626486148127</v>
      </c>
      <c r="BG11" s="9">
        <v>-0.20144325578474859</v>
      </c>
      <c r="BH11" s="9">
        <v>-0.11804991677814031</v>
      </c>
      <c r="BI11" s="9">
        <v>-7.7026576071686378E-2</v>
      </c>
      <c r="BJ11" s="9">
        <v>-3.6220317042829728E-2</v>
      </c>
      <c r="BK11" s="9">
        <v>-1.8907268725092598E-2</v>
      </c>
      <c r="BL11" s="9">
        <v>-0.17125563757433929</v>
      </c>
      <c r="BM11" s="9">
        <v>0.13291749710961351</v>
      </c>
      <c r="BN11" s="9">
        <v>-3.5907701607395578E-2</v>
      </c>
      <c r="BO11" s="9">
        <v>2.1344518209370389E-2</v>
      </c>
      <c r="BP11" s="9">
        <v>4.9634822871427897E-2</v>
      </c>
      <c r="BQ11" s="9">
        <v>-1.7211216417584319E-2</v>
      </c>
      <c r="BR11" s="9">
        <v>0.18982724311105359</v>
      </c>
      <c r="BS11" s="9">
        <v>-9.7605037382284945E-2</v>
      </c>
      <c r="BT11" s="9">
        <v>3.7831444138355132E-2</v>
      </c>
      <c r="BU11" s="9">
        <v>5.6008305208474198E-2</v>
      </c>
      <c r="BV11" s="9">
        <v>-0.1167370363031352</v>
      </c>
      <c r="BW11" s="9">
        <v>-0.1413229882478122</v>
      </c>
      <c r="BX11" s="9">
        <v>-3.3770258788579869E-3</v>
      </c>
      <c r="BY11" s="9">
        <v>0.13033606071126891</v>
      </c>
      <c r="BZ11" s="9">
        <v>3.1697731081681189E-2</v>
      </c>
      <c r="CA11" s="9">
        <v>4.0555037474470507E-2</v>
      </c>
      <c r="CB11" s="9">
        <v>-4.2037331365292897E-2</v>
      </c>
      <c r="CC11" s="9">
        <v>5.0013723389441531E-2</v>
      </c>
      <c r="CD11" s="9">
        <v>-6.8456279312897411E-2</v>
      </c>
      <c r="CE11" s="9">
        <v>-8.0832090081974353E-2</v>
      </c>
      <c r="CF11" s="9">
        <v>-1.948310790200239E-3</v>
      </c>
      <c r="CG11" s="9">
        <v>-0.1182090018050031</v>
      </c>
      <c r="CH11" s="9">
        <v>-3.67198859644461E-2</v>
      </c>
      <c r="CI11" s="9">
        <v>-8.3332793120616616E-2</v>
      </c>
      <c r="CJ11" s="9">
        <v>0.23067286701975129</v>
      </c>
      <c r="CK11" s="9">
        <v>0.1327785225954993</v>
      </c>
      <c r="CL11" s="9">
        <v>0.1412873189704931</v>
      </c>
      <c r="CM11" s="9">
        <v>-0.11268938730850959</v>
      </c>
      <c r="CN11" s="9">
        <v>0.22348855763592371</v>
      </c>
      <c r="CO11" s="9">
        <v>-0.10441916957268479</v>
      </c>
      <c r="CP11" s="9">
        <v>-1.442822447791231E-2</v>
      </c>
      <c r="CQ11" s="9">
        <v>-0.20723337326778599</v>
      </c>
      <c r="CR11" s="9">
        <v>-0.1348638695123113</v>
      </c>
      <c r="CS11" s="9">
        <v>7.3007738807373504E-2</v>
      </c>
      <c r="CT11" s="9">
        <v>-3.0218378407130288E-2</v>
      </c>
      <c r="CU11" s="9">
        <v>-0.28688917437274702</v>
      </c>
      <c r="CV11" s="9">
        <v>0.2307305381875536</v>
      </c>
      <c r="CW11" s="9">
        <v>9.1075698514216888E-2</v>
      </c>
      <c r="CX11" s="9">
        <v>-0.1224857321642277</v>
      </c>
      <c r="CY11" s="9">
        <v>7.8381925305362449E-2</v>
      </c>
      <c r="CZ11" s="9">
        <v>-4.5950103566863888E-2</v>
      </c>
      <c r="DA11" s="9">
        <v>8.2670164530151122E-2</v>
      </c>
      <c r="DB11" s="9">
        <v>0.14934927010032351</v>
      </c>
      <c r="DC11" s="9">
        <v>-4.7798705164587528E-2</v>
      </c>
      <c r="DD11" s="9">
        <v>-0.1645134604307108</v>
      </c>
      <c r="DE11" s="9">
        <v>-0.1105683533423189</v>
      </c>
      <c r="DF11" s="9">
        <v>5.7416867202733347E-2</v>
      </c>
      <c r="DG11" s="9">
        <v>-0.21489021548963169</v>
      </c>
      <c r="DH11" s="9">
        <v>6.2997155047871164E-2</v>
      </c>
      <c r="DI11" s="9">
        <v>6.7721109014009601E-2</v>
      </c>
      <c r="DJ11" s="9">
        <v>0.1188020770386063</v>
      </c>
      <c r="DK11" s="9">
        <v>7.2827306455158416E-3</v>
      </c>
      <c r="DL11" s="9">
        <v>7.1320599005857979E-2</v>
      </c>
      <c r="DM11" s="9">
        <v>2.1021900655620821E-2</v>
      </c>
      <c r="DN11" s="9">
        <v>-3.0403223939335849E-2</v>
      </c>
      <c r="DO11" s="9">
        <v>-9.694965661135331E-2</v>
      </c>
      <c r="DP11" s="9">
        <v>-0.23067649178859881</v>
      </c>
      <c r="DQ11" s="9">
        <v>0.238184312236043</v>
      </c>
      <c r="DR11" s="9">
        <v>3.5748752036958448E-3</v>
      </c>
      <c r="DS11" s="9">
        <v>0.13395561672683809</v>
      </c>
      <c r="DT11" s="9">
        <v>0.11510609642796051</v>
      </c>
      <c r="DU11" s="9">
        <v>0.1040797891887878</v>
      </c>
      <c r="DV11" s="9">
        <v>-5.4611063064875308E-2</v>
      </c>
      <c r="DW11" s="9">
        <v>-3.3290193961398547E-2</v>
      </c>
      <c r="DX11" s="9">
        <v>5.5094916778075383E-2</v>
      </c>
      <c r="DY11" s="9">
        <v>6.8793773385234666E-2</v>
      </c>
      <c r="DZ11" s="9">
        <v>1.4480773118257949E-2</v>
      </c>
      <c r="EA11" s="9">
        <v>-0.29313654086030699</v>
      </c>
      <c r="EB11" s="9">
        <v>-0.14097501940218221</v>
      </c>
      <c r="EC11" s="9">
        <v>-1.2209361583162239E-2</v>
      </c>
      <c r="ED11" s="9">
        <v>5.816768758959897E-2</v>
      </c>
      <c r="EE11" s="9">
        <v>-0.14440301349005499</v>
      </c>
      <c r="EF11" s="9">
        <v>-9.7009034240055067E-2</v>
      </c>
    </row>
    <row r="13" spans="1:136">
      <c r="A13" s="10" t="s">
        <v>199</v>
      </c>
      <c r="B13" s="10" t="s">
        <v>136</v>
      </c>
      <c r="C13" s="7">
        <f t="shared" ref="C13:AH13" si="0">(C3-C9)^2</f>
        <v>9.0391679315722159E-4</v>
      </c>
      <c r="D13" s="7">
        <f t="shared" si="0"/>
        <v>2.7310405807073373E-2</v>
      </c>
      <c r="E13" s="7">
        <f t="shared" si="0"/>
        <v>2.6742239641021305E-3</v>
      </c>
      <c r="F13" s="7">
        <f t="shared" si="0"/>
        <v>2.7661020753827335E-4</v>
      </c>
      <c r="G13" s="7">
        <f t="shared" si="0"/>
        <v>5.4838058650652354E-6</v>
      </c>
      <c r="H13" s="7">
        <f t="shared" si="0"/>
        <v>4.1993207381433228E-3</v>
      </c>
      <c r="I13" s="7">
        <f t="shared" si="0"/>
        <v>0.14459743292642124</v>
      </c>
      <c r="J13" s="7">
        <f t="shared" si="0"/>
        <v>2.6343721184316615E-2</v>
      </c>
      <c r="K13" s="7">
        <f t="shared" si="0"/>
        <v>6.1457832679454689E-4</v>
      </c>
      <c r="L13" s="7">
        <f t="shared" si="0"/>
        <v>4.5499763125976967E-3</v>
      </c>
      <c r="M13" s="7">
        <f t="shared" si="0"/>
        <v>2.474243870712012E-4</v>
      </c>
      <c r="N13" s="7">
        <f t="shared" si="0"/>
        <v>0.11598860423399783</v>
      </c>
      <c r="O13" s="7">
        <f t="shared" si="0"/>
        <v>8.7368203941756248E-2</v>
      </c>
      <c r="P13" s="7">
        <f t="shared" si="0"/>
        <v>4.2244497524287494E-2</v>
      </c>
      <c r="Q13" s="7">
        <f t="shared" si="0"/>
        <v>2.0331669262825276E-3</v>
      </c>
      <c r="R13" s="7">
        <f t="shared" si="0"/>
        <v>2.8007296278752526E-2</v>
      </c>
      <c r="S13" s="7">
        <f t="shared" si="0"/>
        <v>5.2944737377685125E-2</v>
      </c>
      <c r="T13" s="7">
        <f t="shared" si="0"/>
        <v>6.7917622313113475E-4</v>
      </c>
      <c r="U13" s="7">
        <f t="shared" si="0"/>
        <v>5.0588824615015654E-2</v>
      </c>
      <c r="V13" s="7">
        <f t="shared" si="0"/>
        <v>6.268599656215723E-3</v>
      </c>
      <c r="W13" s="7">
        <f t="shared" si="0"/>
        <v>2.0633104186514673E-3</v>
      </c>
      <c r="X13" s="7">
        <f t="shared" si="0"/>
        <v>5.5508190959112316E-2</v>
      </c>
      <c r="Y13" s="7">
        <f t="shared" si="0"/>
        <v>0.16322578145118558</v>
      </c>
      <c r="Z13" s="7">
        <f t="shared" si="0"/>
        <v>7.8369201446870651E-3</v>
      </c>
      <c r="AA13" s="7">
        <f t="shared" si="0"/>
        <v>0.32498869213045434</v>
      </c>
      <c r="AB13" s="7">
        <f t="shared" si="0"/>
        <v>9.4859392792584443E-2</v>
      </c>
      <c r="AC13" s="7">
        <f t="shared" si="0"/>
        <v>8.1827736123153919E-3</v>
      </c>
      <c r="AD13" s="7">
        <f t="shared" si="0"/>
        <v>7.7558186276853539E-5</v>
      </c>
      <c r="AE13" s="7">
        <f t="shared" si="0"/>
        <v>2.1284999661477948E-2</v>
      </c>
      <c r="AF13" s="7">
        <f t="shared" si="0"/>
        <v>1.3507499230455203E-2</v>
      </c>
      <c r="AG13" s="7">
        <f t="shared" si="0"/>
        <v>9.6444165589426841E-5</v>
      </c>
      <c r="AH13" s="7">
        <f t="shared" si="0"/>
        <v>5.075726718102672E-3</v>
      </c>
      <c r="AI13" s="7">
        <f t="shared" ref="AI13:BN13" si="1">(AI3-AI9)^2</f>
        <v>1.7124763333233036E-2</v>
      </c>
      <c r="AJ13" s="7">
        <f t="shared" si="1"/>
        <v>1.618837009918662E-3</v>
      </c>
      <c r="AK13" s="7">
        <f t="shared" si="1"/>
        <v>3.5082047394486881E-3</v>
      </c>
      <c r="AL13" s="7">
        <f t="shared" si="1"/>
        <v>2.1076402875230563E-2</v>
      </c>
      <c r="AM13" s="7">
        <f t="shared" si="1"/>
        <v>1.2190824434851857E-3</v>
      </c>
      <c r="AN13" s="7">
        <f t="shared" si="1"/>
        <v>1.8354896612627852E-4</v>
      </c>
      <c r="AO13" s="7">
        <f t="shared" si="1"/>
        <v>1.9829057409552188E-2</v>
      </c>
      <c r="AP13" s="7">
        <f t="shared" si="1"/>
        <v>1.1768961756753982E-2</v>
      </c>
      <c r="AQ13" s="7">
        <f t="shared" si="1"/>
        <v>3.502332191919983E-2</v>
      </c>
      <c r="AR13" s="7">
        <f t="shared" si="1"/>
        <v>2.3250219164638775E-3</v>
      </c>
      <c r="AS13" s="7">
        <f t="shared" si="1"/>
        <v>1.1417645355385421E-2</v>
      </c>
      <c r="AT13" s="7">
        <f t="shared" si="1"/>
        <v>9.5732445843805455E-3</v>
      </c>
      <c r="AU13" s="7">
        <f t="shared" si="1"/>
        <v>5.6591589473239378E-6</v>
      </c>
      <c r="AV13" s="7">
        <f t="shared" si="1"/>
        <v>9.2880816293050231E-3</v>
      </c>
      <c r="AW13" s="7">
        <f t="shared" si="1"/>
        <v>4.0265170325304363E-2</v>
      </c>
      <c r="AX13" s="7">
        <f t="shared" si="1"/>
        <v>1.9259001369251311E-3</v>
      </c>
      <c r="AY13" s="7">
        <f t="shared" si="1"/>
        <v>4.5417600662925181E-3</v>
      </c>
      <c r="AZ13" s="7">
        <f t="shared" si="1"/>
        <v>1.4094036062458726E-3</v>
      </c>
      <c r="BA13" s="7">
        <f t="shared" si="1"/>
        <v>2.587878754365849E-2</v>
      </c>
      <c r="BB13" s="7">
        <f t="shared" si="1"/>
        <v>5.0421393750411277E-2</v>
      </c>
      <c r="BC13" s="7">
        <f t="shared" si="1"/>
        <v>1.5956777102515265E-2</v>
      </c>
      <c r="BD13" s="7">
        <f t="shared" si="1"/>
        <v>2.5341888645961968E-2</v>
      </c>
      <c r="BE13" s="7">
        <f t="shared" si="1"/>
        <v>3.9707226061349792E-2</v>
      </c>
      <c r="BF13" s="7">
        <f t="shared" si="1"/>
        <v>2.157123127914036E-2</v>
      </c>
      <c r="BG13" s="7">
        <f t="shared" si="1"/>
        <v>2.4466366013106877E-2</v>
      </c>
      <c r="BH13" s="7">
        <f t="shared" si="1"/>
        <v>4.3719440073452034E-2</v>
      </c>
      <c r="BI13" s="7">
        <f t="shared" si="1"/>
        <v>1.6667249678667651E-3</v>
      </c>
      <c r="BJ13" s="7">
        <f t="shared" si="1"/>
        <v>2.7371839804797354E-3</v>
      </c>
      <c r="BK13" s="7">
        <f t="shared" si="1"/>
        <v>2.7985266423321185E-2</v>
      </c>
      <c r="BL13" s="7">
        <f t="shared" si="1"/>
        <v>1.3898346507577646E-2</v>
      </c>
      <c r="BM13" s="7">
        <f t="shared" si="1"/>
        <v>1.3527238831160774E-2</v>
      </c>
      <c r="BN13" s="7">
        <f t="shared" si="1"/>
        <v>9.8703679536494291E-6</v>
      </c>
      <c r="BO13" s="7">
        <f t="shared" ref="BO13:CT13" si="2">(BO3-BO9)^2</f>
        <v>5.2815906925033233E-2</v>
      </c>
      <c r="BP13" s="7">
        <f t="shared" si="2"/>
        <v>3.5500530907517703E-3</v>
      </c>
      <c r="BQ13" s="7">
        <f t="shared" si="2"/>
        <v>2.307742953134876E-2</v>
      </c>
      <c r="BR13" s="7">
        <f t="shared" si="2"/>
        <v>4.4349862237856773E-2</v>
      </c>
      <c r="BS13" s="7">
        <f t="shared" si="2"/>
        <v>2.0481578394669062E-2</v>
      </c>
      <c r="BT13" s="7">
        <f t="shared" si="2"/>
        <v>9.808780949401635E-3</v>
      </c>
      <c r="BU13" s="7">
        <f t="shared" si="2"/>
        <v>7.8035846723622064E-3</v>
      </c>
      <c r="BV13" s="7">
        <f t="shared" si="2"/>
        <v>7.5694984033156595E-3</v>
      </c>
      <c r="BW13" s="7">
        <f t="shared" si="2"/>
        <v>1.9915669925852461E-2</v>
      </c>
      <c r="BX13" s="7">
        <f t="shared" si="2"/>
        <v>1.2179275778699129E-2</v>
      </c>
      <c r="BY13" s="7">
        <f t="shared" si="2"/>
        <v>3.7995138101937533E-2</v>
      </c>
      <c r="BZ13" s="7">
        <f t="shared" si="2"/>
        <v>6.4683420284310872E-2</v>
      </c>
      <c r="CA13" s="7">
        <f t="shared" si="2"/>
        <v>3.3236126922636479E-2</v>
      </c>
      <c r="CB13" s="7">
        <f t="shared" si="2"/>
        <v>4.4746160467530625E-2</v>
      </c>
      <c r="CC13" s="7">
        <f t="shared" si="2"/>
        <v>1.1174640354613692E-2</v>
      </c>
      <c r="CD13" s="7">
        <f t="shared" si="2"/>
        <v>2.4786705356615056E-2</v>
      </c>
      <c r="CE13" s="7">
        <f t="shared" si="2"/>
        <v>2.6465316881557874E-2</v>
      </c>
      <c r="CF13" s="7">
        <f t="shared" si="2"/>
        <v>4.662090021601998E-2</v>
      </c>
      <c r="CG13" s="7">
        <f t="shared" si="2"/>
        <v>7.0036210847148845E-8</v>
      </c>
      <c r="CH13" s="7">
        <f t="shared" si="2"/>
        <v>8.1738854318411137E-3</v>
      </c>
      <c r="CI13" s="7">
        <f t="shared" si="2"/>
        <v>3.3897751949617583E-2</v>
      </c>
      <c r="CJ13" s="7">
        <f t="shared" si="2"/>
        <v>0.15562745412808507</v>
      </c>
      <c r="CK13" s="7">
        <f t="shared" si="2"/>
        <v>2.7542177493239284E-2</v>
      </c>
      <c r="CL13" s="7">
        <f t="shared" si="2"/>
        <v>9.4276219243447687E-2</v>
      </c>
      <c r="CM13" s="7">
        <f t="shared" si="2"/>
        <v>3.7701916166609915E-2</v>
      </c>
      <c r="CN13" s="7">
        <f t="shared" si="2"/>
        <v>0.13415136138235878</v>
      </c>
      <c r="CO13" s="7">
        <f t="shared" si="2"/>
        <v>5.6581507169564159E-3</v>
      </c>
      <c r="CP13" s="7">
        <f t="shared" si="2"/>
        <v>5.1492587508656713E-2</v>
      </c>
      <c r="CQ13" s="7">
        <f t="shared" si="2"/>
        <v>1.5115018527348063E-3</v>
      </c>
      <c r="CR13" s="7">
        <f t="shared" si="2"/>
        <v>5.9127119683872065E-3</v>
      </c>
      <c r="CS13" s="7">
        <f t="shared" si="2"/>
        <v>1.6196824659514753E-4</v>
      </c>
      <c r="CT13" s="7">
        <f t="shared" si="2"/>
        <v>5.6751571403068515E-4</v>
      </c>
      <c r="CU13" s="7">
        <f t="shared" ref="CU13:DZ13" si="3">(CU3-CU9)^2</f>
        <v>2.2534147951584559E-2</v>
      </c>
      <c r="CV13" s="7">
        <f t="shared" si="3"/>
        <v>3.4969755217888264E-4</v>
      </c>
      <c r="CW13" s="7">
        <f t="shared" si="3"/>
        <v>2.2892111846356651E-6</v>
      </c>
      <c r="CX13" s="7">
        <f t="shared" si="3"/>
        <v>3.7339725887365109E-2</v>
      </c>
      <c r="CY13" s="7">
        <f t="shared" si="3"/>
        <v>2.5586490340072997E-3</v>
      </c>
      <c r="CZ13" s="7">
        <f t="shared" si="3"/>
        <v>1.4447243862517743E-2</v>
      </c>
      <c r="DA13" s="7">
        <f t="shared" si="3"/>
        <v>0.13681223698786302</v>
      </c>
      <c r="DB13" s="7">
        <f t="shared" si="3"/>
        <v>2.0056519828847864E-2</v>
      </c>
      <c r="DC13" s="7">
        <f t="shared" si="3"/>
        <v>9.1038551418384336E-2</v>
      </c>
      <c r="DD13" s="7">
        <f t="shared" si="3"/>
        <v>5.9194023078691468E-2</v>
      </c>
      <c r="DE13" s="7">
        <f t="shared" si="3"/>
        <v>2.877898105064957E-2</v>
      </c>
      <c r="DF13" s="7">
        <f t="shared" si="3"/>
        <v>8.4772066895503467E-3</v>
      </c>
      <c r="DG13" s="7">
        <f t="shared" si="3"/>
        <v>1.0937563948499131E-5</v>
      </c>
      <c r="DH13" s="7">
        <f t="shared" si="3"/>
        <v>9.5279985396636176E-4</v>
      </c>
      <c r="DI13" s="7">
        <f t="shared" si="3"/>
        <v>9.8864509246436669E-3</v>
      </c>
      <c r="DJ13" s="7">
        <f t="shared" si="3"/>
        <v>9.2119523496587592E-3</v>
      </c>
      <c r="DK13" s="7">
        <f t="shared" si="3"/>
        <v>9.0535687743512842E-3</v>
      </c>
      <c r="DL13" s="7">
        <f t="shared" si="3"/>
        <v>2.7573619858575747E-3</v>
      </c>
      <c r="DM13" s="7">
        <f t="shared" si="3"/>
        <v>1.1405537726615757E-3</v>
      </c>
      <c r="DN13" s="7">
        <f t="shared" si="3"/>
        <v>6.6590715259116718E-3</v>
      </c>
      <c r="DO13" s="7">
        <f t="shared" si="3"/>
        <v>1.2579263440044963E-2</v>
      </c>
      <c r="DP13" s="7">
        <f t="shared" si="3"/>
        <v>5.8370334452997746E-3</v>
      </c>
      <c r="DQ13" s="7">
        <f t="shared" si="3"/>
        <v>7.0254271472740798E-2</v>
      </c>
      <c r="DR13" s="7">
        <f t="shared" si="3"/>
        <v>4.1099407791975365E-2</v>
      </c>
      <c r="DS13" s="7">
        <f t="shared" si="3"/>
        <v>3.424926675608967E-2</v>
      </c>
      <c r="DT13" s="7">
        <f t="shared" si="3"/>
        <v>1.8592919822218837E-5</v>
      </c>
      <c r="DU13" s="7">
        <f t="shared" si="3"/>
        <v>4.69177853906373E-3</v>
      </c>
      <c r="DV13" s="7">
        <f t="shared" si="3"/>
        <v>4.3262564399232872E-2</v>
      </c>
      <c r="DW13" s="7">
        <f t="shared" si="3"/>
        <v>7.9040471965973586E-4</v>
      </c>
      <c r="DX13" s="7">
        <f t="shared" si="3"/>
        <v>2.9913098981942294E-2</v>
      </c>
      <c r="DY13" s="7">
        <f t="shared" si="3"/>
        <v>3.1604494414624179E-2</v>
      </c>
      <c r="DZ13" s="7">
        <f t="shared" si="3"/>
        <v>8.7917989573719116E-2</v>
      </c>
      <c r="EA13" s="7">
        <f t="shared" ref="EA13:EF13" si="4">(EA3-EA9)^2</f>
        <v>6.2727248697154972E-2</v>
      </c>
      <c r="EB13" s="7">
        <f t="shared" si="4"/>
        <v>3.4068751799008819E-2</v>
      </c>
      <c r="EC13" s="7">
        <f t="shared" si="4"/>
        <v>1.081212920755034E-2</v>
      </c>
      <c r="ED13" s="7">
        <f t="shared" si="4"/>
        <v>3.4645107407441852E-2</v>
      </c>
      <c r="EE13" s="7">
        <f t="shared" si="4"/>
        <v>2.76583231431448E-2</v>
      </c>
      <c r="EF13" s="7">
        <f t="shared" si="4"/>
        <v>8.7620220083636027E-3</v>
      </c>
    </row>
    <row r="14" spans="1:136">
      <c r="A14" s="10"/>
      <c r="B14" s="10" t="s">
        <v>137</v>
      </c>
      <c r="C14" s="7">
        <f t="shared" ref="C14:AH14" si="5">(C4-C10)^2</f>
        <v>1.9065220427389405E-3</v>
      </c>
      <c r="D14" s="7">
        <f t="shared" si="5"/>
        <v>6.1261204425587055E-3</v>
      </c>
      <c r="E14" s="7">
        <f t="shared" si="5"/>
        <v>2.7346323394197139E-2</v>
      </c>
      <c r="F14" s="7">
        <f t="shared" si="5"/>
        <v>5.5604802609381446E-4</v>
      </c>
      <c r="G14" s="7">
        <f t="shared" si="5"/>
        <v>6.7256801280824105E-3</v>
      </c>
      <c r="H14" s="7">
        <f t="shared" si="5"/>
        <v>2.4163072611223389E-3</v>
      </c>
      <c r="I14" s="7">
        <f t="shared" si="5"/>
        <v>1.3932010394687936E-4</v>
      </c>
      <c r="J14" s="7">
        <f t="shared" si="5"/>
        <v>9.6105988972251442E-4</v>
      </c>
      <c r="K14" s="7">
        <f t="shared" si="5"/>
        <v>4.3328302568196239E-3</v>
      </c>
      <c r="L14" s="7">
        <f t="shared" si="5"/>
        <v>1.0871891927431132E-2</v>
      </c>
      <c r="M14" s="7">
        <f t="shared" si="5"/>
        <v>2.5884678403779852E-3</v>
      </c>
      <c r="N14" s="7">
        <f t="shared" si="5"/>
        <v>3.3181065786634226E-2</v>
      </c>
      <c r="O14" s="7">
        <f t="shared" si="5"/>
        <v>2.2368488989938581E-2</v>
      </c>
      <c r="P14" s="7">
        <f t="shared" si="5"/>
        <v>1.6278250942630085E-3</v>
      </c>
      <c r="Q14" s="7">
        <f t="shared" si="5"/>
        <v>2.8164144543373942E-2</v>
      </c>
      <c r="R14" s="7">
        <f t="shared" si="5"/>
        <v>1.3309611767018248E-2</v>
      </c>
      <c r="S14" s="7">
        <f t="shared" si="5"/>
        <v>5.969855953523325E-3</v>
      </c>
      <c r="T14" s="7">
        <f t="shared" si="5"/>
        <v>9.1319731484980425E-4</v>
      </c>
      <c r="U14" s="7">
        <f t="shared" si="5"/>
        <v>6.4428465250005744E-5</v>
      </c>
      <c r="V14" s="7">
        <f t="shared" si="5"/>
        <v>8.1115961299482698E-4</v>
      </c>
      <c r="W14" s="7">
        <f t="shared" si="5"/>
        <v>1.8645209187639931E-2</v>
      </c>
      <c r="X14" s="7">
        <f t="shared" si="5"/>
        <v>1.1028372837698005E-2</v>
      </c>
      <c r="Y14" s="7">
        <f t="shared" si="5"/>
        <v>4.5868099062413029E-2</v>
      </c>
      <c r="Z14" s="7">
        <f t="shared" si="5"/>
        <v>1.0724634927529033E-4</v>
      </c>
      <c r="AA14" s="7">
        <f t="shared" si="5"/>
        <v>1.2706497101676898E-3</v>
      </c>
      <c r="AB14" s="7">
        <f t="shared" si="5"/>
        <v>2.0841584935165511E-2</v>
      </c>
      <c r="AC14" s="7">
        <f t="shared" si="5"/>
        <v>2.4397259442219089E-6</v>
      </c>
      <c r="AD14" s="7">
        <f t="shared" si="5"/>
        <v>1.4767809220824702E-4</v>
      </c>
      <c r="AE14" s="7">
        <f t="shared" si="5"/>
        <v>9.0069495941752908E-3</v>
      </c>
      <c r="AF14" s="7">
        <f t="shared" si="5"/>
        <v>3.2683665399934843E-2</v>
      </c>
      <c r="AG14" s="7">
        <f t="shared" si="5"/>
        <v>3.8791748250106835E-3</v>
      </c>
      <c r="AH14" s="7">
        <f t="shared" si="5"/>
        <v>2.7020765853930383E-2</v>
      </c>
      <c r="AI14" s="7">
        <f t="shared" ref="AI14:BN14" si="6">(AI4-AI10)^2</f>
        <v>1.2588306093421764E-3</v>
      </c>
      <c r="AJ14" s="7">
        <f t="shared" si="6"/>
        <v>8.742278243577109E-3</v>
      </c>
      <c r="AK14" s="7">
        <f t="shared" si="6"/>
        <v>5.8765536964266243E-3</v>
      </c>
      <c r="AL14" s="7">
        <f t="shared" si="6"/>
        <v>1.6032874031434705E-2</v>
      </c>
      <c r="AM14" s="7">
        <f t="shared" si="6"/>
        <v>4.8997775661597823E-5</v>
      </c>
      <c r="AN14" s="7">
        <f t="shared" si="6"/>
        <v>1.773970862899538E-2</v>
      </c>
      <c r="AO14" s="7">
        <f t="shared" si="6"/>
        <v>1.6738135462060661E-5</v>
      </c>
      <c r="AP14" s="7">
        <f t="shared" si="6"/>
        <v>6.629225888532644E-3</v>
      </c>
      <c r="AQ14" s="7">
        <f t="shared" si="6"/>
        <v>1.4548605672109555E-2</v>
      </c>
      <c r="AR14" s="7">
        <f t="shared" si="6"/>
        <v>3.7953779560343718E-3</v>
      </c>
      <c r="AS14" s="7">
        <f t="shared" si="6"/>
        <v>9.0900388694837211E-3</v>
      </c>
      <c r="AT14" s="7">
        <f t="shared" si="6"/>
        <v>1.4056752333747844E-4</v>
      </c>
      <c r="AU14" s="7">
        <f t="shared" si="6"/>
        <v>1.4587440949529105E-2</v>
      </c>
      <c r="AV14" s="7">
        <f t="shared" si="6"/>
        <v>5.2962193300079084E-2</v>
      </c>
      <c r="AW14" s="7">
        <f t="shared" si="6"/>
        <v>4.1315077651077311E-3</v>
      </c>
      <c r="AX14" s="7">
        <f t="shared" si="6"/>
        <v>3.2758146450869748E-4</v>
      </c>
      <c r="AY14" s="7">
        <f t="shared" si="6"/>
        <v>5.9415829420751895E-3</v>
      </c>
      <c r="AZ14" s="7">
        <f t="shared" si="6"/>
        <v>2.2457873295766477E-2</v>
      </c>
      <c r="BA14" s="7">
        <f t="shared" si="6"/>
        <v>2.775286403490137E-4</v>
      </c>
      <c r="BB14" s="7">
        <f t="shared" si="6"/>
        <v>6.4617078243689188E-2</v>
      </c>
      <c r="BC14" s="7">
        <f t="shared" si="6"/>
        <v>3.0606053977237518E-2</v>
      </c>
      <c r="BD14" s="7">
        <f t="shared" si="6"/>
        <v>9.4182337336106113E-3</v>
      </c>
      <c r="BE14" s="7">
        <f t="shared" si="6"/>
        <v>2.7904672912869334E-2</v>
      </c>
      <c r="BF14" s="7">
        <f t="shared" si="6"/>
        <v>5.9283564498305201E-3</v>
      </c>
      <c r="BG14" s="7">
        <f t="shared" si="6"/>
        <v>2.3612261347991416E-3</v>
      </c>
      <c r="BH14" s="7">
        <f t="shared" si="6"/>
        <v>1.1792771604147373E-2</v>
      </c>
      <c r="BI14" s="7">
        <f t="shared" si="6"/>
        <v>9.918820207246758E-3</v>
      </c>
      <c r="BJ14" s="7">
        <f t="shared" si="6"/>
        <v>2.4589344952477402E-3</v>
      </c>
      <c r="BK14" s="7">
        <f t="shared" si="6"/>
        <v>2.239891633093621E-2</v>
      </c>
      <c r="BL14" s="7">
        <f t="shared" si="6"/>
        <v>2.9069321212873528E-4</v>
      </c>
      <c r="BM14" s="7">
        <f t="shared" si="6"/>
        <v>1.4663084904159972E-3</v>
      </c>
      <c r="BN14" s="7">
        <f t="shared" si="6"/>
        <v>1.6942125237367825E-3</v>
      </c>
      <c r="BO14" s="7">
        <f t="shared" ref="BO14:CT14" si="7">(BO4-BO10)^2</f>
        <v>2.7008349976898262E-3</v>
      </c>
      <c r="BP14" s="7">
        <f t="shared" si="7"/>
        <v>6.0466753269876696E-4</v>
      </c>
      <c r="BQ14" s="7">
        <f t="shared" si="7"/>
        <v>3.3069726450901077E-3</v>
      </c>
      <c r="BR14" s="7">
        <f t="shared" si="7"/>
        <v>4.0242144698265942E-3</v>
      </c>
      <c r="BS14" s="7">
        <f t="shared" si="7"/>
        <v>2.5799840406119682E-3</v>
      </c>
      <c r="BT14" s="7">
        <f t="shared" si="7"/>
        <v>1.7622801153585176E-2</v>
      </c>
      <c r="BU14" s="7">
        <f t="shared" si="7"/>
        <v>3.0517224732874614E-2</v>
      </c>
      <c r="BV14" s="7">
        <f t="shared" si="7"/>
        <v>6.2075949373466922E-2</v>
      </c>
      <c r="BW14" s="7">
        <f t="shared" si="7"/>
        <v>3.5574671765136882E-4</v>
      </c>
      <c r="BX14" s="7">
        <f t="shared" si="7"/>
        <v>5.8317964958072761E-4</v>
      </c>
      <c r="BY14" s="7">
        <f t="shared" si="7"/>
        <v>7.6945450337529156E-2</v>
      </c>
      <c r="BZ14" s="7">
        <f t="shared" si="7"/>
        <v>1.2308432196951387E-2</v>
      </c>
      <c r="CA14" s="7">
        <f t="shared" si="7"/>
        <v>9.5760864119367982E-3</v>
      </c>
      <c r="CB14" s="7">
        <f t="shared" si="7"/>
        <v>0.12285982099030901</v>
      </c>
      <c r="CC14" s="7">
        <f t="shared" si="7"/>
        <v>5.1874532758112858E-2</v>
      </c>
      <c r="CD14" s="7">
        <f t="shared" si="7"/>
        <v>3.7286232936271E-3</v>
      </c>
      <c r="CE14" s="7">
        <f t="shared" si="7"/>
        <v>3.2446303444038711E-2</v>
      </c>
      <c r="CF14" s="7">
        <f t="shared" si="7"/>
        <v>2.1429276052036018E-2</v>
      </c>
      <c r="CG14" s="7">
        <f t="shared" si="7"/>
        <v>1.9535500885620055E-3</v>
      </c>
      <c r="CH14" s="7">
        <f t="shared" si="7"/>
        <v>1.4510336633914827E-6</v>
      </c>
      <c r="CI14" s="7">
        <f t="shared" si="7"/>
        <v>8.7018793368057081E-4</v>
      </c>
      <c r="CJ14" s="7">
        <f t="shared" si="7"/>
        <v>8.6236642131224338E-4</v>
      </c>
      <c r="CK14" s="7">
        <f t="shared" si="7"/>
        <v>2.8417613210022334E-3</v>
      </c>
      <c r="CL14" s="7">
        <f t="shared" si="7"/>
        <v>6.6040612736459304E-4</v>
      </c>
      <c r="CM14" s="7">
        <f t="shared" si="7"/>
        <v>1.8374355740705044E-2</v>
      </c>
      <c r="CN14" s="7">
        <f t="shared" si="7"/>
        <v>1.6618421092433295E-2</v>
      </c>
      <c r="CO14" s="7">
        <f t="shared" si="7"/>
        <v>2.0688979839232142E-2</v>
      </c>
      <c r="CP14" s="7">
        <f t="shared" si="7"/>
        <v>1.6453800103596755E-3</v>
      </c>
      <c r="CQ14" s="7">
        <f t="shared" si="7"/>
        <v>2.2418211806431498E-2</v>
      </c>
      <c r="CR14" s="7">
        <f t="shared" si="7"/>
        <v>4.3259779214116917E-2</v>
      </c>
      <c r="CS14" s="7">
        <f t="shared" si="7"/>
        <v>6.4709993303679783E-2</v>
      </c>
      <c r="CT14" s="7">
        <f t="shared" si="7"/>
        <v>3.6773314082589298E-2</v>
      </c>
      <c r="CU14" s="7">
        <f t="shared" ref="CU14:DZ14" si="8">(CU4-CU10)^2</f>
        <v>1.4467821806493321E-2</v>
      </c>
      <c r="CV14" s="7">
        <f t="shared" si="8"/>
        <v>2.5015070643046748E-2</v>
      </c>
      <c r="CW14" s="7">
        <f t="shared" si="8"/>
        <v>3.2077478672147596E-4</v>
      </c>
      <c r="CX14" s="7">
        <f t="shared" si="8"/>
        <v>3.0320921872590598E-2</v>
      </c>
      <c r="CY14" s="7">
        <f t="shared" si="8"/>
        <v>6.5417724036327526E-3</v>
      </c>
      <c r="CZ14" s="7">
        <f t="shared" si="8"/>
        <v>4.9137086315212608E-3</v>
      </c>
      <c r="DA14" s="7">
        <f t="shared" si="8"/>
        <v>1.2252502120755545E-2</v>
      </c>
      <c r="DB14" s="7">
        <f t="shared" si="8"/>
        <v>2.0532038285439251E-2</v>
      </c>
      <c r="DC14" s="7">
        <f t="shared" si="8"/>
        <v>1.3851841859833583E-2</v>
      </c>
      <c r="DD14" s="7">
        <f t="shared" si="8"/>
        <v>1.9901319130530206E-4</v>
      </c>
      <c r="DE14" s="7">
        <f t="shared" si="8"/>
        <v>1.3060355705995709E-3</v>
      </c>
      <c r="DF14" s="7">
        <f t="shared" si="8"/>
        <v>4.6924321474599968E-2</v>
      </c>
      <c r="DG14" s="7">
        <f t="shared" si="8"/>
        <v>0.12928942681630498</v>
      </c>
      <c r="DH14" s="7">
        <f t="shared" si="8"/>
        <v>9.1466913865734079E-2</v>
      </c>
      <c r="DI14" s="7">
        <f t="shared" si="8"/>
        <v>3.693604392386556E-3</v>
      </c>
      <c r="DJ14" s="7">
        <f t="shared" si="8"/>
        <v>5.7916151852573929E-4</v>
      </c>
      <c r="DK14" s="7">
        <f t="shared" si="8"/>
        <v>6.9381377556851281E-2</v>
      </c>
      <c r="DL14" s="7">
        <f t="shared" si="8"/>
        <v>1.6832914244870007E-2</v>
      </c>
      <c r="DM14" s="7">
        <f t="shared" si="8"/>
        <v>1.9178234537619403E-2</v>
      </c>
      <c r="DN14" s="7">
        <f t="shared" si="8"/>
        <v>1.3002916017835217E-2</v>
      </c>
      <c r="DO14" s="7">
        <f t="shared" si="8"/>
        <v>4.1004898827113091E-3</v>
      </c>
      <c r="DP14" s="7">
        <f t="shared" si="8"/>
        <v>3.3445667376223406E-3</v>
      </c>
      <c r="DQ14" s="7">
        <f t="shared" si="8"/>
        <v>4.6963826663440261E-2</v>
      </c>
      <c r="DR14" s="7">
        <f t="shared" si="8"/>
        <v>7.9056673316813385E-3</v>
      </c>
      <c r="DS14" s="7">
        <f t="shared" si="8"/>
        <v>6.9619874770451839E-3</v>
      </c>
      <c r="DT14" s="7">
        <f t="shared" si="8"/>
        <v>1.5166188801467074E-2</v>
      </c>
      <c r="DU14" s="7">
        <f t="shared" si="8"/>
        <v>4.8208291981431249E-2</v>
      </c>
      <c r="DV14" s="7">
        <f t="shared" si="8"/>
        <v>5.7921023689516471E-7</v>
      </c>
      <c r="DW14" s="7">
        <f t="shared" si="8"/>
        <v>7.6653369416468543E-3</v>
      </c>
      <c r="DX14" s="7">
        <f t="shared" si="8"/>
        <v>1.1681079014731093E-3</v>
      </c>
      <c r="DY14" s="7">
        <f t="shared" si="8"/>
        <v>4.1811437344629075E-2</v>
      </c>
      <c r="DZ14" s="7">
        <f t="shared" si="8"/>
        <v>3.4086347136913523E-3</v>
      </c>
      <c r="EA14" s="7">
        <f t="shared" ref="EA14:EF14" si="9">(EA4-EA10)^2</f>
        <v>4.667662926454934E-3</v>
      </c>
      <c r="EB14" s="7">
        <f t="shared" si="9"/>
        <v>6.3270262729874363E-2</v>
      </c>
      <c r="EC14" s="7">
        <f t="shared" si="9"/>
        <v>3.8080117148697387E-5</v>
      </c>
      <c r="ED14" s="7">
        <f t="shared" si="9"/>
        <v>4.6313097833159024E-4</v>
      </c>
      <c r="EE14" s="7">
        <f t="shared" si="9"/>
        <v>1.4429256294608056E-3</v>
      </c>
      <c r="EF14" s="7">
        <f t="shared" si="9"/>
        <v>0.13710250088260023</v>
      </c>
    </row>
    <row r="15" spans="1:136">
      <c r="A15" s="10"/>
      <c r="B15" s="10" t="s">
        <v>138</v>
      </c>
      <c r="C15" s="7">
        <f t="shared" ref="C15:AH15" si="10">(C5-C11)^2</f>
        <v>2.405874921442747E-2</v>
      </c>
      <c r="D15" s="7">
        <f t="shared" si="10"/>
        <v>2.3293635088154657E-2</v>
      </c>
      <c r="E15" s="7">
        <f t="shared" si="10"/>
        <v>0.29459664529731461</v>
      </c>
      <c r="F15" s="7">
        <f t="shared" si="10"/>
        <v>1.8093242109022706E-2</v>
      </c>
      <c r="G15" s="7">
        <f t="shared" si="10"/>
        <v>9.8109396993650066E-2</v>
      </c>
      <c r="H15" s="7">
        <f t="shared" si="10"/>
        <v>0.22276490933123369</v>
      </c>
      <c r="I15" s="7">
        <f t="shared" si="10"/>
        <v>2.7262130155613313E-2</v>
      </c>
      <c r="J15" s="7">
        <f t="shared" si="10"/>
        <v>6.1234956513977253E-3</v>
      </c>
      <c r="K15" s="7">
        <f t="shared" si="10"/>
        <v>3.9330534783208478E-2</v>
      </c>
      <c r="L15" s="7">
        <f t="shared" si="10"/>
        <v>0.19285094304739839</v>
      </c>
      <c r="M15" s="7">
        <f t="shared" si="10"/>
        <v>7.2842619862017524E-2</v>
      </c>
      <c r="N15" s="7">
        <f t="shared" si="10"/>
        <v>7.8609227785319369E-2</v>
      </c>
      <c r="O15" s="7">
        <f t="shared" si="10"/>
        <v>2.6392163546644542E-2</v>
      </c>
      <c r="P15" s="7">
        <f t="shared" si="10"/>
        <v>0.15250897943364217</v>
      </c>
      <c r="Q15" s="7">
        <f t="shared" si="10"/>
        <v>8.5733539002288647E-4</v>
      </c>
      <c r="R15" s="7">
        <f t="shared" si="10"/>
        <v>8.7460374855595612E-3</v>
      </c>
      <c r="S15" s="7">
        <f t="shared" si="10"/>
        <v>7.2491394980314011E-2</v>
      </c>
      <c r="T15" s="7">
        <f t="shared" si="10"/>
        <v>3.2511820878735123E-3</v>
      </c>
      <c r="U15" s="7">
        <f t="shared" si="10"/>
        <v>2.0114330532096993E-4</v>
      </c>
      <c r="V15" s="7">
        <f t="shared" si="10"/>
        <v>2.3898314639651273E-2</v>
      </c>
      <c r="W15" s="7">
        <f t="shared" si="10"/>
        <v>8.4103976548501685E-2</v>
      </c>
      <c r="X15" s="7">
        <f t="shared" si="10"/>
        <v>2.7072256529345758E-2</v>
      </c>
      <c r="Y15" s="7">
        <f t="shared" si="10"/>
        <v>0.5482978875588671</v>
      </c>
      <c r="Z15" s="7">
        <f t="shared" si="10"/>
        <v>3.2672188124006664E-2</v>
      </c>
      <c r="AA15" s="7">
        <f t="shared" si="10"/>
        <v>6.3500679571694843E-3</v>
      </c>
      <c r="AB15" s="7">
        <f t="shared" si="10"/>
        <v>4.0718512820479127E-2</v>
      </c>
      <c r="AC15" s="7">
        <f t="shared" si="10"/>
        <v>2.0171773040789036E-4</v>
      </c>
      <c r="AD15" s="7">
        <f t="shared" si="10"/>
        <v>2.0049425022792722E-2</v>
      </c>
      <c r="AE15" s="7">
        <f t="shared" si="10"/>
        <v>1.0196428782332021E-2</v>
      </c>
      <c r="AF15" s="7">
        <f t="shared" si="10"/>
        <v>0.10945347702938428</v>
      </c>
      <c r="AG15" s="7">
        <f t="shared" si="10"/>
        <v>7.6720154603692012E-2</v>
      </c>
      <c r="AH15" s="7">
        <f t="shared" si="10"/>
        <v>0.11788297153715228</v>
      </c>
      <c r="AI15" s="7">
        <f t="shared" ref="AI15:BN15" si="11">(AI5-AI11)^2</f>
        <v>5.3207895291471012E-2</v>
      </c>
      <c r="AJ15" s="7">
        <f t="shared" si="11"/>
        <v>0.21754147975711921</v>
      </c>
      <c r="AK15" s="7">
        <f t="shared" si="11"/>
        <v>3.2238049939035035E-2</v>
      </c>
      <c r="AL15" s="7">
        <f t="shared" si="11"/>
        <v>6.0468288103145808E-3</v>
      </c>
      <c r="AM15" s="7">
        <f t="shared" si="11"/>
        <v>1.3897928479421332E-4</v>
      </c>
      <c r="AN15" s="7">
        <f t="shared" si="11"/>
        <v>1.6214796439821447E-2</v>
      </c>
      <c r="AO15" s="7">
        <f t="shared" si="11"/>
        <v>1.5869670019825192E-2</v>
      </c>
      <c r="AP15" s="7">
        <f t="shared" si="11"/>
        <v>9.8648155443152602E-7</v>
      </c>
      <c r="AQ15" s="7">
        <f t="shared" si="11"/>
        <v>1.8742263024141542E-2</v>
      </c>
      <c r="AR15" s="7">
        <f t="shared" si="11"/>
        <v>1.7209972173421621E-2</v>
      </c>
      <c r="AS15" s="7">
        <f t="shared" si="11"/>
        <v>2.7484847340199452E-2</v>
      </c>
      <c r="AT15" s="7">
        <f t="shared" si="11"/>
        <v>1.0362654981528571E-5</v>
      </c>
      <c r="AU15" s="7">
        <f t="shared" si="11"/>
        <v>2.5600517236982125E-2</v>
      </c>
      <c r="AV15" s="7">
        <f t="shared" si="11"/>
        <v>3.6068544085765698E-3</v>
      </c>
      <c r="AW15" s="7">
        <f t="shared" si="11"/>
        <v>3.5039547936425467E-3</v>
      </c>
      <c r="AX15" s="7">
        <f t="shared" si="11"/>
        <v>6.8718251904354391E-2</v>
      </c>
      <c r="AY15" s="7">
        <f t="shared" si="11"/>
        <v>3.2257907670147176E-2</v>
      </c>
      <c r="AZ15" s="7">
        <f t="shared" si="11"/>
        <v>7.1922926855121166E-2</v>
      </c>
      <c r="BA15" s="7">
        <f t="shared" si="11"/>
        <v>1.3990978027730208E-3</v>
      </c>
      <c r="BB15" s="7">
        <f t="shared" si="11"/>
        <v>5.3767709148805493E-2</v>
      </c>
      <c r="BC15" s="7">
        <f t="shared" si="11"/>
        <v>3.6234463820952162E-2</v>
      </c>
      <c r="BD15" s="7">
        <f t="shared" si="11"/>
        <v>8.4172436517509202E-3</v>
      </c>
      <c r="BE15" s="7">
        <f t="shared" si="11"/>
        <v>6.8853883838167582E-2</v>
      </c>
      <c r="BF15" s="7">
        <f t="shared" si="11"/>
        <v>5.8529421217985511E-3</v>
      </c>
      <c r="BG15" s="7">
        <f t="shared" si="11"/>
        <v>2.5461126495132957E-3</v>
      </c>
      <c r="BH15" s="7">
        <f t="shared" si="11"/>
        <v>1.4637133707172376E-2</v>
      </c>
      <c r="BI15" s="7">
        <f t="shared" si="11"/>
        <v>1.8303138030018238E-2</v>
      </c>
      <c r="BJ15" s="7">
        <f t="shared" si="11"/>
        <v>5.0029310844908956E-2</v>
      </c>
      <c r="BK15" s="7">
        <f t="shared" si="11"/>
        <v>4.1472373788238537E-2</v>
      </c>
      <c r="BL15" s="7">
        <f t="shared" si="11"/>
        <v>9.582406673692109E-3</v>
      </c>
      <c r="BM15" s="7">
        <f t="shared" si="11"/>
        <v>1.4892550615159326E-3</v>
      </c>
      <c r="BN15" s="7">
        <f t="shared" si="11"/>
        <v>2.1019433197472629E-2</v>
      </c>
      <c r="BO15" s="7">
        <f t="shared" ref="BO15:CT15" si="12">(BO5-BO11)^2</f>
        <v>7.1489161695194852E-3</v>
      </c>
      <c r="BP15" s="7">
        <f t="shared" si="12"/>
        <v>4.9018554265506831E-4</v>
      </c>
      <c r="BQ15" s="7">
        <f t="shared" si="12"/>
        <v>2.2924489228619893E-2</v>
      </c>
      <c r="BR15" s="7">
        <f t="shared" si="12"/>
        <v>4.6348051395399242E-2</v>
      </c>
      <c r="BS15" s="7">
        <f t="shared" si="12"/>
        <v>4.9350462262851509E-2</v>
      </c>
      <c r="BT15" s="7">
        <f t="shared" si="12"/>
        <v>2.8897822394271758E-2</v>
      </c>
      <c r="BU15" s="7">
        <f t="shared" si="12"/>
        <v>1.3466616565994167E-2</v>
      </c>
      <c r="BV15" s="7">
        <f t="shared" si="12"/>
        <v>4.2031925355017815E-3</v>
      </c>
      <c r="BW15" s="7">
        <f t="shared" si="12"/>
        <v>2.1067933163668452E-4</v>
      </c>
      <c r="BX15" s="7">
        <f t="shared" si="12"/>
        <v>1.0378315706453627E-2</v>
      </c>
      <c r="BY15" s="7">
        <f t="shared" si="12"/>
        <v>5.8881509036435567E-3</v>
      </c>
      <c r="BZ15" s="7">
        <f t="shared" si="12"/>
        <v>4.3673428872032516E-3</v>
      </c>
      <c r="CA15" s="7">
        <f t="shared" si="12"/>
        <v>3.6753632047366491E-3</v>
      </c>
      <c r="CB15" s="7">
        <f t="shared" si="12"/>
        <v>1.596123007930221E-2</v>
      </c>
      <c r="CC15" s="7">
        <f t="shared" si="12"/>
        <v>2.5736038941545799E-2</v>
      </c>
      <c r="CD15" s="7">
        <f t="shared" si="12"/>
        <v>0.1567024414461349</v>
      </c>
      <c r="CE15" s="7">
        <f t="shared" si="12"/>
        <v>4.3322620657000339E-3</v>
      </c>
      <c r="CF15" s="7">
        <f t="shared" si="12"/>
        <v>2.1733216885262124E-2</v>
      </c>
      <c r="CG15" s="7">
        <f t="shared" si="12"/>
        <v>7.9063326316364396E-2</v>
      </c>
      <c r="CH15" s="7">
        <f t="shared" si="12"/>
        <v>1.0394914619134971E-3</v>
      </c>
      <c r="CI15" s="7">
        <f t="shared" si="12"/>
        <v>1.0290411629317079E-3</v>
      </c>
      <c r="CJ15" s="7">
        <f t="shared" si="12"/>
        <v>0.24374772797212513</v>
      </c>
      <c r="CK15" s="7">
        <f t="shared" si="12"/>
        <v>6.0747993892910107E-2</v>
      </c>
      <c r="CL15" s="7">
        <f t="shared" si="12"/>
        <v>4.7558022351001761E-2</v>
      </c>
      <c r="CM15" s="7">
        <f t="shared" si="12"/>
        <v>2.41311039094371E-2</v>
      </c>
      <c r="CN15" s="7">
        <f t="shared" si="12"/>
        <v>0.14075586369264392</v>
      </c>
      <c r="CO15" s="7">
        <f t="shared" si="12"/>
        <v>0.29339799241866599</v>
      </c>
      <c r="CP15" s="7">
        <f t="shared" si="12"/>
        <v>1.0890194429082833E-4</v>
      </c>
      <c r="CQ15" s="7">
        <f t="shared" si="12"/>
        <v>8.5224012058036175E-2</v>
      </c>
      <c r="CR15" s="7">
        <f t="shared" si="12"/>
        <v>0.2253882292990842</v>
      </c>
      <c r="CS15" s="7">
        <f t="shared" si="12"/>
        <v>6.9101769864812715E-2</v>
      </c>
      <c r="CT15" s="7">
        <f t="shared" si="12"/>
        <v>6.4948778390843925E-2</v>
      </c>
      <c r="CU15" s="7">
        <f t="shared" ref="CU15:DZ15" si="13">(CU5-CU11)^2</f>
        <v>1.2376517498844553E-3</v>
      </c>
      <c r="CV15" s="7">
        <f t="shared" si="13"/>
        <v>8.4869028657436008E-2</v>
      </c>
      <c r="CW15" s="7">
        <f t="shared" si="13"/>
        <v>1.435810503471014E-2</v>
      </c>
      <c r="CX15" s="7">
        <f t="shared" si="13"/>
        <v>0.13893206813038864</v>
      </c>
      <c r="CY15" s="7">
        <f t="shared" si="13"/>
        <v>0.36304428427771102</v>
      </c>
      <c r="CZ15" s="7">
        <f t="shared" si="13"/>
        <v>0.75234390143696528</v>
      </c>
      <c r="DA15" s="7">
        <f t="shared" si="13"/>
        <v>6.7176164527273693E-2</v>
      </c>
      <c r="DB15" s="7">
        <f t="shared" si="13"/>
        <v>3.273486186453334E-4</v>
      </c>
      <c r="DC15" s="7">
        <f t="shared" si="13"/>
        <v>4.9979143119382306E-2</v>
      </c>
      <c r="DD15" s="7">
        <f t="shared" si="13"/>
        <v>6.5715308246267534E-2</v>
      </c>
      <c r="DE15" s="7">
        <f t="shared" si="13"/>
        <v>1.3779619599725264E-2</v>
      </c>
      <c r="DF15" s="7">
        <f t="shared" si="13"/>
        <v>0.15547153530738914</v>
      </c>
      <c r="DG15" s="7">
        <f t="shared" si="13"/>
        <v>5.25533195311415E-2</v>
      </c>
      <c r="DH15" s="7">
        <f t="shared" si="13"/>
        <v>1.1192678282671176E-2</v>
      </c>
      <c r="DI15" s="7">
        <f t="shared" si="13"/>
        <v>5.8448130267062352E-2</v>
      </c>
      <c r="DJ15" s="7">
        <f t="shared" si="13"/>
        <v>0.16440941888952298</v>
      </c>
      <c r="DK15" s="7">
        <f t="shared" si="13"/>
        <v>0.70395826724960586</v>
      </c>
      <c r="DL15" s="7">
        <f t="shared" si="13"/>
        <v>5.7914148790905819E-2</v>
      </c>
      <c r="DM15" s="7">
        <f t="shared" si="13"/>
        <v>0.21172131643185685</v>
      </c>
      <c r="DN15" s="7">
        <f t="shared" si="13"/>
        <v>0.60531809129546887</v>
      </c>
      <c r="DO15" s="7">
        <f t="shared" si="13"/>
        <v>9.1896142742364087E-2</v>
      </c>
      <c r="DP15" s="7">
        <f t="shared" si="13"/>
        <v>3.4550259814726862E-2</v>
      </c>
      <c r="DQ15" s="7">
        <f t="shared" si="13"/>
        <v>0.68359349095613919</v>
      </c>
      <c r="DR15" s="7">
        <f t="shared" si="13"/>
        <v>1.0001165413922777E-4</v>
      </c>
      <c r="DS15" s="7">
        <f t="shared" si="13"/>
        <v>0.11072807448978861</v>
      </c>
      <c r="DT15" s="7">
        <f t="shared" si="13"/>
        <v>8.8784319296733777E-2</v>
      </c>
      <c r="DU15" s="7">
        <f t="shared" si="13"/>
        <v>7.5469002063199023E-2</v>
      </c>
      <c r="DV15" s="7">
        <f t="shared" si="13"/>
        <v>0.55158559676116625</v>
      </c>
      <c r="DW15" s="7">
        <f t="shared" si="13"/>
        <v>5.4934112407110615E-3</v>
      </c>
      <c r="DX15" s="7">
        <f t="shared" si="13"/>
        <v>6.5056752498953915E-2</v>
      </c>
      <c r="DY15" s="7">
        <f t="shared" si="13"/>
        <v>0.2475256837966997</v>
      </c>
      <c r="DZ15" s="7">
        <f t="shared" si="13"/>
        <v>0.21087233176482217</v>
      </c>
      <c r="EA15" s="7">
        <f t="shared" ref="EA15:EF15" si="14">(EA5-EA11)^2</f>
        <v>0.15114087188472333</v>
      </c>
      <c r="EB15" s="7">
        <f t="shared" si="14"/>
        <v>0.87482148371581347</v>
      </c>
      <c r="EC15" s="7">
        <f t="shared" si="14"/>
        <v>1.531923655437289E-2</v>
      </c>
      <c r="ED15" s="7">
        <f t="shared" si="14"/>
        <v>0.10999976509349076</v>
      </c>
      <c r="EE15" s="7">
        <f t="shared" si="14"/>
        <v>0.55624904135993825</v>
      </c>
      <c r="EF15" s="7">
        <f t="shared" si="14"/>
        <v>1.0775088008824379E-2</v>
      </c>
    </row>
    <row r="17" spans="1:136">
      <c r="A17" t="s">
        <v>200</v>
      </c>
      <c r="B17" t="s">
        <v>136</v>
      </c>
      <c r="C17" s="7">
        <f t="shared" ref="C17:AH17" si="15">C9^2</f>
        <v>1.1904082277860264E-2</v>
      </c>
      <c r="D17" s="7">
        <f t="shared" si="15"/>
        <v>2.1247676054046116E-4</v>
      </c>
      <c r="E17" s="7">
        <f t="shared" si="15"/>
        <v>1.3071374994951929E-3</v>
      </c>
      <c r="F17" s="7">
        <f t="shared" si="15"/>
        <v>2.2492264027630889E-5</v>
      </c>
      <c r="G17" s="7">
        <f t="shared" si="15"/>
        <v>3.3036666141783492E-5</v>
      </c>
      <c r="H17" s="7">
        <f t="shared" si="15"/>
        <v>2.4381891708842936E-3</v>
      </c>
      <c r="I17" s="7">
        <f t="shared" si="15"/>
        <v>3.3581210916677484E-2</v>
      </c>
      <c r="J17" s="7">
        <f t="shared" si="15"/>
        <v>1.3569060155122757E-2</v>
      </c>
      <c r="K17" s="7">
        <f t="shared" si="15"/>
        <v>9.3605069620112215E-4</v>
      </c>
      <c r="L17" s="7">
        <f t="shared" si="15"/>
        <v>3.9315162352171023E-4</v>
      </c>
      <c r="M17" s="7">
        <f t="shared" si="15"/>
        <v>4.4095826822239875E-4</v>
      </c>
      <c r="N17" s="7">
        <f t="shared" si="15"/>
        <v>2.2433876085478928E-2</v>
      </c>
      <c r="O17" s="7">
        <f t="shared" si="15"/>
        <v>2.3911693040638534E-4</v>
      </c>
      <c r="P17" s="7">
        <f t="shared" si="15"/>
        <v>8.4258302823047079E-3</v>
      </c>
      <c r="Q17" s="7">
        <f t="shared" si="15"/>
        <v>5.9921553092687051E-3</v>
      </c>
      <c r="R17" s="7">
        <f t="shared" si="15"/>
        <v>3.0004754709051702E-3</v>
      </c>
      <c r="S17" s="7">
        <f t="shared" si="15"/>
        <v>1.5708708491616E-2</v>
      </c>
      <c r="T17" s="7">
        <f t="shared" si="15"/>
        <v>1.4173716945580542E-2</v>
      </c>
      <c r="U17" s="7">
        <f t="shared" si="15"/>
        <v>1.4265767398050631E-3</v>
      </c>
      <c r="V17" s="7">
        <f t="shared" si="15"/>
        <v>6.5908131416074602E-3</v>
      </c>
      <c r="W17" s="7">
        <f t="shared" si="15"/>
        <v>7.0575066817627407E-3</v>
      </c>
      <c r="X17" s="7">
        <f t="shared" si="15"/>
        <v>2.1612338960948319E-2</v>
      </c>
      <c r="Y17" s="7">
        <f t="shared" si="15"/>
        <v>1.5715264241471783E-2</v>
      </c>
      <c r="Z17" s="7">
        <f t="shared" si="15"/>
        <v>3.6846166718653456E-2</v>
      </c>
      <c r="AA17" s="7">
        <f t="shared" si="15"/>
        <v>7.1184289266528374E-3</v>
      </c>
      <c r="AB17" s="7">
        <f t="shared" si="15"/>
        <v>5.3140620982757656E-3</v>
      </c>
      <c r="AC17" s="7">
        <f t="shared" si="15"/>
        <v>1.0527695785516851E-2</v>
      </c>
      <c r="AD17" s="7">
        <f t="shared" si="15"/>
        <v>2.4869817519127077E-4</v>
      </c>
      <c r="AE17" s="7">
        <f t="shared" si="15"/>
        <v>2.3106177330172069E-2</v>
      </c>
      <c r="AF17" s="7">
        <f t="shared" si="15"/>
        <v>3.5105923035905259E-3</v>
      </c>
      <c r="AG17" s="7">
        <f t="shared" si="15"/>
        <v>1.6915301264337771E-2</v>
      </c>
      <c r="AH17" s="7">
        <f t="shared" si="15"/>
        <v>1.328403665826966E-2</v>
      </c>
      <c r="AI17" s="7">
        <f t="shared" ref="AI17:BN17" si="16">AI9^2</f>
        <v>1.0631917918075163E-3</v>
      </c>
      <c r="AJ17" s="7">
        <f t="shared" si="16"/>
        <v>7.8395043318640434E-4</v>
      </c>
      <c r="AK17" s="7">
        <f t="shared" si="16"/>
        <v>2.1482887422166509E-2</v>
      </c>
      <c r="AL17" s="7">
        <f t="shared" si="16"/>
        <v>1.668062549107739E-3</v>
      </c>
      <c r="AM17" s="7">
        <f t="shared" si="16"/>
        <v>1.7259749824038686E-2</v>
      </c>
      <c r="AN17" s="7">
        <f t="shared" si="16"/>
        <v>4.9032555464976403E-2</v>
      </c>
      <c r="AO17" s="7">
        <f t="shared" si="16"/>
        <v>4.3852711121876225E-4</v>
      </c>
      <c r="AP17" s="7">
        <f t="shared" si="16"/>
        <v>1.8812851996102171E-2</v>
      </c>
      <c r="AQ17" s="7">
        <f t="shared" si="16"/>
        <v>6.1915646627000822E-4</v>
      </c>
      <c r="AR17" s="7">
        <f t="shared" si="16"/>
        <v>2.4068328718584233E-4</v>
      </c>
      <c r="AS17" s="7">
        <f t="shared" si="16"/>
        <v>1.1815056389704321E-3</v>
      </c>
      <c r="AT17" s="7">
        <f t="shared" si="16"/>
        <v>3.9810656089414309E-3</v>
      </c>
      <c r="AU17" s="7">
        <f t="shared" si="16"/>
        <v>1.8694983030806238E-3</v>
      </c>
      <c r="AV17" s="7">
        <f t="shared" si="16"/>
        <v>5.5101474414569638E-3</v>
      </c>
      <c r="AW17" s="7">
        <f t="shared" si="16"/>
        <v>7.8371035043392316E-4</v>
      </c>
      <c r="AX17" s="7">
        <f t="shared" si="16"/>
        <v>1.4367478657017244E-2</v>
      </c>
      <c r="AY17" s="7">
        <f t="shared" si="16"/>
        <v>5.8613679493322605E-3</v>
      </c>
      <c r="AZ17" s="7">
        <f t="shared" si="16"/>
        <v>4.7220968054589304E-4</v>
      </c>
      <c r="BA17" s="7">
        <f t="shared" si="16"/>
        <v>1.5536707046446584E-6</v>
      </c>
      <c r="BB17" s="7">
        <f t="shared" si="16"/>
        <v>1.0200156097581669E-2</v>
      </c>
      <c r="BC17" s="7">
        <f t="shared" si="16"/>
        <v>8.8964574469951819E-4</v>
      </c>
      <c r="BD17" s="7">
        <f t="shared" si="16"/>
        <v>7.5268956977767048E-5</v>
      </c>
      <c r="BE17" s="7">
        <f t="shared" si="16"/>
        <v>4.7000904970756216E-3</v>
      </c>
      <c r="BF17" s="7">
        <f t="shared" si="16"/>
        <v>2.4621562948682934E-2</v>
      </c>
      <c r="BG17" s="7">
        <f t="shared" si="16"/>
        <v>2.5345828645073384E-2</v>
      </c>
      <c r="BH17" s="7">
        <f t="shared" si="16"/>
        <v>3.7358582565093718E-3</v>
      </c>
      <c r="BI17" s="7">
        <f t="shared" si="16"/>
        <v>9.3921007423280172E-3</v>
      </c>
      <c r="BJ17" s="7">
        <f t="shared" si="16"/>
        <v>2.9971517217047563E-3</v>
      </c>
      <c r="BK17" s="7">
        <f t="shared" si="16"/>
        <v>7.6550185977651616E-3</v>
      </c>
      <c r="BL17" s="7">
        <f t="shared" si="16"/>
        <v>8.9164103340217925E-3</v>
      </c>
      <c r="BM17" s="7">
        <f t="shared" si="16"/>
        <v>4.9244308753160887E-4</v>
      </c>
      <c r="BN17" s="7">
        <f t="shared" si="16"/>
        <v>2.4425352677185161E-4</v>
      </c>
      <c r="BO17" s="7">
        <f t="shared" ref="BO17:CT17" si="17">BO9^2</f>
        <v>6.6289298211247571E-3</v>
      </c>
      <c r="BP17" s="7">
        <f t="shared" si="17"/>
        <v>3.4258094968395863E-4</v>
      </c>
      <c r="BQ17" s="7">
        <f t="shared" si="17"/>
        <v>4.7237535213055463E-3</v>
      </c>
      <c r="BR17" s="7">
        <f t="shared" si="17"/>
        <v>9.6246407867516525E-6</v>
      </c>
      <c r="BS17" s="7">
        <f t="shared" si="17"/>
        <v>5.6196639138378088E-3</v>
      </c>
      <c r="BT17" s="7">
        <f t="shared" si="17"/>
        <v>2.0431835304301382E-3</v>
      </c>
      <c r="BU17" s="7">
        <f t="shared" si="17"/>
        <v>6.5932524502488709E-4</v>
      </c>
      <c r="BV17" s="7">
        <f t="shared" si="17"/>
        <v>8.427980119369332E-3</v>
      </c>
      <c r="BW17" s="7">
        <f t="shared" si="17"/>
        <v>6.9453326513524774E-4</v>
      </c>
      <c r="BX17" s="7">
        <f t="shared" si="17"/>
        <v>3.7615951743202121E-4</v>
      </c>
      <c r="BY17" s="7">
        <f t="shared" si="17"/>
        <v>5.9042164483032638E-3</v>
      </c>
      <c r="BZ17" s="7">
        <f t="shared" si="17"/>
        <v>1.2839000623048005E-2</v>
      </c>
      <c r="CA17" s="7">
        <f t="shared" si="17"/>
        <v>1.1525082059920233E-2</v>
      </c>
      <c r="CB17" s="7">
        <f t="shared" si="17"/>
        <v>1.6682967477483388E-3</v>
      </c>
      <c r="CC17" s="7">
        <f t="shared" si="17"/>
        <v>3.9210767823715285E-4</v>
      </c>
      <c r="CD17" s="7">
        <f t="shared" si="17"/>
        <v>3.548592802252902E-2</v>
      </c>
      <c r="CE17" s="7">
        <f t="shared" si="17"/>
        <v>3.0885701458901937E-3</v>
      </c>
      <c r="CF17" s="7">
        <f t="shared" si="17"/>
        <v>5.6058275198580514E-3</v>
      </c>
      <c r="CG17" s="7">
        <f t="shared" si="17"/>
        <v>1.0000038380535725E-2</v>
      </c>
      <c r="CH17" s="7">
        <f t="shared" si="17"/>
        <v>1.850190885600296E-2</v>
      </c>
      <c r="CI17" s="7">
        <f t="shared" si="17"/>
        <v>8.7873778374468071E-3</v>
      </c>
      <c r="CJ17" s="7">
        <f t="shared" si="17"/>
        <v>1.5449609443997168E-5</v>
      </c>
      <c r="CK17" s="7">
        <f t="shared" si="17"/>
        <v>3.1931288133821255E-3</v>
      </c>
      <c r="CL17" s="7">
        <f t="shared" si="17"/>
        <v>6.9456377220562526E-2</v>
      </c>
      <c r="CM17" s="7">
        <f t="shared" si="17"/>
        <v>9.1306336429085243E-5</v>
      </c>
      <c r="CN17" s="7">
        <f t="shared" si="17"/>
        <v>9.9299981066329653E-4</v>
      </c>
      <c r="CO17" s="7">
        <f t="shared" si="17"/>
        <v>5.1162058729769763E-4</v>
      </c>
      <c r="CP17" s="7">
        <f t="shared" si="17"/>
        <v>1.7597510690797149E-2</v>
      </c>
      <c r="CQ17" s="7">
        <f t="shared" si="17"/>
        <v>1.7708364708443211E-2</v>
      </c>
      <c r="CR17" s="7">
        <f t="shared" si="17"/>
        <v>2.2369415134259262E-4</v>
      </c>
      <c r="CS17" s="7">
        <f t="shared" si="17"/>
        <v>1.1168922557625953E-3</v>
      </c>
      <c r="CT17" s="7">
        <f t="shared" si="17"/>
        <v>1.5082808365029206E-4</v>
      </c>
      <c r="CU17" s="7">
        <f t="shared" ref="CU17:DZ17" si="18">CU9^2</f>
        <v>1.3645740385844037E-2</v>
      </c>
      <c r="CV17" s="7">
        <f t="shared" si="18"/>
        <v>9.9789357659655527E-6</v>
      </c>
      <c r="CW17" s="7">
        <f t="shared" si="18"/>
        <v>1.4605970535097568E-3</v>
      </c>
      <c r="CX17" s="7">
        <f t="shared" si="18"/>
        <v>1.9369428669164728E-2</v>
      </c>
      <c r="CY17" s="7">
        <f t="shared" si="18"/>
        <v>5.6227258353762984E-4</v>
      </c>
      <c r="CZ17" s="7">
        <f t="shared" si="18"/>
        <v>4.7677993769128582E-2</v>
      </c>
      <c r="DA17" s="7">
        <f t="shared" si="18"/>
        <v>3.3602150955513014E-3</v>
      </c>
      <c r="DB17" s="7">
        <f t="shared" si="18"/>
        <v>1.9892898007428065E-4</v>
      </c>
      <c r="DC17" s="7">
        <f t="shared" si="18"/>
        <v>1.298598834966512E-2</v>
      </c>
      <c r="DD17" s="7">
        <f t="shared" si="18"/>
        <v>5.5461177913042319E-3</v>
      </c>
      <c r="DE17" s="7">
        <f t="shared" si="18"/>
        <v>8.0944705118043796E-7</v>
      </c>
      <c r="DF17" s="7">
        <f t="shared" si="18"/>
        <v>9.5466930982486662E-7</v>
      </c>
      <c r="DG17" s="7">
        <f t="shared" si="18"/>
        <v>5.3260942765597724E-3</v>
      </c>
      <c r="DH17" s="7">
        <f t="shared" si="18"/>
        <v>5.6859770483571833E-4</v>
      </c>
      <c r="DI17" s="7">
        <f t="shared" si="18"/>
        <v>1.0308477356134783E-2</v>
      </c>
      <c r="DJ17" s="7">
        <f t="shared" si="18"/>
        <v>7.6687657573272126E-4</v>
      </c>
      <c r="DK17" s="7">
        <f t="shared" si="18"/>
        <v>2.4339573117996964E-3</v>
      </c>
      <c r="DL17" s="7">
        <f t="shared" si="18"/>
        <v>3.248267667612629E-5</v>
      </c>
      <c r="DM17" s="7">
        <f t="shared" si="18"/>
        <v>1.3676505773505593E-3</v>
      </c>
      <c r="DN17" s="7">
        <f t="shared" si="18"/>
        <v>1.2058891959025398E-2</v>
      </c>
      <c r="DO17" s="7">
        <f t="shared" si="18"/>
        <v>1.7670946755159902E-3</v>
      </c>
      <c r="DP17" s="7">
        <f t="shared" si="18"/>
        <v>7.1515213376560464E-3</v>
      </c>
      <c r="DQ17" s="7">
        <f t="shared" si="18"/>
        <v>1.2161636684326392E-2</v>
      </c>
      <c r="DR17" s="7">
        <f t="shared" si="18"/>
        <v>8.8979053657027001E-3</v>
      </c>
      <c r="DS17" s="7">
        <f t="shared" si="18"/>
        <v>5.1706040810191528E-3</v>
      </c>
      <c r="DT17" s="7">
        <f t="shared" si="18"/>
        <v>9.2614503642733919E-3</v>
      </c>
      <c r="DU17" s="7">
        <f t="shared" si="18"/>
        <v>5.5016020342108963E-6</v>
      </c>
      <c r="DV17" s="7">
        <f t="shared" si="18"/>
        <v>1.7960669823662546E-2</v>
      </c>
      <c r="DW17" s="7">
        <f t="shared" si="18"/>
        <v>8.9742501777570517E-3</v>
      </c>
      <c r="DX17" s="7">
        <f t="shared" si="18"/>
        <v>1.0768876593012837E-2</v>
      </c>
      <c r="DY17" s="7">
        <f t="shared" si="18"/>
        <v>5.7399040046420165E-3</v>
      </c>
      <c r="DZ17" s="7">
        <f t="shared" si="18"/>
        <v>1.0131311029084758E-3</v>
      </c>
      <c r="EA17" s="7">
        <f t="shared" ref="EA17:EF17" si="19">EA9^2</f>
        <v>2.6020277100143683E-2</v>
      </c>
      <c r="EB17" s="7">
        <f t="shared" si="19"/>
        <v>1.0411208891300061E-4</v>
      </c>
      <c r="EC17" s="7">
        <f t="shared" si="19"/>
        <v>5.4742870589305657E-3</v>
      </c>
      <c r="ED17" s="7">
        <f t="shared" si="19"/>
        <v>2.4767480781445986E-2</v>
      </c>
      <c r="EE17" s="7">
        <f t="shared" si="19"/>
        <v>6.2627523737550815E-3</v>
      </c>
      <c r="EF17" s="7">
        <f t="shared" si="19"/>
        <v>5.2603901117786907E-3</v>
      </c>
    </row>
    <row r="18" spans="1:136">
      <c r="B18" t="s">
        <v>137</v>
      </c>
      <c r="C18" s="7">
        <f t="shared" ref="C18:AH18" si="20">C10^2</f>
        <v>6.1300169090364023E-2</v>
      </c>
      <c r="D18" s="7">
        <f t="shared" si="20"/>
        <v>7.5456410721795972E-2</v>
      </c>
      <c r="E18" s="7">
        <f t="shared" si="20"/>
        <v>7.1653491215006608E-3</v>
      </c>
      <c r="F18" s="7">
        <f t="shared" si="20"/>
        <v>5.1277932467457823E-4</v>
      </c>
      <c r="G18" s="7">
        <f t="shared" si="20"/>
        <v>2.4681024790687124E-3</v>
      </c>
      <c r="H18" s="7">
        <f t="shared" si="20"/>
        <v>1.0152503674850528E-2</v>
      </c>
      <c r="I18" s="7">
        <f t="shared" si="20"/>
        <v>1.568185506319921E-4</v>
      </c>
      <c r="J18" s="7">
        <f t="shared" si="20"/>
        <v>6.1994443791691554E-3</v>
      </c>
      <c r="K18" s="7">
        <f t="shared" si="20"/>
        <v>1.1686210786418709E-3</v>
      </c>
      <c r="L18" s="7">
        <f t="shared" si="20"/>
        <v>7.8157618954765237E-3</v>
      </c>
      <c r="M18" s="7">
        <f t="shared" si="20"/>
        <v>9.384753841255295E-6</v>
      </c>
      <c r="N18" s="7">
        <f t="shared" si="20"/>
        <v>4.5036476574086326E-2</v>
      </c>
      <c r="O18" s="7">
        <f t="shared" si="20"/>
        <v>1.3546366286925624E-3</v>
      </c>
      <c r="P18" s="7">
        <f t="shared" si="20"/>
        <v>5.0457039774389721E-3</v>
      </c>
      <c r="Q18" s="7">
        <f t="shared" si="20"/>
        <v>5.0781490762883581E-3</v>
      </c>
      <c r="R18" s="7">
        <f t="shared" si="20"/>
        <v>4.6485286217124193E-4</v>
      </c>
      <c r="S18" s="7">
        <f t="shared" si="20"/>
        <v>1.0223486509543127E-2</v>
      </c>
      <c r="T18" s="7">
        <f t="shared" si="20"/>
        <v>1.8683781301546628E-3</v>
      </c>
      <c r="U18" s="7">
        <f t="shared" si="20"/>
        <v>2.2147242359019667E-4</v>
      </c>
      <c r="V18" s="7">
        <f t="shared" si="20"/>
        <v>4.0018583491306699E-5</v>
      </c>
      <c r="W18" s="7">
        <f t="shared" si="20"/>
        <v>2.0607457624597373E-2</v>
      </c>
      <c r="X18" s="7">
        <f t="shared" si="20"/>
        <v>4.1321976387742217E-3</v>
      </c>
      <c r="Y18" s="7">
        <f t="shared" si="20"/>
        <v>3.6230087920246964E-4</v>
      </c>
      <c r="Z18" s="7">
        <f t="shared" si="20"/>
        <v>4.2619770257246479E-4</v>
      </c>
      <c r="AA18" s="7">
        <f t="shared" si="20"/>
        <v>1.0929332099957007E-3</v>
      </c>
      <c r="AB18" s="7">
        <f t="shared" si="20"/>
        <v>3.7706753115437583E-4</v>
      </c>
      <c r="AC18" s="7">
        <f t="shared" si="20"/>
        <v>3.9849977723438457E-3</v>
      </c>
      <c r="AD18" s="7">
        <f t="shared" si="20"/>
        <v>4.3072591163810263E-3</v>
      </c>
      <c r="AE18" s="7">
        <f t="shared" si="20"/>
        <v>1.9042810256226231E-2</v>
      </c>
      <c r="AF18" s="7">
        <f t="shared" si="20"/>
        <v>1.0113906222416341E-2</v>
      </c>
      <c r="AG18" s="7">
        <f t="shared" si="20"/>
        <v>1.4416518828127469E-3</v>
      </c>
      <c r="AH18" s="7">
        <f t="shared" si="20"/>
        <v>2.1012632264048744E-3</v>
      </c>
      <c r="AI18" s="7">
        <f t="shared" ref="AI18:BN18" si="21">AI10^2</f>
        <v>2.6044789051912999E-3</v>
      </c>
      <c r="AJ18" s="7">
        <f t="shared" si="21"/>
        <v>1.0371239511276646E-5</v>
      </c>
      <c r="AK18" s="7">
        <f t="shared" si="21"/>
        <v>2.3963921924093171E-7</v>
      </c>
      <c r="AL18" s="7">
        <f t="shared" si="21"/>
        <v>1.1330911354520039E-2</v>
      </c>
      <c r="AM18" s="7">
        <f t="shared" si="21"/>
        <v>1.883474509221127E-4</v>
      </c>
      <c r="AN18" s="7">
        <f t="shared" si="21"/>
        <v>1.4875389913204669E-2</v>
      </c>
      <c r="AO18" s="7">
        <f t="shared" si="21"/>
        <v>2.3609556394479764E-3</v>
      </c>
      <c r="AP18" s="7">
        <f t="shared" si="21"/>
        <v>3.6219815731516953E-6</v>
      </c>
      <c r="AQ18" s="7">
        <f t="shared" si="21"/>
        <v>8.4491867337224593E-4</v>
      </c>
      <c r="AR18" s="7">
        <f t="shared" si="21"/>
        <v>2.7705250060662671E-3</v>
      </c>
      <c r="AS18" s="7">
        <f t="shared" si="21"/>
        <v>1.6623611670017849E-4</v>
      </c>
      <c r="AT18" s="7">
        <f t="shared" si="21"/>
        <v>4.541735420018535E-6</v>
      </c>
      <c r="AU18" s="7">
        <f t="shared" si="21"/>
        <v>2.4144306160754265E-2</v>
      </c>
      <c r="AV18" s="7">
        <f t="shared" si="21"/>
        <v>1.6082764905029582E-4</v>
      </c>
      <c r="AW18" s="7">
        <f t="shared" si="21"/>
        <v>1.4261904564871037E-4</v>
      </c>
      <c r="AX18" s="7">
        <f t="shared" si="21"/>
        <v>1.8094742098652484E-5</v>
      </c>
      <c r="AY18" s="7">
        <f t="shared" si="21"/>
        <v>8.5854107590684829E-4</v>
      </c>
      <c r="AZ18" s="7">
        <f t="shared" si="21"/>
        <v>1.7990186561850662E-2</v>
      </c>
      <c r="BA18" s="7">
        <f t="shared" si="21"/>
        <v>1.8799571566061855E-2</v>
      </c>
      <c r="BB18" s="7">
        <f t="shared" si="21"/>
        <v>3.0788334943751427E-6</v>
      </c>
      <c r="BC18" s="7">
        <f t="shared" si="21"/>
        <v>6.3087002382422445E-4</v>
      </c>
      <c r="BD18" s="7">
        <f t="shared" si="21"/>
        <v>1.4304616064498009E-2</v>
      </c>
      <c r="BE18" s="7">
        <f t="shared" si="21"/>
        <v>1.8431225512955431E-2</v>
      </c>
      <c r="BF18" s="7">
        <f t="shared" si="21"/>
        <v>2.2175775080298639E-3</v>
      </c>
      <c r="BG18" s="7">
        <f t="shared" si="21"/>
        <v>6.7860478904543942E-4</v>
      </c>
      <c r="BH18" s="7">
        <f t="shared" si="21"/>
        <v>1.9143052038415641E-3</v>
      </c>
      <c r="BI18" s="7">
        <f t="shared" si="21"/>
        <v>6.6246296481045049E-3</v>
      </c>
      <c r="BJ18" s="7">
        <f t="shared" si="21"/>
        <v>1.0120525298453803E-2</v>
      </c>
      <c r="BK18" s="7">
        <f t="shared" si="21"/>
        <v>8.1884544049846235E-3</v>
      </c>
      <c r="BL18" s="7">
        <f t="shared" si="21"/>
        <v>9.5471475034238963E-4</v>
      </c>
      <c r="BM18" s="7">
        <f t="shared" si="21"/>
        <v>3.4591085480784899E-3</v>
      </c>
      <c r="BN18" s="7">
        <f t="shared" si="21"/>
        <v>6.617113024465748E-3</v>
      </c>
      <c r="BO18" s="7">
        <f t="shared" ref="BO18:CT18" si="22">BO10^2</f>
        <v>5.9543089738482516E-5</v>
      </c>
      <c r="BP18" s="7">
        <f t="shared" si="22"/>
        <v>1.1392332566655691E-2</v>
      </c>
      <c r="BQ18" s="7">
        <f t="shared" si="22"/>
        <v>7.3746686174088762E-4</v>
      </c>
      <c r="BR18" s="7">
        <f t="shared" si="22"/>
        <v>2.962735792272784E-3</v>
      </c>
      <c r="BS18" s="7">
        <f t="shared" si="22"/>
        <v>4.6552343102339144E-3</v>
      </c>
      <c r="BT18" s="7">
        <f t="shared" si="22"/>
        <v>9.7243705233366149E-3</v>
      </c>
      <c r="BU18" s="7">
        <f t="shared" si="22"/>
        <v>1.6486185664536111E-2</v>
      </c>
      <c r="BV18" s="7">
        <f t="shared" si="22"/>
        <v>6.1469550603066659E-3</v>
      </c>
      <c r="BW18" s="7">
        <f t="shared" si="22"/>
        <v>1.4192843634773274E-2</v>
      </c>
      <c r="BX18" s="7">
        <f t="shared" si="22"/>
        <v>2.1986811101669893E-3</v>
      </c>
      <c r="BY18" s="7">
        <f t="shared" si="22"/>
        <v>1.034255309954589E-2</v>
      </c>
      <c r="BZ18" s="7">
        <f t="shared" si="22"/>
        <v>6.5946672658473903E-4</v>
      </c>
      <c r="CA18" s="7">
        <f t="shared" si="22"/>
        <v>6.9391882189381946E-3</v>
      </c>
      <c r="CB18" s="7">
        <f t="shared" si="22"/>
        <v>2.4909566624333357E-2</v>
      </c>
      <c r="CC18" s="7">
        <f t="shared" si="22"/>
        <v>5.0484679457919839E-3</v>
      </c>
      <c r="CD18" s="7">
        <f t="shared" si="22"/>
        <v>5.4575883396954768E-3</v>
      </c>
      <c r="CE18" s="7">
        <f t="shared" si="22"/>
        <v>5.6067832386980022E-2</v>
      </c>
      <c r="CF18" s="7">
        <f t="shared" si="22"/>
        <v>1.0645672168983563E-3</v>
      </c>
      <c r="CG18" s="7">
        <f t="shared" si="22"/>
        <v>1.8017920089221721E-4</v>
      </c>
      <c r="CH18" s="7">
        <f t="shared" si="22"/>
        <v>7.8213400438148902E-6</v>
      </c>
      <c r="CI18" s="7">
        <f t="shared" si="22"/>
        <v>2.2968727120364087E-3</v>
      </c>
      <c r="CJ18" s="7">
        <f t="shared" si="22"/>
        <v>1.0575629320283603E-5</v>
      </c>
      <c r="CK18" s="7">
        <f t="shared" si="22"/>
        <v>5.7317300865370067E-3</v>
      </c>
      <c r="CL18" s="7">
        <f t="shared" si="22"/>
        <v>1.9711163270756775E-3</v>
      </c>
      <c r="CM18" s="7">
        <f t="shared" si="22"/>
        <v>3.2036912913769394E-2</v>
      </c>
      <c r="CN18" s="7">
        <f t="shared" si="22"/>
        <v>3.3633349379620708E-3</v>
      </c>
      <c r="CO18" s="7">
        <f t="shared" si="22"/>
        <v>1.9429624982324575E-2</v>
      </c>
      <c r="CP18" s="7">
        <f t="shared" si="22"/>
        <v>4.1879885783785839E-3</v>
      </c>
      <c r="CQ18" s="7">
        <f t="shared" si="22"/>
        <v>3.2829051050147696E-2</v>
      </c>
      <c r="CR18" s="7">
        <f t="shared" si="22"/>
        <v>7.8559030529674386E-3</v>
      </c>
      <c r="CS18" s="7">
        <f t="shared" si="22"/>
        <v>6.411922743936203E-4</v>
      </c>
      <c r="CT18" s="7">
        <f t="shared" si="22"/>
        <v>1.2786876993597889E-2</v>
      </c>
      <c r="CU18" s="7">
        <f t="shared" ref="CU18:DZ18" si="23">CU10^2</f>
        <v>6.5544524509339751E-5</v>
      </c>
      <c r="CV18" s="7">
        <f t="shared" si="23"/>
        <v>2.0430588388809477E-3</v>
      </c>
      <c r="CW18" s="7">
        <f t="shared" si="23"/>
        <v>3.4740680595904648E-3</v>
      </c>
      <c r="CX18" s="7">
        <f t="shared" si="23"/>
        <v>1.160538698235747E-2</v>
      </c>
      <c r="CY18" s="7">
        <f t="shared" si="23"/>
        <v>9.3129254150261E-3</v>
      </c>
      <c r="CZ18" s="7">
        <f t="shared" si="23"/>
        <v>4.424895059465464E-2</v>
      </c>
      <c r="DA18" s="7">
        <f t="shared" si="23"/>
        <v>1.2091451728744079E-2</v>
      </c>
      <c r="DB18" s="7">
        <f t="shared" si="23"/>
        <v>3.6412452392839745E-2</v>
      </c>
      <c r="DC18" s="7">
        <f t="shared" si="23"/>
        <v>4.2961982124366043E-4</v>
      </c>
      <c r="DD18" s="7">
        <f t="shared" si="23"/>
        <v>7.5740634376350218E-3</v>
      </c>
      <c r="DE18" s="7">
        <f t="shared" si="23"/>
        <v>6.728033843953052E-3</v>
      </c>
      <c r="DF18" s="7">
        <f t="shared" si="23"/>
        <v>2.7847821251246123E-2</v>
      </c>
      <c r="DG18" s="7">
        <f t="shared" si="23"/>
        <v>4.9478702022008603E-2</v>
      </c>
      <c r="DH18" s="7">
        <f t="shared" si="23"/>
        <v>2.0821839571003448E-2</v>
      </c>
      <c r="DI18" s="7">
        <f t="shared" si="23"/>
        <v>1.4308932973192761E-2</v>
      </c>
      <c r="DJ18" s="7">
        <f t="shared" si="23"/>
        <v>1.0321085627255753E-2</v>
      </c>
      <c r="DK18" s="7">
        <f t="shared" si="23"/>
        <v>8.6220619337353931E-3</v>
      </c>
      <c r="DL18" s="7">
        <f t="shared" si="23"/>
        <v>1.8173586858343696E-3</v>
      </c>
      <c r="DM18" s="7">
        <f t="shared" si="23"/>
        <v>6.8445958863232442E-3</v>
      </c>
      <c r="DN18" s="7">
        <f t="shared" si="23"/>
        <v>9.6406849840983359E-4</v>
      </c>
      <c r="DO18" s="7">
        <f t="shared" si="23"/>
        <v>9.6318502978574808E-3</v>
      </c>
      <c r="DP18" s="7">
        <f t="shared" si="23"/>
        <v>1.7053455955604278E-2</v>
      </c>
      <c r="DQ18" s="7">
        <f t="shared" si="23"/>
        <v>2.3673789185478821E-3</v>
      </c>
      <c r="DR18" s="7">
        <f t="shared" si="23"/>
        <v>1.5407124335768466E-3</v>
      </c>
      <c r="DS18" s="7">
        <f t="shared" si="23"/>
        <v>2.5930725116640962E-2</v>
      </c>
      <c r="DT18" s="7">
        <f t="shared" si="23"/>
        <v>6.2226801681010647E-3</v>
      </c>
      <c r="DU18" s="7">
        <f t="shared" si="23"/>
        <v>2.6921313954919424E-2</v>
      </c>
      <c r="DV18" s="7">
        <f t="shared" si="23"/>
        <v>5.6328800675286651E-5</v>
      </c>
      <c r="DW18" s="7">
        <f t="shared" si="23"/>
        <v>1.0331756871656347E-2</v>
      </c>
      <c r="DX18" s="7">
        <f t="shared" si="23"/>
        <v>3.1405143826489668E-3</v>
      </c>
      <c r="DY18" s="7">
        <f t="shared" si="23"/>
        <v>1.137563878096463E-2</v>
      </c>
      <c r="DZ18" s="7">
        <f t="shared" si="23"/>
        <v>4.7867822305639905E-3</v>
      </c>
      <c r="EA18" s="7">
        <f t="shared" ref="EA18:EF18" si="24">EA10^2</f>
        <v>1.59235773418211E-2</v>
      </c>
      <c r="EB18" s="7">
        <f t="shared" si="24"/>
        <v>4.1908944894200424E-3</v>
      </c>
      <c r="EC18" s="7">
        <f t="shared" si="24"/>
        <v>2.6446410296186275E-3</v>
      </c>
      <c r="ED18" s="7">
        <f t="shared" si="24"/>
        <v>1.1900242728375913E-3</v>
      </c>
      <c r="EE18" s="7">
        <f t="shared" si="24"/>
        <v>2.4862225023126495E-2</v>
      </c>
      <c r="EF18" s="7">
        <f t="shared" si="24"/>
        <v>1.6174756721905801E-2</v>
      </c>
    </row>
    <row r="19" spans="1:136">
      <c r="B19" t="s">
        <v>138</v>
      </c>
      <c r="C19" s="7">
        <f t="shared" ref="C19:AH19" si="25">C11^2</f>
        <v>2.9424962947699911E-3</v>
      </c>
      <c r="D19" s="7">
        <f t="shared" si="25"/>
        <v>2.059074167658151E-3</v>
      </c>
      <c r="E19" s="7">
        <f t="shared" si="25"/>
        <v>3.1514318274691188E-4</v>
      </c>
      <c r="F19" s="7">
        <f t="shared" si="25"/>
        <v>7.6890721339683337E-3</v>
      </c>
      <c r="G19" s="7">
        <f t="shared" si="25"/>
        <v>1.0559465472918014E-2</v>
      </c>
      <c r="H19" s="7">
        <f t="shared" si="25"/>
        <v>6.3069879875624846E-6</v>
      </c>
      <c r="I19" s="7">
        <f t="shared" si="25"/>
        <v>3.3502003352045134E-4</v>
      </c>
      <c r="J19" s="7">
        <f t="shared" si="25"/>
        <v>4.8887532041517415E-4</v>
      </c>
      <c r="K19" s="7">
        <f t="shared" si="25"/>
        <v>5.9688056303032417E-3</v>
      </c>
      <c r="L19" s="7">
        <f t="shared" si="25"/>
        <v>8.7311801112263879E-5</v>
      </c>
      <c r="M19" s="7">
        <f t="shared" si="25"/>
        <v>2.873193829916625E-3</v>
      </c>
      <c r="N19" s="7">
        <f t="shared" si="25"/>
        <v>4.6073356328051786E-3</v>
      </c>
      <c r="O19" s="7">
        <f t="shared" si="25"/>
        <v>4.2158901598624366E-3</v>
      </c>
      <c r="P19" s="7">
        <f t="shared" si="25"/>
        <v>2.3821054386013211E-5</v>
      </c>
      <c r="Q19" s="7">
        <f t="shared" si="25"/>
        <v>3.6855622546895207E-4</v>
      </c>
      <c r="R19" s="7">
        <f t="shared" si="25"/>
        <v>2.9870042368556722E-5</v>
      </c>
      <c r="S19" s="7">
        <f t="shared" si="25"/>
        <v>1.3360097496481892E-3</v>
      </c>
      <c r="T19" s="7">
        <f t="shared" si="25"/>
        <v>1.6688781966867596E-2</v>
      </c>
      <c r="U19" s="7">
        <f t="shared" si="25"/>
        <v>1.8748202760809614E-4</v>
      </c>
      <c r="V19" s="7">
        <f t="shared" si="25"/>
        <v>2.3394473192739536E-4</v>
      </c>
      <c r="W19" s="7">
        <f t="shared" si="25"/>
        <v>1.0959099784052484E-2</v>
      </c>
      <c r="X19" s="7">
        <f t="shared" si="25"/>
        <v>8.6346676822882121E-2</v>
      </c>
      <c r="Y19" s="7">
        <f t="shared" si="25"/>
        <v>3.5061183838375133E-3</v>
      </c>
      <c r="Z19" s="7">
        <f t="shared" si="25"/>
        <v>3.4205878279447842E-2</v>
      </c>
      <c r="AA19" s="7">
        <f t="shared" si="25"/>
        <v>9.6525592252829466E-3</v>
      </c>
      <c r="AB19" s="7">
        <f t="shared" si="25"/>
        <v>4.3209728479720412E-7</v>
      </c>
      <c r="AC19" s="7">
        <f t="shared" si="25"/>
        <v>1.0750810579255237E-2</v>
      </c>
      <c r="AD19" s="7">
        <f t="shared" si="25"/>
        <v>1.2567690104255271E-5</v>
      </c>
      <c r="AE19" s="7">
        <f t="shared" si="25"/>
        <v>3.0835882156048783E-2</v>
      </c>
      <c r="AF19" s="7">
        <f t="shared" si="25"/>
        <v>2.4035262433120905E-2</v>
      </c>
      <c r="AG19" s="7">
        <f t="shared" si="25"/>
        <v>6.9319650662206438E-4</v>
      </c>
      <c r="AH19" s="7">
        <f t="shared" si="25"/>
        <v>2.4988102995418992E-5</v>
      </c>
      <c r="AI19" s="7">
        <f t="shared" ref="AI19:BN19" si="26">AI11^2</f>
        <v>7.8779660257925624E-4</v>
      </c>
      <c r="AJ19" s="7">
        <f t="shared" si="26"/>
        <v>5.0105213836060746E-4</v>
      </c>
      <c r="AK19" s="7">
        <f t="shared" si="26"/>
        <v>2.2109580205685515E-3</v>
      </c>
      <c r="AL19" s="7">
        <f t="shared" si="26"/>
        <v>1.0314740717783251E-2</v>
      </c>
      <c r="AM19" s="7">
        <f t="shared" si="26"/>
        <v>5.5343262156863572E-4</v>
      </c>
      <c r="AN19" s="7">
        <f t="shared" si="26"/>
        <v>2.7588997976275898E-3</v>
      </c>
      <c r="AO19" s="7">
        <f t="shared" si="26"/>
        <v>3.4225885640141755E-3</v>
      </c>
      <c r="AP19" s="7">
        <f t="shared" si="26"/>
        <v>1.118725626162101E-3</v>
      </c>
      <c r="AQ19" s="7">
        <f t="shared" si="26"/>
        <v>2.0450045203045813E-4</v>
      </c>
      <c r="AR19" s="7">
        <f t="shared" si="26"/>
        <v>1.2890681145068224E-3</v>
      </c>
      <c r="AS19" s="7">
        <f t="shared" si="26"/>
        <v>1.5826302227352094E-3</v>
      </c>
      <c r="AT19" s="7">
        <f t="shared" si="26"/>
        <v>2.2039242020426623E-2</v>
      </c>
      <c r="AU19" s="7">
        <f t="shared" si="26"/>
        <v>1.6636034229909587E-3</v>
      </c>
      <c r="AV19" s="7">
        <f t="shared" si="26"/>
        <v>1.9309590933108238E-2</v>
      </c>
      <c r="AW19" s="7">
        <f t="shared" si="26"/>
        <v>3.5836126990842362E-3</v>
      </c>
      <c r="AX19" s="7">
        <f t="shared" si="26"/>
        <v>2.2436988075031212E-2</v>
      </c>
      <c r="AY19" s="7">
        <f t="shared" si="26"/>
        <v>3.7940489141036855E-3</v>
      </c>
      <c r="AZ19" s="7">
        <f t="shared" si="26"/>
        <v>3.8377717094877179E-3</v>
      </c>
      <c r="BA19" s="7">
        <f t="shared" si="26"/>
        <v>5.7085842824112805E-6</v>
      </c>
      <c r="BB19" s="7">
        <f t="shared" si="26"/>
        <v>2.2162365071883454E-2</v>
      </c>
      <c r="BC19" s="7">
        <f t="shared" si="26"/>
        <v>3.6421850194502817E-3</v>
      </c>
      <c r="BD19" s="7">
        <f t="shared" si="26"/>
        <v>2.1567132814367246E-4</v>
      </c>
      <c r="BE19" s="7">
        <f t="shared" si="26"/>
        <v>2.1466733042722119E-2</v>
      </c>
      <c r="BF19" s="7">
        <f t="shared" si="26"/>
        <v>4.3581843456671758E-2</v>
      </c>
      <c r="BG19" s="7">
        <f t="shared" si="26"/>
        <v>4.0579385301159648E-2</v>
      </c>
      <c r="BH19" s="7">
        <f t="shared" si="26"/>
        <v>1.3935782851325853E-2</v>
      </c>
      <c r="BI19" s="7">
        <f t="shared" si="26"/>
        <v>5.9330934213272886E-3</v>
      </c>
      <c r="BJ19" s="7">
        <f t="shared" si="26"/>
        <v>1.3119113666831017E-3</v>
      </c>
      <c r="BK19" s="7">
        <f t="shared" si="26"/>
        <v>3.5748481064286472E-4</v>
      </c>
      <c r="BL19" s="7">
        <f t="shared" si="26"/>
        <v>2.9328493400993451E-2</v>
      </c>
      <c r="BM19" s="7">
        <f t="shared" si="26"/>
        <v>1.7667061037884114E-2</v>
      </c>
      <c r="BN19" s="7">
        <f t="shared" si="26"/>
        <v>1.2893630347257589E-3</v>
      </c>
      <c r="BO19" s="7">
        <f t="shared" ref="BO19:CT19" si="27">BO11^2</f>
        <v>4.555884575901441E-4</v>
      </c>
      <c r="BP19" s="7">
        <f t="shared" si="27"/>
        <v>2.4636156414780219E-3</v>
      </c>
      <c r="BQ19" s="7">
        <f t="shared" si="27"/>
        <v>2.9622597057292401E-4</v>
      </c>
      <c r="BR19" s="7">
        <f t="shared" si="27"/>
        <v>3.6034382227143044E-2</v>
      </c>
      <c r="BS19" s="7">
        <f t="shared" si="27"/>
        <v>9.5267433223972416E-3</v>
      </c>
      <c r="BT19" s="7">
        <f t="shared" si="27"/>
        <v>1.4312181655934848E-3</v>
      </c>
      <c r="BU19" s="7">
        <f t="shared" si="27"/>
        <v>3.1369302523255979E-3</v>
      </c>
      <c r="BV19" s="7">
        <f t="shared" si="27"/>
        <v>1.3627535644839506E-2</v>
      </c>
      <c r="BW19" s="7">
        <f t="shared" si="27"/>
        <v>1.9972187007291264E-2</v>
      </c>
      <c r="BX19" s="7">
        <f t="shared" si="27"/>
        <v>1.140430378647656E-5</v>
      </c>
      <c r="BY19" s="7">
        <f t="shared" si="27"/>
        <v>1.6987488721731576E-2</v>
      </c>
      <c r="BZ19" s="7">
        <f t="shared" si="27"/>
        <v>1.0047461557265778E-3</v>
      </c>
      <c r="CA19" s="7">
        <f t="shared" si="27"/>
        <v>1.6447110645557072E-3</v>
      </c>
      <c r="CB19" s="7">
        <f t="shared" si="27"/>
        <v>1.767137228315438E-3</v>
      </c>
      <c r="CC19" s="7">
        <f t="shared" si="27"/>
        <v>2.5013725272755708E-3</v>
      </c>
      <c r="CD19" s="7">
        <f t="shared" si="27"/>
        <v>4.6862621773654262E-3</v>
      </c>
      <c r="CE19" s="7">
        <f t="shared" si="27"/>
        <v>6.5338267870204162E-3</v>
      </c>
      <c r="CF19" s="7">
        <f t="shared" si="27"/>
        <v>3.7959149352106796E-6</v>
      </c>
      <c r="CG19" s="7">
        <f t="shared" si="27"/>
        <v>1.3973368107735227E-2</v>
      </c>
      <c r="CH19" s="7">
        <f t="shared" si="27"/>
        <v>1.3483500252419256E-3</v>
      </c>
      <c r="CI19" s="7">
        <f t="shared" si="27"/>
        <v>6.944354409283488E-3</v>
      </c>
      <c r="CJ19" s="7">
        <f t="shared" si="27"/>
        <v>5.3209971579111864E-2</v>
      </c>
      <c r="CK19" s="7">
        <f t="shared" si="27"/>
        <v>1.7630136062643516E-2</v>
      </c>
      <c r="CL19" s="7">
        <f t="shared" si="27"/>
        <v>1.9962106501869858E-2</v>
      </c>
      <c r="CM19" s="7">
        <f t="shared" si="27"/>
        <v>1.2698898011967283E-2</v>
      </c>
      <c r="CN19" s="7">
        <f t="shared" si="27"/>
        <v>4.9947135394185591E-2</v>
      </c>
      <c r="CO19" s="7">
        <f t="shared" si="27"/>
        <v>1.0903362974249101E-2</v>
      </c>
      <c r="CP19" s="7">
        <f t="shared" si="27"/>
        <v>2.0817366158502797E-4</v>
      </c>
      <c r="CQ19" s="7">
        <f t="shared" si="27"/>
        <v>4.2945670995945519E-2</v>
      </c>
      <c r="CR19" s="7">
        <f t="shared" si="27"/>
        <v>1.818826329983373E-2</v>
      </c>
      <c r="CS19" s="7">
        <f t="shared" si="27"/>
        <v>5.330129925765671E-3</v>
      </c>
      <c r="CT19" s="7">
        <f t="shared" si="27"/>
        <v>9.1315039355651805E-4</v>
      </c>
      <c r="CU19" s="7">
        <f t="shared" ref="CU19:DZ19" si="28">CU11^2</f>
        <v>8.2305398372276448E-2</v>
      </c>
      <c r="CV19" s="7">
        <f t="shared" si="28"/>
        <v>5.323658125231813E-2</v>
      </c>
      <c r="CW19" s="7">
        <f t="shared" si="28"/>
        <v>8.2947828598525283E-3</v>
      </c>
      <c r="CX19" s="7">
        <f t="shared" si="28"/>
        <v>1.5002754583806925E-2</v>
      </c>
      <c r="CY19" s="7">
        <f t="shared" si="28"/>
        <v>6.1437262145754186E-3</v>
      </c>
      <c r="CZ19" s="7">
        <f t="shared" si="28"/>
        <v>2.1114120178055175E-3</v>
      </c>
      <c r="DA19" s="7">
        <f t="shared" si="28"/>
        <v>6.8343561034422563E-3</v>
      </c>
      <c r="DB19" s="7">
        <f t="shared" si="28"/>
        <v>2.2305204479499383E-2</v>
      </c>
      <c r="DC19" s="7">
        <f t="shared" si="28"/>
        <v>2.2847162154111663E-3</v>
      </c>
      <c r="DD19" s="7">
        <f t="shared" si="28"/>
        <v>2.7064678662887049E-2</v>
      </c>
      <c r="DE19" s="7">
        <f t="shared" si="28"/>
        <v>1.2225360760831885E-2</v>
      </c>
      <c r="DF19" s="7">
        <f t="shared" si="28"/>
        <v>3.2966966393763162E-3</v>
      </c>
      <c r="DG19" s="7">
        <f t="shared" si="28"/>
        <v>4.6177804713180344E-2</v>
      </c>
      <c r="DH19" s="7">
        <f t="shared" si="28"/>
        <v>3.9686415441255191E-3</v>
      </c>
      <c r="DI19" s="7">
        <f t="shared" si="28"/>
        <v>4.5861486060873721E-3</v>
      </c>
      <c r="DJ19" s="7">
        <f t="shared" si="28"/>
        <v>1.4113933508686947E-2</v>
      </c>
      <c r="DK19" s="7">
        <f t="shared" si="28"/>
        <v>5.3038165655135587E-5</v>
      </c>
      <c r="DL19" s="7">
        <f t="shared" si="28"/>
        <v>5.0866278425543898E-3</v>
      </c>
      <c r="DM19" s="7">
        <f t="shared" si="28"/>
        <v>4.4192030717479113E-4</v>
      </c>
      <c r="DN19" s="7">
        <f t="shared" si="28"/>
        <v>9.2435602590540443E-4</v>
      </c>
      <c r="DO19" s="7">
        <f t="shared" si="28"/>
        <v>9.3992359170593232E-3</v>
      </c>
      <c r="DP19" s="7">
        <f t="shared" si="28"/>
        <v>5.3211643863895493E-2</v>
      </c>
      <c r="DQ19" s="7">
        <f t="shared" si="28"/>
        <v>5.6731766595356822E-2</v>
      </c>
      <c r="DR19" s="7">
        <f t="shared" si="28"/>
        <v>1.2779732721999408E-5</v>
      </c>
      <c r="DS19" s="7">
        <f t="shared" si="28"/>
        <v>1.7944107252667544E-2</v>
      </c>
      <c r="DT19" s="7">
        <f t="shared" si="28"/>
        <v>1.3249413434882942E-2</v>
      </c>
      <c r="DU19" s="7">
        <f t="shared" si="28"/>
        <v>1.0832602517582508E-2</v>
      </c>
      <c r="DV19" s="7">
        <f t="shared" si="28"/>
        <v>2.9823682090757879E-3</v>
      </c>
      <c r="DW19" s="7">
        <f t="shared" si="28"/>
        <v>1.1082370139875364E-3</v>
      </c>
      <c r="DX19" s="7">
        <f t="shared" si="28"/>
        <v>3.0354498547830525E-3</v>
      </c>
      <c r="DY19" s="7">
        <f t="shared" si="28"/>
        <v>4.7325832565790213E-3</v>
      </c>
      <c r="DZ19" s="7">
        <f t="shared" si="28"/>
        <v>2.0969279010246204E-4</v>
      </c>
      <c r="EA19" s="7">
        <f t="shared" ref="EA19:EF19" si="29">EA11^2</f>
        <v>8.5929031587546431E-2</v>
      </c>
      <c r="EB19" s="7">
        <f t="shared" si="29"/>
        <v>1.987395609544565E-2</v>
      </c>
      <c r="EC19" s="7">
        <f t="shared" si="29"/>
        <v>1.4906851026839793E-4</v>
      </c>
      <c r="ED19" s="7">
        <f t="shared" si="29"/>
        <v>3.3834798795211859E-3</v>
      </c>
      <c r="EE19" s="7">
        <f t="shared" si="29"/>
        <v>2.0852230305009004E-2</v>
      </c>
      <c r="EF19" s="7">
        <f t="shared" si="29"/>
        <v>9.4107527241881761E-3</v>
      </c>
    </row>
    <row r="21" spans="1:136">
      <c r="A21" t="s">
        <v>201</v>
      </c>
      <c r="B21" s="11">
        <f>1-SUM(C13:EF15)/SUM(C17:EF19)</f>
        <v>-3.7892493511856324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F21"/>
  <sheetViews>
    <sheetView zoomScale="170" workbookViewId="0">
      <selection activeCell="E25" sqref="E25"/>
    </sheetView>
  </sheetViews>
  <sheetFormatPr baseColWidth="10" defaultColWidth="8.83203125" defaultRowHeight="15"/>
  <cols>
    <col min="1" max="1" width="13.83203125" style="12" customWidth="1"/>
  </cols>
  <sheetData>
    <row r="1" spans="1:136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6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>
      <c r="A3" s="1"/>
      <c r="B3" s="2" t="s">
        <v>136</v>
      </c>
      <c r="C3" s="13">
        <v>3.1330205500125892E-2</v>
      </c>
      <c r="D3" s="13">
        <v>-1.7543647438287732E-2</v>
      </c>
      <c r="E3" s="13">
        <v>2.9643896967172619E-2</v>
      </c>
      <c r="F3" s="13">
        <v>2.8182985261082649E-2</v>
      </c>
      <c r="G3" s="13">
        <v>4.1800491511821747E-2</v>
      </c>
      <c r="H3" s="13">
        <v>1.7699908465147018E-2</v>
      </c>
      <c r="I3" s="13">
        <v>1.256205607205629E-2</v>
      </c>
      <c r="J3" s="13">
        <v>1.2357430532574649E-3</v>
      </c>
      <c r="K3" s="13">
        <v>3.5791270434856408E-2</v>
      </c>
      <c r="L3" s="13">
        <v>6.6725820302963257E-2</v>
      </c>
      <c r="M3" s="13">
        <v>1.32761662825942E-2</v>
      </c>
      <c r="N3" s="13">
        <v>-1.340599730610847E-3</v>
      </c>
      <c r="O3" s="13">
        <v>-3.9153536781668663E-3</v>
      </c>
      <c r="P3" s="13">
        <v>2.3424895480275151E-2</v>
      </c>
      <c r="Q3" s="13">
        <v>2.038630656898022E-2</v>
      </c>
      <c r="R3" s="13">
        <v>1.957200467586517E-2</v>
      </c>
      <c r="S3" s="13">
        <v>2.2870888933539391E-2</v>
      </c>
      <c r="T3" s="13">
        <v>4.3855453841388234E-3</v>
      </c>
      <c r="U3" s="13">
        <v>-8.5439961403608322E-3</v>
      </c>
      <c r="V3" s="13">
        <v>-8.516303263604641E-3</v>
      </c>
      <c r="W3" s="13">
        <v>-1.7971992492675781E-2</v>
      </c>
      <c r="X3" s="13">
        <v>-1.1634783819317819E-2</v>
      </c>
      <c r="Y3" s="13">
        <v>-2.656730450689793E-2</v>
      </c>
      <c r="Z3" s="13">
        <v>-2.7729809284210209E-2</v>
      </c>
      <c r="AA3" s="13">
        <v>7.4403420090675354E-2</v>
      </c>
      <c r="AB3" s="13">
        <v>-2.764703705906868E-2</v>
      </c>
      <c r="AC3" s="13">
        <v>-2.7917437255382541E-2</v>
      </c>
      <c r="AD3" s="13">
        <v>-3.129136934876442E-2</v>
      </c>
      <c r="AE3" s="13">
        <v>-2.063364535570145E-2</v>
      </c>
      <c r="AF3" s="13">
        <v>-3.5181421786546707E-2</v>
      </c>
      <c r="AG3" s="13">
        <v>-1.2474990449845791E-2</v>
      </c>
      <c r="AH3" s="13">
        <v>-2.2227592766284939E-2</v>
      </c>
      <c r="AI3" s="13">
        <v>2.8354397043585781E-2</v>
      </c>
      <c r="AJ3" s="13">
        <v>1.7696382477879521E-2</v>
      </c>
      <c r="AK3" s="13">
        <v>-1.5488248318433759E-3</v>
      </c>
      <c r="AL3" s="13">
        <v>6.0541510581970208E-2</v>
      </c>
      <c r="AM3" s="13">
        <v>4.2939703911542892E-2</v>
      </c>
      <c r="AN3" s="13">
        <v>4.6451166272163391E-2</v>
      </c>
      <c r="AO3" s="13">
        <v>4.6414647251367569E-2</v>
      </c>
      <c r="AP3" s="13">
        <v>2.7322841808199879E-2</v>
      </c>
      <c r="AQ3" s="13">
        <v>4.9711406230926507E-2</v>
      </c>
      <c r="AR3" s="13">
        <v>4.072609543800354E-2</v>
      </c>
      <c r="AS3" s="13">
        <v>3.7940710783004761E-2</v>
      </c>
      <c r="AT3" s="13">
        <v>4.3215282261371613E-2</v>
      </c>
      <c r="AU3" s="13">
        <v>3.5848293453454971E-2</v>
      </c>
      <c r="AV3" s="13">
        <v>4.8106551170349121E-2</v>
      </c>
      <c r="AW3" s="13">
        <v>0.25755825638771063</v>
      </c>
      <c r="AX3" s="13">
        <v>2.3971892893314362E-2</v>
      </c>
      <c r="AY3" s="13">
        <v>5.6368216872215271E-2</v>
      </c>
      <c r="AZ3" s="13">
        <v>4.440823569893837E-2</v>
      </c>
      <c r="BA3" s="13">
        <v>4.0217362344264977E-2</v>
      </c>
      <c r="BB3" s="13">
        <v>3.9215490221977227E-2</v>
      </c>
      <c r="BC3" s="13">
        <v>5.1480397582054138E-2</v>
      </c>
      <c r="BD3" s="13">
        <v>4.9942176789045327E-2</v>
      </c>
      <c r="BE3" s="13">
        <v>4.9302525818347931E-2</v>
      </c>
      <c r="BF3" s="13">
        <v>5.0215017050504678E-2</v>
      </c>
      <c r="BG3" s="13">
        <v>4.4806387275457382E-2</v>
      </c>
      <c r="BH3" s="13">
        <v>7.2218522429466248E-2</v>
      </c>
      <c r="BI3" s="13">
        <v>5.3198006004095078E-2</v>
      </c>
      <c r="BJ3" s="13">
        <v>5.0947383046150208E-2</v>
      </c>
      <c r="BK3" s="13">
        <v>4.6847827732563019E-2</v>
      </c>
      <c r="BL3" s="13">
        <v>5.1777664572000497E-2</v>
      </c>
      <c r="BM3" s="13">
        <v>4.5751150697469711E-2</v>
      </c>
      <c r="BN3" s="13">
        <v>5.1456984132528312E-2</v>
      </c>
      <c r="BO3" s="13">
        <v>5.444614589214325E-2</v>
      </c>
      <c r="BP3" s="13">
        <v>5.1880281418561942E-2</v>
      </c>
      <c r="BQ3" s="13">
        <v>4.9081109464168549E-2</v>
      </c>
      <c r="BR3" s="13">
        <v>3.0115354806184769E-2</v>
      </c>
      <c r="BS3" s="13">
        <v>4.8800110816955573E-2</v>
      </c>
      <c r="BT3" s="13">
        <v>4.8635218292474747E-2</v>
      </c>
      <c r="BU3" s="13">
        <v>4.5633736997842789E-2</v>
      </c>
      <c r="BV3" s="13">
        <v>4.947228729724884E-2</v>
      </c>
      <c r="BW3" s="13">
        <v>4.4601880013942719E-2</v>
      </c>
      <c r="BX3" s="13">
        <v>4.56710085272789E-2</v>
      </c>
      <c r="BY3" s="13">
        <v>3.6897704005241387E-2</v>
      </c>
      <c r="BZ3" s="13">
        <v>0.21394279599189761</v>
      </c>
      <c r="CA3" s="13">
        <v>2.7052136138081551E-2</v>
      </c>
      <c r="CB3" s="13">
        <v>4.6074997633695602E-2</v>
      </c>
      <c r="CC3" s="13">
        <v>7.2226598858833313E-2</v>
      </c>
      <c r="CD3" s="13">
        <v>3.4700907766819E-2</v>
      </c>
      <c r="CE3" s="13">
        <v>3.6362294107675552E-2</v>
      </c>
      <c r="CF3" s="13">
        <v>4.7756139189004898E-2</v>
      </c>
      <c r="CG3" s="13">
        <v>3.6376580595970147E-2</v>
      </c>
      <c r="CH3" s="13">
        <v>4.3285507708787918E-2</v>
      </c>
      <c r="CI3" s="13">
        <v>4.2804375290870673E-2</v>
      </c>
      <c r="CJ3" s="13">
        <v>4.3789677321910858E-2</v>
      </c>
      <c r="CK3" s="13">
        <v>4.193609207868576E-2</v>
      </c>
      <c r="CL3" s="13">
        <v>4.5073911547660828E-2</v>
      </c>
      <c r="CM3" s="13">
        <v>5.7426575571298599E-2</v>
      </c>
      <c r="CN3" s="13">
        <v>4.8870686441659927E-2</v>
      </c>
      <c r="CO3" s="13">
        <v>4.6467091888189323E-2</v>
      </c>
      <c r="CP3" s="13">
        <v>4.5427285134792328E-2</v>
      </c>
      <c r="CQ3" s="13">
        <v>4.3254118412733078E-2</v>
      </c>
      <c r="CR3" s="13">
        <v>4.2831581085920327E-2</v>
      </c>
      <c r="CS3" s="13">
        <v>4.1360333561897278E-2</v>
      </c>
      <c r="CT3" s="13">
        <v>2.374728582799435E-2</v>
      </c>
      <c r="CU3" s="13">
        <v>3.9278171956539147E-2</v>
      </c>
      <c r="CV3" s="13">
        <v>4.09957654774189E-2</v>
      </c>
      <c r="CW3" s="13">
        <v>3.6699786782264709E-2</v>
      </c>
      <c r="CX3" s="13">
        <v>3.8764949887990952E-2</v>
      </c>
      <c r="CY3" s="13">
        <v>3.7805531173944473E-2</v>
      </c>
      <c r="CZ3" s="13">
        <v>4.325726255774498E-2</v>
      </c>
      <c r="DA3" s="13">
        <v>4.4850636273622513E-2</v>
      </c>
      <c r="DB3" s="13">
        <v>4.3851811438798897E-2</v>
      </c>
      <c r="DC3" s="13">
        <v>4.9191009253263467E-2</v>
      </c>
      <c r="DD3" s="13">
        <v>4.212004691362381E-2</v>
      </c>
      <c r="DE3" s="13">
        <v>4.7127000987529748E-2</v>
      </c>
      <c r="DF3" s="13">
        <v>3.8079626858234412E-2</v>
      </c>
      <c r="DG3" s="13">
        <v>3.8307089358568192E-2</v>
      </c>
      <c r="DH3" s="13">
        <v>3.9209745824337013E-2</v>
      </c>
      <c r="DI3" s="13">
        <v>5.0754562020301819E-2</v>
      </c>
      <c r="DJ3" s="13">
        <v>4.9327295273542397E-2</v>
      </c>
      <c r="DK3" s="13">
        <v>4.6511236578226089E-2</v>
      </c>
      <c r="DL3" s="13">
        <v>4.22775037586689E-2</v>
      </c>
      <c r="DM3" s="13">
        <v>3.2305262982845313E-2</v>
      </c>
      <c r="DN3" s="13">
        <v>4.6072427183389657E-2</v>
      </c>
      <c r="DO3" s="13">
        <v>4.8485249280929572E-2</v>
      </c>
      <c r="DP3" s="13">
        <v>4.6022161841392517E-2</v>
      </c>
      <c r="DQ3" s="13">
        <v>4.4537413865327842E-2</v>
      </c>
      <c r="DR3" s="13">
        <v>4.4425271451473243E-2</v>
      </c>
      <c r="DS3" s="13">
        <v>4.2646575719118118E-2</v>
      </c>
      <c r="DT3" s="13">
        <v>4.6090584248304367E-2</v>
      </c>
      <c r="DU3" s="13">
        <v>4.3128091841936111E-2</v>
      </c>
      <c r="DV3" s="13">
        <v>4.1349083185195923E-2</v>
      </c>
      <c r="DW3" s="13">
        <v>4.0377732366323471E-2</v>
      </c>
      <c r="DX3" s="13">
        <v>4.6240631490945823E-2</v>
      </c>
      <c r="DY3" s="13">
        <v>4.529276117682457E-2</v>
      </c>
      <c r="DZ3" s="13">
        <v>3.8002155721187592E-2</v>
      </c>
      <c r="EA3" s="13">
        <v>4.3337244540452957E-2</v>
      </c>
      <c r="EB3" s="13">
        <v>3.5762075334787369E-2</v>
      </c>
      <c r="EC3" s="13">
        <v>3.0851878225803379E-2</v>
      </c>
      <c r="ED3" s="13">
        <v>4.0065716952085488E-2</v>
      </c>
      <c r="EE3" s="13">
        <v>4.3372519314289093E-2</v>
      </c>
      <c r="EF3" s="13">
        <v>4.6325836330652237E-2</v>
      </c>
    </row>
    <row r="4" spans="1:136">
      <c r="A4" s="1"/>
      <c r="B4" s="2" t="s">
        <v>137</v>
      </c>
      <c r="C4" s="13">
        <v>-2.2946899756789211E-2</v>
      </c>
      <c r="D4" s="13">
        <v>-3.2528996467590332E-2</v>
      </c>
      <c r="E4" s="13">
        <v>-2.231709286570549E-2</v>
      </c>
      <c r="F4" s="13">
        <v>-3.0678801238536831E-2</v>
      </c>
      <c r="G4" s="13">
        <v>-3.2594364136457443E-2</v>
      </c>
      <c r="H4" s="13">
        <v>-2.7283268049359322E-2</v>
      </c>
      <c r="I4" s="13">
        <v>-3.6774773150682449E-2</v>
      </c>
      <c r="J4" s="13">
        <v>-3.694760799407959E-2</v>
      </c>
      <c r="K4" s="13">
        <v>-3.4350186586379998E-2</v>
      </c>
      <c r="L4" s="13">
        <v>-3.5141970962286002E-2</v>
      </c>
      <c r="M4" s="13">
        <v>-3.6390375345945358E-2</v>
      </c>
      <c r="N4" s="13">
        <v>-2.7910143136978149E-2</v>
      </c>
      <c r="O4" s="13">
        <v>-3.4657396376132972E-2</v>
      </c>
      <c r="P4" s="13">
        <v>-3.7157066166400909E-2</v>
      </c>
      <c r="Q4" s="13">
        <v>-3.2246530055999763E-2</v>
      </c>
      <c r="R4" s="13">
        <v>-3.2251663506031043E-2</v>
      </c>
      <c r="S4" s="13">
        <v>-2.9913196340203289E-2</v>
      </c>
      <c r="T4" s="13">
        <v>-2.9206940904259682E-2</v>
      </c>
      <c r="U4" s="13">
        <v>-2.8744202107191089E-2</v>
      </c>
      <c r="V4" s="13">
        <v>-2.8017682954668999E-2</v>
      </c>
      <c r="W4" s="13">
        <v>-2.7434077113866809E-2</v>
      </c>
      <c r="X4" s="13">
        <v>-2.876461856067181E-2</v>
      </c>
      <c r="Y4" s="13">
        <v>-3.1099813058972359E-2</v>
      </c>
      <c r="Z4" s="13">
        <v>-3.0133392661809921E-2</v>
      </c>
      <c r="AA4" s="13">
        <v>-2.9746487736701969E-2</v>
      </c>
      <c r="AB4" s="13">
        <v>-2.964571118354797E-2</v>
      </c>
      <c r="AC4" s="13">
        <v>-2.9567878693342209E-2</v>
      </c>
      <c r="AD4" s="13">
        <v>-2.8945522382855419E-2</v>
      </c>
      <c r="AE4" s="13">
        <v>-2.8935028240084652E-2</v>
      </c>
      <c r="AF4" s="13">
        <v>-2.8917042538523671E-2</v>
      </c>
      <c r="AG4" s="13">
        <v>-2.828941494226456E-2</v>
      </c>
      <c r="AH4" s="13">
        <v>-1.883991435170174E-2</v>
      </c>
      <c r="AI4" s="13">
        <v>-4.0709320455789573E-2</v>
      </c>
      <c r="AJ4" s="13">
        <v>-3.4136712551116943E-2</v>
      </c>
      <c r="AK4" s="13">
        <v>-2.7761854231357571E-2</v>
      </c>
      <c r="AL4" s="13">
        <v>-2.6954172179102901E-2</v>
      </c>
      <c r="AM4" s="13">
        <v>-2.9749177396297451E-2</v>
      </c>
      <c r="AN4" s="13">
        <v>-2.958561293780804E-2</v>
      </c>
      <c r="AO4" s="13">
        <v>-3.5846035927534103E-2</v>
      </c>
      <c r="AP4" s="13">
        <v>-3.5248521715402603E-2</v>
      </c>
      <c r="AQ4" s="13">
        <v>-2.2184915840625759E-2</v>
      </c>
      <c r="AR4" s="13">
        <v>-2.593911811709404E-2</v>
      </c>
      <c r="AS4" s="13">
        <v>-2.9777109622955319E-2</v>
      </c>
      <c r="AT4" s="13">
        <v>-2.5417083874344829E-2</v>
      </c>
      <c r="AU4" s="13">
        <v>-3.08467410504818E-2</v>
      </c>
      <c r="AV4" s="13">
        <v>-3.2425623387098312E-2</v>
      </c>
      <c r="AW4" s="13">
        <v>-2.665197849273682E-2</v>
      </c>
      <c r="AX4" s="13">
        <v>-2.6401566341519359E-2</v>
      </c>
      <c r="AY4" s="13">
        <v>-3.4196376800537109E-2</v>
      </c>
      <c r="AZ4" s="13">
        <v>-2.7192108333110809E-2</v>
      </c>
      <c r="BA4" s="13">
        <v>-3.141489252448082E-2</v>
      </c>
      <c r="BB4" s="13">
        <v>-3.3737760037183762E-2</v>
      </c>
      <c r="BC4" s="13">
        <v>-3.037294372916222E-2</v>
      </c>
      <c r="BD4" s="13">
        <v>-3.122984804213047E-2</v>
      </c>
      <c r="BE4" s="13">
        <v>-3.2925654202699661E-2</v>
      </c>
      <c r="BF4" s="13">
        <v>-3.0702147632837299E-2</v>
      </c>
      <c r="BG4" s="13">
        <v>-3.2038435339927673E-2</v>
      </c>
      <c r="BH4" s="13">
        <v>-2.992494776844978E-2</v>
      </c>
      <c r="BI4" s="13">
        <v>-3.1321626156568527E-2</v>
      </c>
      <c r="BJ4" s="13">
        <v>-3.0535932630300518E-2</v>
      </c>
      <c r="BK4" s="13">
        <v>-3.2727848738431931E-2</v>
      </c>
      <c r="BL4" s="13">
        <v>-3.1020708382129669E-2</v>
      </c>
      <c r="BM4" s="13">
        <v>-3.1905554234981537E-2</v>
      </c>
      <c r="BN4" s="13">
        <v>-1.146291196346283E-2</v>
      </c>
      <c r="BO4" s="13">
        <v>-2.2440502420067791E-2</v>
      </c>
      <c r="BP4" s="13">
        <v>-2.6134863495826721E-2</v>
      </c>
      <c r="BQ4" s="13">
        <v>-3.2739493995904922E-2</v>
      </c>
      <c r="BR4" s="13">
        <v>-1.1072360910475251E-2</v>
      </c>
      <c r="BS4" s="13">
        <v>-3.3545445650815957E-2</v>
      </c>
      <c r="BT4" s="13">
        <v>-2.5867762044072151E-2</v>
      </c>
      <c r="BU4" s="13">
        <v>-3.5770893096923828E-2</v>
      </c>
      <c r="BV4" s="13">
        <v>-3.3611096441745758E-2</v>
      </c>
      <c r="BW4" s="13">
        <v>-2.3763570934534069E-2</v>
      </c>
      <c r="BX4" s="13">
        <v>-3.2385952770709991E-2</v>
      </c>
      <c r="BY4" s="13">
        <v>-3.174808993935585E-2</v>
      </c>
      <c r="BZ4" s="13">
        <v>-3.5722728818655007E-2</v>
      </c>
      <c r="CA4" s="13">
        <v>-3.2349672168493271E-2</v>
      </c>
      <c r="CB4" s="13">
        <v>-2.4401739239692691E-2</v>
      </c>
      <c r="CC4" s="13">
        <v>-2.9154768213629719E-2</v>
      </c>
      <c r="CD4" s="13">
        <v>-2.6064924895763401E-2</v>
      </c>
      <c r="CE4" s="13">
        <v>-3.1504537910223007E-2</v>
      </c>
      <c r="CF4" s="13">
        <v>-3.0558105558156971E-2</v>
      </c>
      <c r="CG4" s="13">
        <v>-3.0557489022612572E-2</v>
      </c>
      <c r="CH4" s="13">
        <v>-3.119574673473835E-2</v>
      </c>
      <c r="CI4" s="13">
        <v>-3.099741600453854E-2</v>
      </c>
      <c r="CJ4" s="13">
        <v>-3.2932452857494347E-2</v>
      </c>
      <c r="CK4" s="13">
        <v>-3.1934447586536407E-2</v>
      </c>
      <c r="CL4" s="13">
        <v>-3.1415339559316642E-2</v>
      </c>
      <c r="CM4" s="13">
        <v>-3.0473604798316959E-2</v>
      </c>
      <c r="CN4" s="13">
        <v>-3.1549032777547843E-2</v>
      </c>
      <c r="CO4" s="13">
        <v>-3.048702701926231E-2</v>
      </c>
      <c r="CP4" s="13">
        <v>-3.008273430168629E-2</v>
      </c>
      <c r="CQ4" s="13">
        <v>-3.185567632317543E-2</v>
      </c>
      <c r="CR4" s="13">
        <v>-2.9665300622582439E-2</v>
      </c>
      <c r="CS4" s="13">
        <v>-3.06941531598568E-2</v>
      </c>
      <c r="CT4" s="13">
        <v>-2.3139951750636101E-2</v>
      </c>
      <c r="CU4" s="13">
        <v>-2.7379043400287632E-2</v>
      </c>
      <c r="CV4" s="13">
        <v>-2.8476610779762272E-2</v>
      </c>
      <c r="CW4" s="13">
        <v>-3.2229896634817123E-2</v>
      </c>
      <c r="CX4" s="13">
        <v>-2.7671042829751968E-2</v>
      </c>
      <c r="CY4" s="13">
        <v>-2.780521847307682E-2</v>
      </c>
      <c r="CZ4" s="13">
        <v>-2.5955270975828171E-2</v>
      </c>
      <c r="DA4" s="13">
        <v>-2.869330532848835E-2</v>
      </c>
      <c r="DB4" s="13">
        <v>-3.3299807459115982E-2</v>
      </c>
      <c r="DC4" s="13">
        <v>-3.2515127211809158E-2</v>
      </c>
      <c r="DD4" s="13">
        <v>-3.2184645533561707E-2</v>
      </c>
      <c r="DE4" s="13">
        <v>-2.9689539223909382E-2</v>
      </c>
      <c r="DF4" s="13">
        <v>-3.0039757490158081E-2</v>
      </c>
      <c r="DG4" s="13">
        <v>-2.7630811557173729E-2</v>
      </c>
      <c r="DH4" s="13">
        <v>-2.948114275932312E-2</v>
      </c>
      <c r="DI4" s="13">
        <v>-2.9837131500244141E-2</v>
      </c>
      <c r="DJ4" s="13">
        <v>-3.0152346938848499E-2</v>
      </c>
      <c r="DK4" s="13">
        <v>-2.9910968616604802E-2</v>
      </c>
      <c r="DL4" s="13">
        <v>-3.0357034876942631E-2</v>
      </c>
      <c r="DM4" s="13">
        <v>-2.8307907283306118E-2</v>
      </c>
      <c r="DN4" s="13">
        <v>-2.7425747364759449E-2</v>
      </c>
      <c r="DO4" s="13">
        <v>-2.8660286217927929E-2</v>
      </c>
      <c r="DP4" s="13">
        <v>-2.6614684611558911E-2</v>
      </c>
      <c r="DQ4" s="13">
        <v>-2.7624152600765228E-2</v>
      </c>
      <c r="DR4" s="13">
        <v>-2.8681257739663121E-2</v>
      </c>
      <c r="DS4" s="13">
        <v>-2.8064034879207611E-2</v>
      </c>
      <c r="DT4" s="13">
        <v>-2.8476167470216751E-2</v>
      </c>
      <c r="DU4" s="13">
        <v>-2.8130983933806419E-2</v>
      </c>
      <c r="DV4" s="13">
        <v>-2.8065690770745281E-2</v>
      </c>
      <c r="DW4" s="13">
        <v>-2.618366107344627E-2</v>
      </c>
      <c r="DX4" s="13">
        <v>-2.7583243325352669E-2</v>
      </c>
      <c r="DY4" s="13">
        <v>-2.974858321249485E-2</v>
      </c>
      <c r="DZ4" s="13">
        <v>-2.467053942382336E-2</v>
      </c>
      <c r="EA4" s="13">
        <v>-2.6180332526564602E-2</v>
      </c>
      <c r="EB4" s="13">
        <v>-2.6299703866243359E-2</v>
      </c>
      <c r="EC4" s="13">
        <v>-2.7548244222998619E-2</v>
      </c>
      <c r="ED4" s="13">
        <v>-2.391510829329491E-2</v>
      </c>
      <c r="EE4" s="13">
        <v>-3.1682092696428299E-2</v>
      </c>
      <c r="EF4" s="13">
        <v>-2.8993211686611179E-2</v>
      </c>
    </row>
    <row r="5" spans="1:136">
      <c r="A5" s="1"/>
      <c r="B5" s="2" t="s">
        <v>138</v>
      </c>
      <c r="C5" s="13">
        <v>-1.7830728320404889E-3</v>
      </c>
      <c r="D5" s="13">
        <v>-5.807969719171524E-3</v>
      </c>
      <c r="E5" s="13">
        <v>-5.4487348534166813E-3</v>
      </c>
      <c r="F5" s="13">
        <v>-5.0667491741478443E-3</v>
      </c>
      <c r="G5" s="13">
        <v>-7.0356116630136967E-3</v>
      </c>
      <c r="H5" s="13">
        <v>-5.7321330532431602E-3</v>
      </c>
      <c r="I5" s="13">
        <v>-4.5550367794930926E-3</v>
      </c>
      <c r="J5" s="13">
        <v>-6.6406917758285999E-3</v>
      </c>
      <c r="K5" s="13">
        <v>-7.1166539564728737E-3</v>
      </c>
      <c r="L5" s="13">
        <v>-5.1224259659647942E-3</v>
      </c>
      <c r="M5" s="13">
        <v>-6.61063427105546E-3</v>
      </c>
      <c r="N5" s="13">
        <v>5.8811819180846214E-3</v>
      </c>
      <c r="O5" s="13">
        <v>2.1359868347644809E-2</v>
      </c>
      <c r="P5" s="13">
        <v>1.4080207329243419E-3</v>
      </c>
      <c r="Q5" s="13">
        <v>2.8066970407962799E-3</v>
      </c>
      <c r="R5" s="13">
        <v>-6.5349945798516273E-3</v>
      </c>
      <c r="S5" s="13">
        <v>-3.3381129615008831E-3</v>
      </c>
      <c r="T5" s="13">
        <v>4.9602827057242393E-3</v>
      </c>
      <c r="U5" s="13">
        <v>3.3406838774681091E-3</v>
      </c>
      <c r="V5" s="13">
        <v>6.140547338873148E-4</v>
      </c>
      <c r="W5" s="13">
        <v>9.1809040168300271E-4</v>
      </c>
      <c r="X5" s="13">
        <v>-4.8206630162894726E-3</v>
      </c>
      <c r="Y5" s="13">
        <v>-9.6054915338754654E-3</v>
      </c>
      <c r="Z5" s="13">
        <v>-3.1937819439917798E-3</v>
      </c>
      <c r="AA5" s="13">
        <v>-1.071048714220524E-2</v>
      </c>
      <c r="AB5" s="13">
        <v>-8.0073485150933266E-3</v>
      </c>
      <c r="AC5" s="13">
        <v>-9.7105018794536591E-3</v>
      </c>
      <c r="AD5" s="13">
        <v>-1.193892490118742E-2</v>
      </c>
      <c r="AE5" s="13">
        <v>-9.1045163571834564E-3</v>
      </c>
      <c r="AF5" s="13">
        <v>-5.2170734852552414E-3</v>
      </c>
      <c r="AG5" s="13">
        <v>-6.7129302769899368E-3</v>
      </c>
      <c r="AH5" s="13">
        <v>-4.2343703098595142E-3</v>
      </c>
      <c r="AI5" s="13">
        <v>-3.7024291232228279E-3</v>
      </c>
      <c r="AJ5" s="13">
        <v>-3.4234239719808102E-3</v>
      </c>
      <c r="AK5" s="13">
        <v>-5.0286529585719109E-3</v>
      </c>
      <c r="AL5" s="13">
        <v>-5.3550507873296738E-3</v>
      </c>
      <c r="AM5" s="13">
        <v>-6.9953757338225842E-3</v>
      </c>
      <c r="AN5" s="13">
        <v>-1.9440042087808249E-3</v>
      </c>
      <c r="AO5" s="13">
        <v>-5.7561695575714111E-3</v>
      </c>
      <c r="AP5" s="13">
        <v>-5.5434941314160824E-3</v>
      </c>
      <c r="AQ5" s="13">
        <v>-8.768024854362011E-4</v>
      </c>
      <c r="AR5" s="13">
        <v>-3.7110829725861549E-3</v>
      </c>
      <c r="AS5" s="13">
        <v>-1.8258683849126101E-3</v>
      </c>
      <c r="AT5" s="13">
        <v>1.723302528262138E-2</v>
      </c>
      <c r="AU5" s="13">
        <v>-6.8042157217860222E-3</v>
      </c>
      <c r="AV5" s="13">
        <v>1.040650904178619E-2</v>
      </c>
      <c r="AW5" s="13">
        <v>-1.1680858209729189E-2</v>
      </c>
      <c r="AX5" s="13">
        <v>-1.109044998884201E-2</v>
      </c>
      <c r="AY5" s="13">
        <v>-7.5637380359694362E-4</v>
      </c>
      <c r="AZ5" s="13">
        <v>1.07489638030529E-2</v>
      </c>
      <c r="BA5" s="13">
        <v>-1.3510514982044699E-3</v>
      </c>
      <c r="BB5" s="13">
        <v>-7.5233145616948596E-3</v>
      </c>
      <c r="BC5" s="13">
        <v>1.9595171324908729E-3</v>
      </c>
      <c r="BD5" s="13">
        <v>-1.7605321481823921E-2</v>
      </c>
      <c r="BE5" s="13">
        <v>-5.7958187535405159E-3</v>
      </c>
      <c r="BF5" s="13">
        <v>6.0290488181635737E-4</v>
      </c>
      <c r="BG5" s="13">
        <v>-7.3045212775468826E-3</v>
      </c>
      <c r="BH5" s="13">
        <v>-4.3621701188385487E-3</v>
      </c>
      <c r="BI5" s="13">
        <v>6.2929122941568494E-4</v>
      </c>
      <c r="BJ5" s="13">
        <v>1.5743880067020649E-4</v>
      </c>
      <c r="BK5" s="13">
        <v>-8.4008211269974709E-3</v>
      </c>
      <c r="BL5" s="13">
        <v>-1.1468764860183001E-3</v>
      </c>
      <c r="BM5" s="13">
        <v>-2.949054585769773E-3</v>
      </c>
      <c r="BN5" s="13">
        <v>-6.1059690779075027E-4</v>
      </c>
      <c r="BO5" s="13">
        <v>-4.5644012279808521E-3</v>
      </c>
      <c r="BP5" s="13">
        <v>3.4177984343841672E-4</v>
      </c>
      <c r="BQ5" s="13">
        <v>1.0708648478612299E-3</v>
      </c>
      <c r="BR5" s="13">
        <v>4.8396759666502481E-4</v>
      </c>
      <c r="BS5" s="13">
        <v>-7.7918096212670207E-4</v>
      </c>
      <c r="BT5" s="13">
        <v>5.7771807769313455E-4</v>
      </c>
      <c r="BU5" s="13">
        <v>-4.3007326312363148E-3</v>
      </c>
      <c r="BV5" s="13">
        <v>-1.3925109524279831E-3</v>
      </c>
      <c r="BW5" s="13">
        <v>-3.6537761334329839E-3</v>
      </c>
      <c r="BX5" s="13">
        <v>-1.9937008619308472E-3</v>
      </c>
      <c r="BY5" s="13">
        <v>-2.6817773468792439E-3</v>
      </c>
      <c r="BZ5" s="13">
        <v>2.2256071679294109E-3</v>
      </c>
      <c r="CA5" s="13">
        <v>-1.7740057781338692E-2</v>
      </c>
      <c r="CB5" s="13">
        <v>-1.854742132127285E-2</v>
      </c>
      <c r="CC5" s="13">
        <v>-8.9547159150242805E-3</v>
      </c>
      <c r="CD5" s="13">
        <v>-6.0267932713031769E-3</v>
      </c>
      <c r="CE5" s="13">
        <v>4.5224521309137336E-3</v>
      </c>
      <c r="CF5" s="13">
        <v>-4.9523431807756424E-3</v>
      </c>
      <c r="CG5" s="13">
        <v>-1.120204571634531E-3</v>
      </c>
      <c r="CH5" s="13">
        <v>-3.2324404455721378E-3</v>
      </c>
      <c r="CI5" s="13">
        <v>-5.5289170704782009E-3</v>
      </c>
      <c r="CJ5" s="13">
        <v>4.4923755340278149E-3</v>
      </c>
      <c r="CK5" s="13">
        <v>-6.095989141613245E-3</v>
      </c>
      <c r="CL5" s="13">
        <v>-8.0949869006872177E-3</v>
      </c>
      <c r="CM5" s="13">
        <v>5.0488505512475967E-3</v>
      </c>
      <c r="CN5" s="13">
        <v>-1.788548310287297E-3</v>
      </c>
      <c r="CO5" s="13">
        <v>2.7636219747364521E-3</v>
      </c>
      <c r="CP5" s="13">
        <v>-3.583973273634911E-3</v>
      </c>
      <c r="CQ5" s="13">
        <v>-4.7339932061731824E-3</v>
      </c>
      <c r="CR5" s="13">
        <v>1.54245609883219E-3</v>
      </c>
      <c r="CS5" s="13">
        <v>-6.9501805119216442E-3</v>
      </c>
      <c r="CT5" s="13">
        <v>-6.800045957788825E-4</v>
      </c>
      <c r="CU5" s="13">
        <v>-3.5899188369512558E-3</v>
      </c>
      <c r="CV5" s="13">
        <v>-9.6032914007082582E-4</v>
      </c>
      <c r="CW5" s="13">
        <v>-3.6334127653390169E-3</v>
      </c>
      <c r="CX5" s="13">
        <v>-1.5083478065207601E-3</v>
      </c>
      <c r="CY5" s="13">
        <v>-2.2476767189800739E-3</v>
      </c>
      <c r="CZ5" s="13">
        <v>-1.561234821565449E-4</v>
      </c>
      <c r="DA5" s="13">
        <v>-1.49183627218008E-3</v>
      </c>
      <c r="DB5" s="13">
        <v>-3.169323550537229E-3</v>
      </c>
      <c r="DC5" s="13">
        <v>-3.9032646454870701E-3</v>
      </c>
      <c r="DD5" s="13">
        <v>-4.5191487297415733E-3</v>
      </c>
      <c r="DE5" s="13">
        <v>-5.4920930415391922E-3</v>
      </c>
      <c r="DF5" s="13">
        <v>-1.9542425870895389E-2</v>
      </c>
      <c r="DG5" s="13">
        <v>-5.0942343659698963E-3</v>
      </c>
      <c r="DH5" s="13">
        <v>-4.3465639464557171E-3</v>
      </c>
      <c r="DI5" s="13">
        <v>-1.3278067111968991E-2</v>
      </c>
      <c r="DJ5" s="13">
        <v>2.4301805533468719E-3</v>
      </c>
      <c r="DK5" s="13">
        <v>-8.2946429029107094E-3</v>
      </c>
      <c r="DL5" s="13">
        <v>-4.3598045594990253E-3</v>
      </c>
      <c r="DM5" s="13">
        <v>-1.441237283870578E-3</v>
      </c>
      <c r="DN5" s="13">
        <v>-3.749192226678133E-3</v>
      </c>
      <c r="DO5" s="13">
        <v>1.835820032283664E-3</v>
      </c>
      <c r="DP5" s="13">
        <v>-4.5633451081812382E-3</v>
      </c>
      <c r="DQ5" s="13">
        <v>-4.5281355269253254E-3</v>
      </c>
      <c r="DR5" s="13">
        <v>-7.0934956893324852E-3</v>
      </c>
      <c r="DS5" s="13">
        <v>-3.5971722099930048E-3</v>
      </c>
      <c r="DT5" s="13">
        <v>-1.070812228135765E-3</v>
      </c>
      <c r="DU5" s="13">
        <v>-5.7690823450684547E-3</v>
      </c>
      <c r="DV5" s="13">
        <v>-3.1534233130514622E-3</v>
      </c>
      <c r="DW5" s="13">
        <v>-6.9596427492797366E-3</v>
      </c>
      <c r="DX5" s="13">
        <v>-6.651862058788538E-3</v>
      </c>
      <c r="DY5" s="13">
        <v>-3.220914863049984E-3</v>
      </c>
      <c r="DZ5" s="13">
        <v>-1.9205159042030571E-3</v>
      </c>
      <c r="EA5" s="13">
        <v>-2.516824752092361E-3</v>
      </c>
      <c r="EB5" s="13">
        <v>-4.4912919402122498E-3</v>
      </c>
      <c r="EC5" s="13">
        <v>-4.5820055529475212E-3</v>
      </c>
      <c r="ED5" s="13">
        <v>-6.5560955554246902E-3</v>
      </c>
      <c r="EE5" s="13">
        <v>-5.9297331608831882E-3</v>
      </c>
      <c r="EF5" s="13">
        <v>-6.2290588393807411E-3</v>
      </c>
    </row>
    <row r="7" spans="1:136">
      <c r="A7" t="s">
        <v>198</v>
      </c>
    </row>
    <row r="8" spans="1:136"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22</v>
      </c>
      <c r="X8" t="s">
        <v>23</v>
      </c>
      <c r="Y8" t="s">
        <v>24</v>
      </c>
      <c r="Z8" t="s">
        <v>25</v>
      </c>
      <c r="AA8" t="s">
        <v>26</v>
      </c>
      <c r="AB8" t="s">
        <v>27</v>
      </c>
      <c r="AC8" t="s">
        <v>28</v>
      </c>
      <c r="AD8" t="s">
        <v>29</v>
      </c>
      <c r="AE8" t="s">
        <v>30</v>
      </c>
      <c r="AF8" t="s">
        <v>31</v>
      </c>
      <c r="AG8" t="s">
        <v>32</v>
      </c>
      <c r="AH8" t="s">
        <v>33</v>
      </c>
      <c r="AI8" t="s">
        <v>34</v>
      </c>
      <c r="AJ8" t="s">
        <v>35</v>
      </c>
      <c r="AK8" t="s">
        <v>36</v>
      </c>
      <c r="AL8" t="s">
        <v>37</v>
      </c>
      <c r="AM8" t="s">
        <v>38</v>
      </c>
      <c r="AN8" t="s">
        <v>39</v>
      </c>
      <c r="AO8" t="s">
        <v>40</v>
      </c>
      <c r="AP8" t="s">
        <v>41</v>
      </c>
      <c r="AQ8" t="s">
        <v>42</v>
      </c>
      <c r="AR8" t="s">
        <v>43</v>
      </c>
      <c r="AS8" t="s">
        <v>44</v>
      </c>
      <c r="AT8" t="s">
        <v>45</v>
      </c>
      <c r="AU8" t="s">
        <v>46</v>
      </c>
      <c r="AV8" t="s">
        <v>47</v>
      </c>
      <c r="AW8" t="s">
        <v>48</v>
      </c>
      <c r="AX8" t="s">
        <v>49</v>
      </c>
      <c r="AY8" t="s">
        <v>50</v>
      </c>
      <c r="AZ8" t="s">
        <v>51</v>
      </c>
      <c r="BA8" t="s">
        <v>52</v>
      </c>
      <c r="BB8" t="s">
        <v>53</v>
      </c>
      <c r="BC8" t="s">
        <v>54</v>
      </c>
      <c r="BD8" t="s">
        <v>55</v>
      </c>
      <c r="BE8" t="s">
        <v>56</v>
      </c>
      <c r="BF8" t="s">
        <v>57</v>
      </c>
      <c r="BG8" t="s">
        <v>58</v>
      </c>
      <c r="BH8" t="s">
        <v>59</v>
      </c>
      <c r="BI8" t="s">
        <v>60</v>
      </c>
      <c r="BJ8" t="s">
        <v>61</v>
      </c>
      <c r="BK8" t="s">
        <v>62</v>
      </c>
      <c r="BL8" t="s">
        <v>63</v>
      </c>
      <c r="BM8" t="s">
        <v>64</v>
      </c>
      <c r="BN8" t="s">
        <v>65</v>
      </c>
      <c r="BO8" t="s">
        <v>66</v>
      </c>
      <c r="BP8" t="s">
        <v>67</v>
      </c>
      <c r="BQ8" t="s">
        <v>68</v>
      </c>
      <c r="BR8" t="s">
        <v>69</v>
      </c>
      <c r="BS8" t="s">
        <v>70</v>
      </c>
      <c r="BT8" t="s">
        <v>71</v>
      </c>
      <c r="BU8" t="s">
        <v>72</v>
      </c>
      <c r="BV8" t="s">
        <v>73</v>
      </c>
      <c r="BW8" t="s">
        <v>74</v>
      </c>
      <c r="BX8" t="s">
        <v>75</v>
      </c>
      <c r="BY8" t="s">
        <v>76</v>
      </c>
      <c r="BZ8" t="s">
        <v>77</v>
      </c>
      <c r="CA8" t="s">
        <v>78</v>
      </c>
      <c r="CB8" t="s">
        <v>79</v>
      </c>
      <c r="CC8" t="s">
        <v>80</v>
      </c>
      <c r="CD8" t="s">
        <v>81</v>
      </c>
      <c r="CE8" t="s">
        <v>82</v>
      </c>
      <c r="CF8" t="s">
        <v>83</v>
      </c>
      <c r="CG8" t="s">
        <v>84</v>
      </c>
      <c r="CH8" t="s">
        <v>85</v>
      </c>
      <c r="CI8" t="s">
        <v>86</v>
      </c>
      <c r="CJ8" t="s">
        <v>87</v>
      </c>
      <c r="CK8" t="s">
        <v>88</v>
      </c>
      <c r="CL8" t="s">
        <v>89</v>
      </c>
      <c r="CM8" t="s">
        <v>90</v>
      </c>
      <c r="CN8" t="s">
        <v>91</v>
      </c>
      <c r="CO8" t="s">
        <v>92</v>
      </c>
      <c r="CP8" t="s">
        <v>93</v>
      </c>
      <c r="CQ8" t="s">
        <v>94</v>
      </c>
      <c r="CR8" t="s">
        <v>95</v>
      </c>
      <c r="CS8" t="s">
        <v>96</v>
      </c>
      <c r="CT8" t="s">
        <v>97</v>
      </c>
      <c r="CU8" t="s">
        <v>98</v>
      </c>
      <c r="CV8" t="s">
        <v>99</v>
      </c>
      <c r="CW8" t="s">
        <v>100</v>
      </c>
      <c r="CX8" t="s">
        <v>101</v>
      </c>
      <c r="CY8" t="s">
        <v>102</v>
      </c>
      <c r="CZ8" t="s">
        <v>103</v>
      </c>
      <c r="DA8" t="s">
        <v>104</v>
      </c>
      <c r="DB8" t="s">
        <v>105</v>
      </c>
      <c r="DC8" t="s">
        <v>106</v>
      </c>
      <c r="DD8" t="s">
        <v>107</v>
      </c>
      <c r="DE8" t="s">
        <v>108</v>
      </c>
      <c r="DF8" t="s">
        <v>109</v>
      </c>
      <c r="DG8" t="s">
        <v>110</v>
      </c>
      <c r="DH8" t="s">
        <v>111</v>
      </c>
      <c r="DI8" t="s">
        <v>112</v>
      </c>
      <c r="DJ8" t="s">
        <v>113</v>
      </c>
      <c r="DK8" t="s">
        <v>114</v>
      </c>
      <c r="DL8" t="s">
        <v>115</v>
      </c>
      <c r="DM8" t="s">
        <v>116</v>
      </c>
      <c r="DN8" t="s">
        <v>117</v>
      </c>
      <c r="DO8" t="s">
        <v>118</v>
      </c>
      <c r="DP8" t="s">
        <v>119</v>
      </c>
      <c r="DQ8" t="s">
        <v>120</v>
      </c>
      <c r="DR8" t="s">
        <v>121</v>
      </c>
      <c r="DS8" t="s">
        <v>122</v>
      </c>
      <c r="DT8" t="s">
        <v>123</v>
      </c>
      <c r="DU8" t="s">
        <v>124</v>
      </c>
      <c r="DV8" t="s">
        <v>125</v>
      </c>
      <c r="DW8" t="s">
        <v>126</v>
      </c>
      <c r="DX8" t="s">
        <v>127</v>
      </c>
      <c r="DY8" t="s">
        <v>128</v>
      </c>
      <c r="DZ8" t="s">
        <v>129</v>
      </c>
      <c r="EA8" t="s">
        <v>130</v>
      </c>
      <c r="EB8" t="s">
        <v>131</v>
      </c>
      <c r="EC8" t="s">
        <v>132</v>
      </c>
      <c r="ED8" t="s">
        <v>133</v>
      </c>
      <c r="EE8" t="s">
        <v>134</v>
      </c>
      <c r="EF8" t="s">
        <v>135</v>
      </c>
    </row>
    <row r="9" spans="1:136">
      <c r="B9" t="s">
        <v>136</v>
      </c>
      <c r="C9" s="15">
        <v>0.109105830631824</v>
      </c>
      <c r="D9" s="15">
        <v>1.4576582608432649E-2</v>
      </c>
      <c r="E9" s="15">
        <v>-3.6154356576976902E-2</v>
      </c>
      <c r="F9" s="15">
        <v>-4.742600977062153E-3</v>
      </c>
      <c r="G9" s="15">
        <v>-5.7477531385562736E-3</v>
      </c>
      <c r="H9" s="15">
        <v>4.9378023156909527E-2</v>
      </c>
      <c r="I9" s="15">
        <v>0.18325176920476779</v>
      </c>
      <c r="J9" s="15">
        <v>0.1164863088741452</v>
      </c>
      <c r="K9" s="15">
        <v>-3.0594945598924051E-2</v>
      </c>
      <c r="L9" s="15">
        <v>1.9828051430277011E-2</v>
      </c>
      <c r="M9" s="15">
        <v>-2.0999006362740089E-2</v>
      </c>
      <c r="N9" s="15">
        <v>0.1497794247734946</v>
      </c>
      <c r="O9" s="15">
        <v>1.5463406170905081E-2</v>
      </c>
      <c r="P9" s="15">
        <v>-9.1792321477913982E-2</v>
      </c>
      <c r="Q9" s="15">
        <v>-7.7409013100986537E-2</v>
      </c>
      <c r="R9" s="15">
        <v>5.4776596014220982E-2</v>
      </c>
      <c r="S9" s="15">
        <v>-0.12533438670858049</v>
      </c>
      <c r="T9" s="15">
        <v>-0.1190534205538864</v>
      </c>
      <c r="U9" s="15">
        <v>-3.777005083138045E-2</v>
      </c>
      <c r="V9" s="15">
        <v>8.1183823152198617E-2</v>
      </c>
      <c r="W9" s="15">
        <v>8.4008967865119855E-2</v>
      </c>
      <c r="X9" s="15">
        <v>0.14701135657134901</v>
      </c>
      <c r="Y9" s="15">
        <v>-0.12536053701812139</v>
      </c>
      <c r="Z9" s="15">
        <v>0.1919535535452612</v>
      </c>
      <c r="AA9" s="15">
        <v>-8.4370782422902996E-2</v>
      </c>
      <c r="AB9" s="15">
        <v>7.2897613803716274E-2</v>
      </c>
      <c r="AC9" s="15">
        <v>0.10260456025692451</v>
      </c>
      <c r="AD9" s="15">
        <v>1.5770167253116588E-2</v>
      </c>
      <c r="AE9" s="15">
        <v>-0.15200716210156701</v>
      </c>
      <c r="AF9" s="15">
        <v>5.9250251506559243E-2</v>
      </c>
      <c r="AG9" s="15">
        <v>0.13005883770177931</v>
      </c>
      <c r="AH9" s="15">
        <v>0.11525639530312259</v>
      </c>
      <c r="AI9" s="15">
        <v>3.2606621901195412E-2</v>
      </c>
      <c r="AJ9" s="15">
        <v>2.79991148643382E-2</v>
      </c>
      <c r="AK9" s="15">
        <v>0.14657041796408479</v>
      </c>
      <c r="AL9" s="15">
        <v>4.0841921466891577E-2</v>
      </c>
      <c r="AM9" s="15">
        <v>0.13137636706820099</v>
      </c>
      <c r="AN9" s="15">
        <v>0.22143295930140211</v>
      </c>
      <c r="AO9" s="15">
        <v>-2.0941038924054418E-2</v>
      </c>
      <c r="AP9" s="15">
        <v>-0.13715995040864579</v>
      </c>
      <c r="AQ9" s="15">
        <v>-2.4882854865750599E-2</v>
      </c>
      <c r="AR9" s="15">
        <v>1.551397070984222E-2</v>
      </c>
      <c r="AS9" s="15">
        <v>3.4373036510765703E-2</v>
      </c>
      <c r="AT9" s="15">
        <v>6.3095686135752824E-2</v>
      </c>
      <c r="AU9" s="15">
        <v>4.3237695395113553E-2</v>
      </c>
      <c r="AV9" s="15">
        <v>-7.4230367380587331E-2</v>
      </c>
      <c r="AW9" s="15">
        <v>2.7994827208502701E-2</v>
      </c>
      <c r="AX9" s="15">
        <v>0.1198644178103629</v>
      </c>
      <c r="AY9" s="15">
        <v>7.6559571245744709E-2</v>
      </c>
      <c r="AZ9" s="15">
        <v>-2.1730386111293399E-2</v>
      </c>
      <c r="BA9" s="15">
        <v>-1.2464632784982711E-3</v>
      </c>
      <c r="BB9" s="15">
        <v>0.10099582217884891</v>
      </c>
      <c r="BC9" s="15">
        <v>2.9826929857085831E-2</v>
      </c>
      <c r="BD9" s="15">
        <v>8.6757683796749117E-3</v>
      </c>
      <c r="BE9" s="15">
        <v>6.8557206018591665E-2</v>
      </c>
      <c r="BF9" s="15">
        <v>0.15691259652648329</v>
      </c>
      <c r="BG9" s="15">
        <v>0.1592037331379933</v>
      </c>
      <c r="BH9" s="15">
        <v>6.1121667651573217E-2</v>
      </c>
      <c r="BI9" s="15">
        <v>9.6912851275401127E-2</v>
      </c>
      <c r="BJ9" s="15">
        <v>-5.4746248471514068E-2</v>
      </c>
      <c r="BK9" s="15">
        <v>-8.7492963132843785E-2</v>
      </c>
      <c r="BL9" s="15">
        <v>9.4426745861656128E-2</v>
      </c>
      <c r="BM9" s="15">
        <v>-2.2191058729398399E-2</v>
      </c>
      <c r="BN9" s="15">
        <v>1.562861243910833E-2</v>
      </c>
      <c r="BO9" s="15">
        <v>8.1418240100881306E-2</v>
      </c>
      <c r="BP9" s="15">
        <v>-1.8508942424783719E-2</v>
      </c>
      <c r="BQ9" s="15">
        <v>6.8729568027927734E-2</v>
      </c>
      <c r="BR9" s="15">
        <v>3.1023605185006549E-3</v>
      </c>
      <c r="BS9" s="15">
        <v>7.4964417651561921E-2</v>
      </c>
      <c r="BT9" s="15">
        <v>4.5201587698112312E-2</v>
      </c>
      <c r="BU9" s="15">
        <v>2.5677329398223779E-2</v>
      </c>
      <c r="BV9" s="15">
        <v>9.180403106274436E-2</v>
      </c>
      <c r="BW9" s="15">
        <v>-2.6353999034970911E-2</v>
      </c>
      <c r="BX9" s="15">
        <v>1.9394832235212069E-2</v>
      </c>
      <c r="BY9" s="15">
        <v>-7.6838899317359197E-2</v>
      </c>
      <c r="BZ9" s="15">
        <v>0.1133093139289441</v>
      </c>
      <c r="CA9" s="15">
        <v>-0.10735493495839039</v>
      </c>
      <c r="CB9" s="15">
        <v>4.0844788501696747E-2</v>
      </c>
      <c r="CC9" s="15">
        <v>-1.9801708972640539E-2</v>
      </c>
      <c r="CD9" s="15">
        <v>0.1883770899619405</v>
      </c>
      <c r="CE9" s="15">
        <v>5.5574905720929421E-2</v>
      </c>
      <c r="CF9" s="15">
        <v>7.4872074365934668E-2</v>
      </c>
      <c r="CG9" s="15">
        <v>0.1000001919024945</v>
      </c>
      <c r="CH9" s="15">
        <v>0.1360217220005796</v>
      </c>
      <c r="CI9" s="15">
        <v>-9.3741014702459921E-2</v>
      </c>
      <c r="CJ9" s="15">
        <v>3.9305991202356373E-3</v>
      </c>
      <c r="CK9" s="15">
        <v>5.6507776574398372E-2</v>
      </c>
      <c r="CL9" s="15">
        <v>0.26354577822564818</v>
      </c>
      <c r="CM9" s="15">
        <v>-9.5554349157474378E-3</v>
      </c>
      <c r="CN9" s="15">
        <v>-3.1511899508967982E-2</v>
      </c>
      <c r="CO9" s="15">
        <v>-2.2619031528730349E-2</v>
      </c>
      <c r="CP9" s="15">
        <v>0.13265560934539161</v>
      </c>
      <c r="CQ9" s="15">
        <v>0.1330727797426777</v>
      </c>
      <c r="CR9" s="15">
        <v>-1.4956408370414089E-2</v>
      </c>
      <c r="CS9" s="15">
        <v>-3.3419937997587537E-2</v>
      </c>
      <c r="CT9" s="15">
        <v>1.228120855821169E-2</v>
      </c>
      <c r="CU9" s="15">
        <v>0.11681498356736621</v>
      </c>
      <c r="CV9" s="15">
        <v>-3.1589453565969692E-3</v>
      </c>
      <c r="CW9" s="15">
        <v>3.8217758352757383E-2</v>
      </c>
      <c r="CX9" s="15">
        <v>0.13917409482071269</v>
      </c>
      <c r="CY9" s="15">
        <v>-2.3712287606589749E-2</v>
      </c>
      <c r="CZ9" s="15">
        <v>0.21835291106172269</v>
      </c>
      <c r="DA9" s="15">
        <v>-5.796736233046404E-2</v>
      </c>
      <c r="DB9" s="15">
        <v>-1.410421852050941E-2</v>
      </c>
      <c r="DC9" s="15">
        <v>0.11395608079284369</v>
      </c>
      <c r="DD9" s="15">
        <v>7.4472261891957006E-2</v>
      </c>
      <c r="DE9" s="15">
        <v>-8.9969275376677231E-4</v>
      </c>
      <c r="DF9" s="15">
        <v>9.7707180382245536E-4</v>
      </c>
      <c r="DG9" s="15">
        <v>-7.2980095070914866E-2</v>
      </c>
      <c r="DH9" s="15">
        <v>-2.384528684741952E-2</v>
      </c>
      <c r="DI9" s="15">
        <v>-0.101530671996864</v>
      </c>
      <c r="DJ9" s="15">
        <v>2.7692536462605249E-2</v>
      </c>
      <c r="DK9" s="15">
        <v>-4.9335152901351147E-2</v>
      </c>
      <c r="DL9" s="15">
        <v>-5.6993575669654463E-3</v>
      </c>
      <c r="DM9" s="15">
        <v>-3.698176006290884E-2</v>
      </c>
      <c r="DN9" s="15">
        <v>0.1098129862949979</v>
      </c>
      <c r="DO9" s="15">
        <v>4.2036825231170707E-2</v>
      </c>
      <c r="DP9" s="15">
        <v>8.4566668006112469E-2</v>
      </c>
      <c r="DQ9" s="15">
        <v>-0.11027981086457481</v>
      </c>
      <c r="DR9" s="15">
        <v>9.4328709127723676E-2</v>
      </c>
      <c r="DS9" s="15">
        <v>-7.1906912609422696E-2</v>
      </c>
      <c r="DT9" s="15">
        <v>-9.6236429507091506E-2</v>
      </c>
      <c r="DU9" s="15">
        <v>2.3455494098847921E-3</v>
      </c>
      <c r="DV9" s="15">
        <v>0.13401742358239299</v>
      </c>
      <c r="DW9" s="15">
        <v>9.4732519114383587E-2</v>
      </c>
      <c r="DX9" s="15">
        <v>-0.1037731978548066</v>
      </c>
      <c r="DY9" s="15">
        <v>7.5762154171076845E-2</v>
      </c>
      <c r="DZ9" s="15">
        <v>-3.1829720434029513E-2</v>
      </c>
      <c r="EA9" s="15">
        <v>0.16130801932992569</v>
      </c>
      <c r="EB9" s="15">
        <v>1.020353315832318E-2</v>
      </c>
      <c r="EC9" s="15">
        <v>7.3988425168607055E-2</v>
      </c>
      <c r="ED9" s="15">
        <v>-0.15737687498945321</v>
      </c>
      <c r="EE9" s="15">
        <v>7.9137553498671423E-2</v>
      </c>
      <c r="EF9" s="15">
        <v>7.252854687485949E-2</v>
      </c>
    </row>
    <row r="10" spans="1:136">
      <c r="B10" t="s">
        <v>137</v>
      </c>
      <c r="C10" s="15">
        <v>-0.24758870953733739</v>
      </c>
      <c r="D10" s="15">
        <v>-0.27469330301591988</v>
      </c>
      <c r="E10" s="15">
        <v>-8.4648385226775952E-2</v>
      </c>
      <c r="F10" s="15">
        <v>2.264463125499239E-2</v>
      </c>
      <c r="G10" s="15">
        <v>-4.968000079578011E-2</v>
      </c>
      <c r="H10" s="15">
        <v>-0.100759633161552</v>
      </c>
      <c r="I10" s="15">
        <v>-1.2522721374844691E-2</v>
      </c>
      <c r="J10" s="15">
        <v>7.8736550465264579E-2</v>
      </c>
      <c r="K10" s="15">
        <v>-3.418510024326199E-2</v>
      </c>
      <c r="L10" s="15">
        <v>8.8406797789969321E-2</v>
      </c>
      <c r="M10" s="15">
        <v>-3.063454560011507E-3</v>
      </c>
      <c r="N10" s="15">
        <v>-0.21221799304980321</v>
      </c>
      <c r="O10" s="15">
        <v>-3.6805388582279122E-2</v>
      </c>
      <c r="P10" s="15">
        <v>7.1033118877316462E-2</v>
      </c>
      <c r="Q10" s="15">
        <v>-7.1261132998910126E-2</v>
      </c>
      <c r="R10" s="15">
        <v>2.1560446706208151E-2</v>
      </c>
      <c r="S10" s="15">
        <v>0.10111125807516751</v>
      </c>
      <c r="T10" s="15">
        <v>4.3224739792793003E-2</v>
      </c>
      <c r="U10" s="15">
        <v>1.488194958969411E-2</v>
      </c>
      <c r="V10" s="15">
        <v>6.3260243037239986E-3</v>
      </c>
      <c r="W10" s="15">
        <v>-0.1435529784595129</v>
      </c>
      <c r="X10" s="15">
        <v>-6.4282172013507929E-2</v>
      </c>
      <c r="Y10" s="15">
        <v>-1.9034202878042191E-2</v>
      </c>
      <c r="Z10" s="15">
        <v>-2.0644556245472189E-2</v>
      </c>
      <c r="AA10" s="15">
        <v>3.3059540377865217E-2</v>
      </c>
      <c r="AB10" s="15">
        <v>-1.9418226776777941E-2</v>
      </c>
      <c r="AC10" s="15">
        <v>-6.3126838764061721E-2</v>
      </c>
      <c r="AD10" s="15">
        <v>-6.5629712146108229E-2</v>
      </c>
      <c r="AE10" s="15">
        <v>0.1379956892668254</v>
      </c>
      <c r="AF10" s="15">
        <v>-0.1005679184552228</v>
      </c>
      <c r="AG10" s="15">
        <v>-3.7969091150733998E-2</v>
      </c>
      <c r="AH10" s="15">
        <v>-4.5839537807496208E-2</v>
      </c>
      <c r="AI10" s="15">
        <v>-5.1034095516539722E-2</v>
      </c>
      <c r="AJ10" s="15">
        <v>-3.2204408877165632E-3</v>
      </c>
      <c r="AK10" s="15">
        <v>4.8952958975013116E-4</v>
      </c>
      <c r="AL10" s="15">
        <v>-0.1064467536119352</v>
      </c>
      <c r="AM10" s="15">
        <v>-1.3723973583554899E-2</v>
      </c>
      <c r="AN10" s="15">
        <v>-0.1219647076543238</v>
      </c>
      <c r="AO10" s="15">
        <v>-4.858966597382592E-2</v>
      </c>
      <c r="AP10" s="15">
        <v>-1.903150433663008E-3</v>
      </c>
      <c r="AQ10" s="15">
        <v>2.9067484813314101E-2</v>
      </c>
      <c r="AR10" s="15">
        <v>5.2635776863899968E-2</v>
      </c>
      <c r="AS10" s="15">
        <v>-1.289325857571229E-2</v>
      </c>
      <c r="AT10" s="15">
        <v>-2.131134772842519E-3</v>
      </c>
      <c r="AU10" s="15">
        <v>-0.15538438197178719</v>
      </c>
      <c r="AV10" s="15">
        <v>1.268178414302561E-2</v>
      </c>
      <c r="AW10" s="15">
        <v>-1.1942321618877561E-2</v>
      </c>
      <c r="AX10" s="15">
        <v>-4.2537914968475456E-3</v>
      </c>
      <c r="AY10" s="15">
        <v>2.930087158954232E-2</v>
      </c>
      <c r="AZ10" s="15">
        <v>-0.13412750113921701</v>
      </c>
      <c r="BA10" s="15">
        <v>-0.13711152966130111</v>
      </c>
      <c r="BB10" s="15">
        <v>1.7546605068716691E-3</v>
      </c>
      <c r="BC10" s="15">
        <v>2.5117126105990401E-2</v>
      </c>
      <c r="BD10" s="15">
        <v>-0.11960190660895841</v>
      </c>
      <c r="BE10" s="15">
        <v>0.1357616496399312</v>
      </c>
      <c r="BF10" s="15">
        <v>4.7091161676368357E-2</v>
      </c>
      <c r="BG10" s="15">
        <v>-2.605004393557599E-2</v>
      </c>
      <c r="BH10" s="15">
        <v>4.3752773670266483E-2</v>
      </c>
      <c r="BI10" s="15">
        <v>-8.1391827895093402E-2</v>
      </c>
      <c r="BJ10" s="15">
        <v>-0.10060082155953699</v>
      </c>
      <c r="BK10" s="15">
        <v>9.0490079041763594E-2</v>
      </c>
      <c r="BL10" s="15">
        <v>-3.0898458704964389E-2</v>
      </c>
      <c r="BM10" s="15">
        <v>5.8814186622603987E-2</v>
      </c>
      <c r="BN10" s="15">
        <v>8.1345639246770615E-2</v>
      </c>
      <c r="BO10" s="15">
        <v>-7.7164168976593351E-3</v>
      </c>
      <c r="BP10" s="15">
        <v>0.1067348704344353</v>
      </c>
      <c r="BQ10" s="15">
        <v>-2.7156341096342261E-2</v>
      </c>
      <c r="BR10" s="15">
        <v>-5.4431018659150447E-2</v>
      </c>
      <c r="BS10" s="15">
        <v>-6.822927751511014E-2</v>
      </c>
      <c r="BT10" s="15">
        <v>9.8612222991557266E-2</v>
      </c>
      <c r="BU10" s="15">
        <v>0.1283985422991091</v>
      </c>
      <c r="BV10" s="15">
        <v>-7.8402519476778718E-2</v>
      </c>
      <c r="BW10" s="15">
        <v>-0.1191337216524913</v>
      </c>
      <c r="BX10" s="15">
        <v>-4.6890096077604589E-2</v>
      </c>
      <c r="BY10" s="15">
        <v>0.10169834364209621</v>
      </c>
      <c r="BZ10" s="15">
        <v>-2.5680084240218899E-2</v>
      </c>
      <c r="CA10" s="15">
        <v>-8.3301790010408508E-2</v>
      </c>
      <c r="CB10" s="15">
        <v>-0.15782764847875469</v>
      </c>
      <c r="CC10" s="15">
        <v>-7.1052571704280934E-2</v>
      </c>
      <c r="CD10" s="15">
        <v>-7.3875492145199798E-2</v>
      </c>
      <c r="CE10" s="15">
        <v>-0.23678647002516851</v>
      </c>
      <c r="CF10" s="15">
        <v>3.2627706277002622E-2</v>
      </c>
      <c r="CG10" s="15">
        <v>1.3423084626575861E-2</v>
      </c>
      <c r="CH10" s="15">
        <v>-2.7966658799032269E-3</v>
      </c>
      <c r="CI10" s="15">
        <v>4.7925699911805238E-2</v>
      </c>
      <c r="CJ10" s="15">
        <v>-3.2520192681292038E-3</v>
      </c>
      <c r="CK10" s="15">
        <v>-7.570819035307215E-2</v>
      </c>
      <c r="CL10" s="15">
        <v>-4.439725585073561E-2</v>
      </c>
      <c r="CM10" s="15">
        <v>0.17898858319392719</v>
      </c>
      <c r="CN10" s="15">
        <v>5.799426642317386E-2</v>
      </c>
      <c r="CO10" s="15">
        <v>-0.13939018969183081</v>
      </c>
      <c r="CP10" s="15">
        <v>6.4714670503515537E-2</v>
      </c>
      <c r="CQ10" s="15">
        <v>-0.18118788880647541</v>
      </c>
      <c r="CR10" s="15">
        <v>-8.8633532328162568E-2</v>
      </c>
      <c r="CS10" s="15">
        <v>-2.532177470861038E-2</v>
      </c>
      <c r="CT10" s="15">
        <v>-0.11307907407472829</v>
      </c>
      <c r="CU10" s="15">
        <v>8.095957294189474E-3</v>
      </c>
      <c r="CV10" s="15">
        <v>-4.5200208394220349E-2</v>
      </c>
      <c r="CW10" s="15">
        <v>-5.8941225467328592E-2</v>
      </c>
      <c r="CX10" s="15">
        <v>-0.1077283016776811</v>
      </c>
      <c r="CY10" s="15">
        <v>-9.6503499496267492E-2</v>
      </c>
      <c r="CZ10" s="15">
        <v>-0.2103543453191653</v>
      </c>
      <c r="DA10" s="15">
        <v>-0.10996113735654101</v>
      </c>
      <c r="DB10" s="15">
        <v>-0.1908204716293295</v>
      </c>
      <c r="DC10" s="15">
        <v>-2.0727272402408872E-2</v>
      </c>
      <c r="DD10" s="15">
        <v>8.7029095351123936E-2</v>
      </c>
      <c r="DE10" s="15">
        <v>8.2024592921593045E-2</v>
      </c>
      <c r="DF10" s="15">
        <v>-0.166876664789437</v>
      </c>
      <c r="DG10" s="15">
        <v>0.22243808581717431</v>
      </c>
      <c r="DH10" s="15">
        <v>-0.144297746243673</v>
      </c>
      <c r="DI10" s="15">
        <v>-0.1196199522370443</v>
      </c>
      <c r="DJ10" s="15">
        <v>-0.10159274396951661</v>
      </c>
      <c r="DK10" s="15">
        <v>9.2855058740681395E-2</v>
      </c>
      <c r="DL10" s="15">
        <v>-4.2630490096108087E-2</v>
      </c>
      <c r="DM10" s="15">
        <v>8.2732072899953643E-2</v>
      </c>
      <c r="DN10" s="15">
        <v>-3.1049452465540091E-2</v>
      </c>
      <c r="DO10" s="15">
        <v>-9.8141990492640205E-2</v>
      </c>
      <c r="DP10" s="15">
        <v>-0.13058888143944061</v>
      </c>
      <c r="DQ10" s="15">
        <v>4.8655718251279387E-2</v>
      </c>
      <c r="DR10" s="15">
        <v>-3.9251909935401189E-2</v>
      </c>
      <c r="DS10" s="15">
        <v>-0.1610301993932845</v>
      </c>
      <c r="DT10" s="15">
        <v>-7.8883966483063367E-2</v>
      </c>
      <c r="DU10" s="15">
        <v>0.16407715854109439</v>
      </c>
      <c r="DV10" s="15">
        <v>7.5052515397744431E-3</v>
      </c>
      <c r="DW10" s="15">
        <v>-0.1016452501185193</v>
      </c>
      <c r="DX10" s="15">
        <v>-5.6040292492535823E-2</v>
      </c>
      <c r="DY10" s="15">
        <v>-0.1066566396478186</v>
      </c>
      <c r="DZ10" s="15">
        <v>-6.9186575508287662E-2</v>
      </c>
      <c r="EA10" s="15">
        <v>-0.12618865773840809</v>
      </c>
      <c r="EB10" s="15">
        <v>-6.4737118328050736E-2</v>
      </c>
      <c r="EC10" s="15">
        <v>5.142607344157852E-2</v>
      </c>
      <c r="ED10" s="15">
        <v>3.4496728436731378E-2</v>
      </c>
      <c r="EE10" s="15">
        <v>0.15767759835539891</v>
      </c>
      <c r="EF10" s="15">
        <v>-0.12718001699129389</v>
      </c>
    </row>
    <row r="11" spans="1:136">
      <c r="B11" t="s">
        <v>138</v>
      </c>
      <c r="C11" s="15">
        <v>-5.4244781267602057E-2</v>
      </c>
      <c r="D11" s="15">
        <v>4.5377022463556939E-2</v>
      </c>
      <c r="E11" s="15">
        <v>-1.7752272607948309E-2</v>
      </c>
      <c r="F11" s="15">
        <v>-8.7687354470119203E-2</v>
      </c>
      <c r="G11" s="15">
        <v>0.1027592597916023</v>
      </c>
      <c r="H11" s="15">
        <v>2.5113717342445511E-3</v>
      </c>
      <c r="I11" s="15">
        <v>-1.8303552483615069E-2</v>
      </c>
      <c r="J11" s="15">
        <v>2.2110525104917209E-2</v>
      </c>
      <c r="K11" s="15">
        <v>7.7258045731841044E-2</v>
      </c>
      <c r="L11" s="15">
        <v>9.3440783982297517E-3</v>
      </c>
      <c r="M11" s="15">
        <v>5.3602181204841143E-2</v>
      </c>
      <c r="N11" s="15">
        <v>-6.7877357290963961E-2</v>
      </c>
      <c r="O11" s="15">
        <v>6.4929886491987929E-2</v>
      </c>
      <c r="P11" s="15">
        <v>4.8806817542238106E-3</v>
      </c>
      <c r="Q11" s="15">
        <v>1.919781824762783E-2</v>
      </c>
      <c r="R11" s="15">
        <v>-5.4653492448842392E-3</v>
      </c>
      <c r="S11" s="15">
        <v>3.6551467134004201E-2</v>
      </c>
      <c r="T11" s="15">
        <v>0.12918506866843241</v>
      </c>
      <c r="U11" s="15">
        <v>1.369240766293847E-2</v>
      </c>
      <c r="V11" s="15">
        <v>1.529525194063162E-2</v>
      </c>
      <c r="W11" s="15">
        <v>-0.10468571910271469</v>
      </c>
      <c r="X11" s="15">
        <v>-0.29384805056845642</v>
      </c>
      <c r="Y11" s="15">
        <v>5.9212485033458218E-2</v>
      </c>
      <c r="Z11" s="15">
        <v>-0.18494831245363619</v>
      </c>
      <c r="AA11" s="15">
        <v>9.8247438772127521E-2</v>
      </c>
      <c r="AB11" s="15">
        <v>-6.5734107189282197E-4</v>
      </c>
      <c r="AC11" s="15">
        <v>-0.1036861156532312</v>
      </c>
      <c r="AD11" s="15">
        <v>3.5450938075395509E-3</v>
      </c>
      <c r="AE11" s="15">
        <v>0.17560148677061019</v>
      </c>
      <c r="AF11" s="15">
        <v>-0.1550331010885124</v>
      </c>
      <c r="AG11" s="15">
        <v>-2.6328625232284051E-2</v>
      </c>
      <c r="AH11" s="15">
        <v>-4.9988101579694936E-3</v>
      </c>
      <c r="AI11" s="15">
        <v>2.8067714594873169E-2</v>
      </c>
      <c r="AJ11" s="15">
        <v>-2.2384193940381401E-2</v>
      </c>
      <c r="AK11" s="15">
        <v>-4.7020825392250949E-2</v>
      </c>
      <c r="AL11" s="15">
        <v>-0.10156151199043489</v>
      </c>
      <c r="AM11" s="15">
        <v>2.3525148704495701E-2</v>
      </c>
      <c r="AN11" s="15">
        <v>5.2525230105422573E-2</v>
      </c>
      <c r="AO11" s="15">
        <v>5.8502893637957562E-2</v>
      </c>
      <c r="AP11" s="15">
        <v>3.3447356041428761E-2</v>
      </c>
      <c r="AQ11" s="15">
        <v>1.430036545094069E-2</v>
      </c>
      <c r="AR11" s="15">
        <v>3.5903594729592501E-2</v>
      </c>
      <c r="AS11" s="15">
        <v>3.9782285287992311E-2</v>
      </c>
      <c r="AT11" s="15">
        <v>0.1484561956282951</v>
      </c>
      <c r="AU11" s="15">
        <v>-4.078729487218978E-2</v>
      </c>
      <c r="AV11" s="15">
        <v>0.13895895413073689</v>
      </c>
      <c r="AW11" s="15">
        <v>5.9863283397122782E-2</v>
      </c>
      <c r="AX11" s="15">
        <v>-0.1497898129881709</v>
      </c>
      <c r="AY11" s="15">
        <v>6.1595851435820623E-2</v>
      </c>
      <c r="AZ11" s="15">
        <v>-6.1949751488506538E-2</v>
      </c>
      <c r="BA11" s="15">
        <v>-2.389264381020083E-3</v>
      </c>
      <c r="BB11" s="15">
        <v>-0.14887029613688371</v>
      </c>
      <c r="BC11" s="15">
        <v>6.0350517971681748E-2</v>
      </c>
      <c r="BD11" s="15">
        <v>-1.468575255625916E-2</v>
      </c>
      <c r="BE11" s="15">
        <v>-0.14651529968819679</v>
      </c>
      <c r="BF11" s="15">
        <v>-0.2087626486148127</v>
      </c>
      <c r="BG11" s="15">
        <v>-0.20144325578474859</v>
      </c>
      <c r="BH11" s="15">
        <v>-0.11804991677814031</v>
      </c>
      <c r="BI11" s="15">
        <v>-7.7026576071686378E-2</v>
      </c>
      <c r="BJ11" s="15">
        <v>-3.6220317042829728E-2</v>
      </c>
      <c r="BK11" s="15">
        <v>-1.8907268725092598E-2</v>
      </c>
      <c r="BL11" s="15">
        <v>-0.17125563757433929</v>
      </c>
      <c r="BM11" s="15">
        <v>0.13291749710961351</v>
      </c>
      <c r="BN11" s="15">
        <v>-3.5907701607395578E-2</v>
      </c>
      <c r="BO11" s="15">
        <v>2.1344518209370389E-2</v>
      </c>
      <c r="BP11" s="15">
        <v>4.9634822871427897E-2</v>
      </c>
      <c r="BQ11" s="15">
        <v>-1.7211216417584319E-2</v>
      </c>
      <c r="BR11" s="15">
        <v>0.18982724311105359</v>
      </c>
      <c r="BS11" s="15">
        <v>-9.7605037382284945E-2</v>
      </c>
      <c r="BT11" s="15">
        <v>3.7831444138355132E-2</v>
      </c>
      <c r="BU11" s="15">
        <v>5.6008305208474198E-2</v>
      </c>
      <c r="BV11" s="15">
        <v>-0.1167370363031352</v>
      </c>
      <c r="BW11" s="15">
        <v>-0.1413229882478122</v>
      </c>
      <c r="BX11" s="15">
        <v>-3.3770258788579869E-3</v>
      </c>
      <c r="BY11" s="15">
        <v>0.13033606071126891</v>
      </c>
      <c r="BZ11" s="15">
        <v>3.1697731081681189E-2</v>
      </c>
      <c r="CA11" s="15">
        <v>4.0555037474470507E-2</v>
      </c>
      <c r="CB11" s="15">
        <v>-4.2037331365292897E-2</v>
      </c>
      <c r="CC11" s="15">
        <v>5.0013723389441531E-2</v>
      </c>
      <c r="CD11" s="15">
        <v>-6.8456279312897411E-2</v>
      </c>
      <c r="CE11" s="15">
        <v>-8.0832090081974353E-2</v>
      </c>
      <c r="CF11" s="15">
        <v>-1.948310790200239E-3</v>
      </c>
      <c r="CG11" s="15">
        <v>-0.1182090018050031</v>
      </c>
      <c r="CH11" s="15">
        <v>-3.67198859644461E-2</v>
      </c>
      <c r="CI11" s="15">
        <v>-8.3332793120616616E-2</v>
      </c>
      <c r="CJ11" s="15">
        <v>0.23067286701975129</v>
      </c>
      <c r="CK11" s="15">
        <v>0.1327785225954993</v>
      </c>
      <c r="CL11" s="15">
        <v>0.1412873189704931</v>
      </c>
      <c r="CM11" s="15">
        <v>-0.11268938730850959</v>
      </c>
      <c r="CN11" s="15">
        <v>0.22348855763592371</v>
      </c>
      <c r="CO11" s="15">
        <v>-0.10441916957268479</v>
      </c>
      <c r="CP11" s="15">
        <v>-1.442822447791231E-2</v>
      </c>
      <c r="CQ11" s="15">
        <v>-0.20723337326778599</v>
      </c>
      <c r="CR11" s="15">
        <v>-0.1348638695123113</v>
      </c>
      <c r="CS11" s="15">
        <v>7.3007738807373504E-2</v>
      </c>
      <c r="CT11" s="15">
        <v>-3.0218378407130288E-2</v>
      </c>
      <c r="CU11" s="15">
        <v>-0.28688917437274702</v>
      </c>
      <c r="CV11" s="15">
        <v>0.2307305381875536</v>
      </c>
      <c r="CW11" s="15">
        <v>9.1075698514216888E-2</v>
      </c>
      <c r="CX11" s="15">
        <v>-0.1224857321642277</v>
      </c>
      <c r="CY11" s="15">
        <v>7.8381925305362449E-2</v>
      </c>
      <c r="CZ11" s="15">
        <v>-4.5950103566863888E-2</v>
      </c>
      <c r="DA11" s="15">
        <v>8.2670164530151122E-2</v>
      </c>
      <c r="DB11" s="15">
        <v>0.14934927010032351</v>
      </c>
      <c r="DC11" s="15">
        <v>-4.7798705164587528E-2</v>
      </c>
      <c r="DD11" s="15">
        <v>-0.1645134604307108</v>
      </c>
      <c r="DE11" s="15">
        <v>-0.1105683533423189</v>
      </c>
      <c r="DF11" s="15">
        <v>5.7416867202733347E-2</v>
      </c>
      <c r="DG11" s="15">
        <v>-0.21489021548963169</v>
      </c>
      <c r="DH11" s="15">
        <v>6.2997155047871164E-2</v>
      </c>
      <c r="DI11" s="15">
        <v>6.7721109014009601E-2</v>
      </c>
      <c r="DJ11" s="15">
        <v>0.1188020770386063</v>
      </c>
      <c r="DK11" s="15">
        <v>7.2827306455158416E-3</v>
      </c>
      <c r="DL11" s="15">
        <v>7.1320599005857979E-2</v>
      </c>
      <c r="DM11" s="15">
        <v>2.1021900655620821E-2</v>
      </c>
      <c r="DN11" s="15">
        <v>-3.0403223939335849E-2</v>
      </c>
      <c r="DO11" s="15">
        <v>-9.694965661135331E-2</v>
      </c>
      <c r="DP11" s="15">
        <v>-0.23067649178859881</v>
      </c>
      <c r="DQ11" s="15">
        <v>0.238184312236043</v>
      </c>
      <c r="DR11" s="15">
        <v>3.5748752036958448E-3</v>
      </c>
      <c r="DS11" s="15">
        <v>0.13395561672683809</v>
      </c>
      <c r="DT11" s="15">
        <v>0.11510609642796051</v>
      </c>
      <c r="DU11" s="15">
        <v>0.1040797891887878</v>
      </c>
      <c r="DV11" s="15">
        <v>-5.4611063064875308E-2</v>
      </c>
      <c r="DW11" s="15">
        <v>-3.3290193961398547E-2</v>
      </c>
      <c r="DX11" s="15">
        <v>5.5094916778075383E-2</v>
      </c>
      <c r="DY11" s="15">
        <v>6.8793773385234666E-2</v>
      </c>
      <c r="DZ11" s="15">
        <v>1.4480773118257949E-2</v>
      </c>
      <c r="EA11" s="15">
        <v>-0.29313654086030699</v>
      </c>
      <c r="EB11" s="15">
        <v>-0.14097501940218221</v>
      </c>
      <c r="EC11" s="15">
        <v>-1.2209361583162239E-2</v>
      </c>
      <c r="ED11" s="15">
        <v>5.816768758959897E-2</v>
      </c>
      <c r="EE11" s="15">
        <v>-0.14440301349005499</v>
      </c>
      <c r="EF11" s="15">
        <v>-9.7009034240055067E-2</v>
      </c>
    </row>
    <row r="13" spans="1:136">
      <c r="A13" t="s">
        <v>199</v>
      </c>
      <c r="B13" t="s">
        <v>136</v>
      </c>
      <c r="C13" s="16">
        <f t="shared" ref="C13:AH13" si="0">(C3-C9)^2</f>
        <v>6.0490478646264313E-3</v>
      </c>
      <c r="D13" s="16">
        <f t="shared" si="0"/>
        <v>1.0317091782542384E-3</v>
      </c>
      <c r="E13" s="16">
        <f t="shared" si="0"/>
        <v>4.3294101694601843E-3</v>
      </c>
      <c r="F13" s="16">
        <f t="shared" si="0"/>
        <v>1.0840942291255103E-3</v>
      </c>
      <c r="G13" s="16">
        <f t="shared" si="0"/>
        <v>2.2608355693322017E-3</v>
      </c>
      <c r="H13" s="16">
        <f t="shared" si="0"/>
        <v>1.0035029504244597E-3</v>
      </c>
      <c r="I13" s="16">
        <f t="shared" si="0"/>
        <v>2.9134978169327346E-2</v>
      </c>
      <c r="J13" s="16">
        <f t="shared" si="0"/>
        <v>1.3282692922034775E-2</v>
      </c>
      <c r="K13" s="16">
        <f t="shared" si="0"/>
        <v>4.4071296792837699E-3</v>
      </c>
      <c r="L13" s="16">
        <f t="shared" si="0"/>
        <v>2.1994007252358993E-3</v>
      </c>
      <c r="M13" s="16">
        <f t="shared" si="0"/>
        <v>1.1747874598674721E-3</v>
      </c>
      <c r="N13" s="16">
        <f t="shared" si="0"/>
        <v>2.2837261806121431E-2</v>
      </c>
      <c r="O13" s="16">
        <f t="shared" si="0"/>
        <v>3.7553633328800298E-4</v>
      </c>
      <c r="P13" s="16">
        <f t="shared" si="0"/>
        <v>1.3275007083590426E-2</v>
      </c>
      <c r="Q13" s="16">
        <f t="shared" si="0"/>
        <v>9.5639245493509863E-3</v>
      </c>
      <c r="R13" s="16">
        <f t="shared" si="0"/>
        <v>1.2393632513006368E-3</v>
      </c>
      <c r="S13" s="16">
        <f t="shared" si="0"/>
        <v>2.1964803728156734E-2</v>
      </c>
      <c r="T13" s="16">
        <f t="shared" si="0"/>
        <v>1.5237178311848952E-2</v>
      </c>
      <c r="U13" s="16">
        <f t="shared" si="0"/>
        <v>8.5416227280246985E-4</v>
      </c>
      <c r="V13" s="16">
        <f t="shared" si="0"/>
        <v>8.0461126790110846E-3</v>
      </c>
      <c r="W13" s="16">
        <f t="shared" si="0"/>
        <v>1.0400116275498285E-2</v>
      </c>
      <c r="X13" s="16">
        <f t="shared" si="0"/>
        <v>2.5168597860855166E-2</v>
      </c>
      <c r="Y13" s="16">
        <f t="shared" si="0"/>
        <v>9.7601027900166594E-3</v>
      </c>
      <c r="Z13" s="16">
        <f t="shared" si="0"/>
        <v>4.8260779904065174E-2</v>
      </c>
      <c r="AA13" s="16">
        <f t="shared" si="0"/>
        <v>2.520924738382279E-2</v>
      </c>
      <c r="AB13" s="16">
        <f t="shared" si="0"/>
        <v>1.0109226817119323E-2</v>
      </c>
      <c r="AC13" s="16">
        <f t="shared" si="0"/>
        <v>1.7035991834602689E-2</v>
      </c>
      <c r="AD13" s="16">
        <f t="shared" si="0"/>
        <v>2.2147882273301856E-3</v>
      </c>
      <c r="AE13" s="16">
        <f t="shared" si="0"/>
        <v>1.7259000902176219E-2</v>
      </c>
      <c r="AF13" s="16">
        <f t="shared" si="0"/>
        <v>8.9173409209358998E-3</v>
      </c>
      <c r="AG13" s="16">
        <f t="shared" si="0"/>
        <v>2.0315892167556998E-2</v>
      </c>
      <c r="AH13" s="16">
        <f t="shared" si="0"/>
        <v>1.8901846975468994E-2</v>
      </c>
      <c r="AI13" s="16">
        <f t="shared" ref="AI13:BN13" si="1">(AI3-AI9)^2</f>
        <v>1.8081416239673251E-5</v>
      </c>
      <c r="AJ13" s="16">
        <f t="shared" si="1"/>
        <v>1.0614629462698456E-4</v>
      </c>
      <c r="AK13" s="16">
        <f t="shared" si="1"/>
        <v>2.193931008643912E-2</v>
      </c>
      <c r="AL13" s="16">
        <f t="shared" si="1"/>
        <v>3.8807381130292448E-4</v>
      </c>
      <c r="AM13" s="16">
        <f t="shared" si="1"/>
        <v>7.8210433902842092E-3</v>
      </c>
      <c r="AN13" s="16">
        <f t="shared" si="1"/>
        <v>3.0618627891727337E-2</v>
      </c>
      <c r="AO13" s="16">
        <f t="shared" si="1"/>
        <v>4.5367884601619319E-3</v>
      </c>
      <c r="AP13" s="16">
        <f t="shared" si="1"/>
        <v>2.7054588935450027E-2</v>
      </c>
      <c r="AQ13" s="16">
        <f t="shared" si="1"/>
        <v>5.5643037885592357E-3</v>
      </c>
      <c r="AR13" s="16">
        <f t="shared" si="1"/>
        <v>6.356512333083634E-4</v>
      </c>
      <c r="AS13" s="16">
        <f t="shared" si="1"/>
        <v>1.2728299712796489E-5</v>
      </c>
      <c r="AT13" s="16">
        <f t="shared" si="1"/>
        <v>3.9523045820851149E-4</v>
      </c>
      <c r="AU13" s="16">
        <f t="shared" si="1"/>
        <v>5.4603261055387613E-5</v>
      </c>
      <c r="AV13" s="16">
        <f t="shared" si="1"/>
        <v>1.496632164053846E-2</v>
      </c>
      <c r="AW13" s="16">
        <f t="shared" si="1"/>
        <v>5.2699368016517208E-2</v>
      </c>
      <c r="AX13" s="16">
        <f t="shared" si="1"/>
        <v>9.1953763349667747E-3</v>
      </c>
      <c r="AY13" s="16">
        <f t="shared" si="1"/>
        <v>4.0769079143744639E-4</v>
      </c>
      <c r="AZ13" s="16">
        <f t="shared" si="1"/>
        <v>4.3743172949568653E-3</v>
      </c>
      <c r="BA13" s="16">
        <f t="shared" si="1"/>
        <v>1.7192488352749179E-3</v>
      </c>
      <c r="BB13" s="16">
        <f t="shared" si="1"/>
        <v>3.8168094167012603E-3</v>
      </c>
      <c r="BC13" s="16">
        <f t="shared" si="1"/>
        <v>4.6887266451624412E-4</v>
      </c>
      <c r="BD13" s="16">
        <f t="shared" si="1"/>
        <v>1.7029164630089574E-3</v>
      </c>
      <c r="BE13" s="16">
        <f t="shared" si="1"/>
        <v>3.7074270961365811E-4</v>
      </c>
      <c r="BF13" s="16">
        <f t="shared" si="1"/>
        <v>1.1384373466032771E-2</v>
      </c>
      <c r="BG13" s="16">
        <f t="shared" si="1"/>
        <v>1.3086752740392662E-2</v>
      </c>
      <c r="BH13" s="16">
        <f t="shared" si="1"/>
        <v>1.2314018596164738E-4</v>
      </c>
      <c r="BI13" s="16">
        <f t="shared" si="1"/>
        <v>1.9109876970942288E-3</v>
      </c>
      <c r="BJ13" s="16">
        <f t="shared" si="1"/>
        <v>1.1171143743391797E-2</v>
      </c>
      <c r="BK13" s="16">
        <f t="shared" si="1"/>
        <v>1.8047448090342963E-2</v>
      </c>
      <c r="BL13" s="16">
        <f t="shared" si="1"/>
        <v>1.818944134851654E-3</v>
      </c>
      <c r="BM13" s="16">
        <f t="shared" si="1"/>
        <v>4.6161438218044063E-3</v>
      </c>
      <c r="BN13" s="16">
        <f t="shared" si="1"/>
        <v>1.2836722182018585E-3</v>
      </c>
      <c r="BO13" s="16">
        <f t="shared" ref="BO13:CT13" si="2">(BO3-BO9)^2</f>
        <v>7.2749386600504096E-4</v>
      </c>
      <c r="BP13" s="16">
        <f t="shared" si="2"/>
        <v>4.9546428332686212E-3</v>
      </c>
      <c r="BQ13" s="16">
        <f t="shared" si="2"/>
        <v>3.8606192393176171E-4</v>
      </c>
      <c r="BR13" s="16">
        <f t="shared" si="2"/>
        <v>7.297018603864546E-4</v>
      </c>
      <c r="BS13" s="16">
        <f t="shared" si="2"/>
        <v>6.8457095213542846E-4</v>
      </c>
      <c r="BT13" s="16">
        <f t="shared" si="2"/>
        <v>1.1789819058541724E-5</v>
      </c>
      <c r="BU13" s="16">
        <f t="shared" si="2"/>
        <v>3.9825820428213138E-4</v>
      </c>
      <c r="BV13" s="16">
        <f t="shared" si="2"/>
        <v>1.7919765302275687E-3</v>
      </c>
      <c r="BW13" s="16">
        <f t="shared" si="2"/>
        <v>5.034736771604059E-3</v>
      </c>
      <c r="BX13" s="16">
        <f t="shared" si="2"/>
        <v>6.9043744053177503E-4</v>
      </c>
      <c r="BY13" s="16">
        <f t="shared" si="2"/>
        <v>1.2936014935362597E-2</v>
      </c>
      <c r="BZ13" s="16">
        <f t="shared" si="2"/>
        <v>1.0127097712114787E-2</v>
      </c>
      <c r="CA13" s="16">
        <f t="shared" si="2"/>
        <v>1.806526076073206E-2</v>
      </c>
      <c r="CB13" s="16">
        <f t="shared" si="2"/>
        <v>2.7355087564444226E-5</v>
      </c>
      <c r="CC13" s="16">
        <f t="shared" si="2"/>
        <v>8.4692094423245122E-3</v>
      </c>
      <c r="CD13" s="16">
        <f t="shared" si="2"/>
        <v>2.3616368974068179E-2</v>
      </c>
      <c r="CE13" s="16">
        <f t="shared" si="2"/>
        <v>3.6912444500173742E-4</v>
      </c>
      <c r="CF13" s="16">
        <f t="shared" si="2"/>
        <v>7.3527394051945728E-4</v>
      </c>
      <c r="CG13" s="16">
        <f t="shared" si="2"/>
        <v>4.0479639156836937E-3</v>
      </c>
      <c r="CH13" s="16">
        <f t="shared" si="2"/>
        <v>8.6000054411731093E-3</v>
      </c>
      <c r="CI13" s="16">
        <f t="shared" si="2"/>
        <v>1.8644643528430749E-2</v>
      </c>
      <c r="CJ13" s="16">
        <f t="shared" si="2"/>
        <v>1.5887461150872609E-3</v>
      </c>
      <c r="CK13" s="16">
        <f t="shared" si="2"/>
        <v>2.123339890425913E-4</v>
      </c>
      <c r="CL13" s="16">
        <f t="shared" si="2"/>
        <v>4.7729956529764278E-2</v>
      </c>
      <c r="CM13" s="16">
        <f t="shared" si="2"/>
        <v>4.4865897288867453E-3</v>
      </c>
      <c r="CN13" s="16">
        <f t="shared" si="2"/>
        <v>6.4613601241100844E-3</v>
      </c>
      <c r="CO13" s="16">
        <f t="shared" si="2"/>
        <v>4.772892448777856E-3</v>
      </c>
      <c r="CP13" s="16">
        <f t="shared" si="2"/>
        <v>7.6087805445894212E-3</v>
      </c>
      <c r="CQ13" s="16">
        <f t="shared" si="2"/>
        <v>8.0673919231032901E-3</v>
      </c>
      <c r="CR13" s="16">
        <f t="shared" si="2"/>
        <v>3.3394517254054174E-3</v>
      </c>
      <c r="CS13" s="16">
        <f t="shared" si="2"/>
        <v>5.5920890145102937E-3</v>
      </c>
      <c r="CT13" s="16">
        <f t="shared" si="2"/>
        <v>1.3147092795662657E-4</v>
      </c>
      <c r="CU13" s="16">
        <f t="shared" ref="CU13:DZ13" si="3">(CU3-CU9)^2</f>
        <v>6.0119571547728873E-3</v>
      </c>
      <c r="CV13" s="16">
        <f t="shared" si="3"/>
        <v>1.9496384888355585E-3</v>
      </c>
      <c r="CW13" s="16">
        <f t="shared" si="3"/>
        <v>2.3042376888239947E-6</v>
      </c>
      <c r="CX13" s="16">
        <f t="shared" si="3"/>
        <v>1.0081996386120319E-2</v>
      </c>
      <c r="CY13" s="16">
        <f t="shared" si="3"/>
        <v>3.7844420275146493E-3</v>
      </c>
      <c r="CZ13" s="16">
        <f t="shared" si="3"/>
        <v>3.0658486125028514E-2</v>
      </c>
      <c r="DA13" s="16">
        <f t="shared" si="3"/>
        <v>1.0571540836949944E-2</v>
      </c>
      <c r="DB13" s="16">
        <f t="shared" si="3"/>
        <v>3.3589014086442418E-3</v>
      </c>
      <c r="DC13" s="16">
        <f t="shared" si="3"/>
        <v>4.194514491526944E-3</v>
      </c>
      <c r="DD13" s="16">
        <f t="shared" si="3"/>
        <v>1.0466658140042867E-3</v>
      </c>
      <c r="DE13" s="16">
        <f t="shared" si="3"/>
        <v>2.3065633117202904E-3</v>
      </c>
      <c r="DF13" s="16">
        <f t="shared" si="3"/>
        <v>1.3765995915656702E-3</v>
      </c>
      <c r="DG13" s="16">
        <f t="shared" si="3"/>
        <v>1.2384837418241776E-2</v>
      </c>
      <c r="DH13" s="16">
        <f t="shared" si="3"/>
        <v>3.9759371452362845E-3</v>
      </c>
      <c r="DI13" s="16">
        <f t="shared" si="3"/>
        <v>2.3190792499662955E-2</v>
      </c>
      <c r="DJ13" s="16">
        <f t="shared" si="3"/>
        <v>4.6806278880742253E-4</v>
      </c>
      <c r="DK13" s="16">
        <f t="shared" si="3"/>
        <v>9.1865303762708149E-3</v>
      </c>
      <c r="DL13" s="16">
        <f t="shared" si="3"/>
        <v>2.3017792226591488E-3</v>
      </c>
      <c r="DM13" s="16">
        <f t="shared" si="3"/>
        <v>4.8006915625428675E-3</v>
      </c>
      <c r="DN13" s="16">
        <f t="shared" si="3"/>
        <v>4.0628588758604258E-3</v>
      </c>
      <c r="DO13" s="16">
        <f t="shared" si="3"/>
        <v>4.158217272550852E-5</v>
      </c>
      <c r="DP13" s="16">
        <f t="shared" si="3"/>
        <v>1.4856789554821344E-3</v>
      </c>
      <c r="DQ13" s="16">
        <f t="shared" si="3"/>
        <v>2.3968373073069177E-2</v>
      </c>
      <c r="DR13" s="16">
        <f t="shared" si="3"/>
        <v>2.4903530919074112E-3</v>
      </c>
      <c r="DS13" s="16">
        <f t="shared" si="3"/>
        <v>1.3122501688237137E-2</v>
      </c>
      <c r="DT13" s="16">
        <f t="shared" si="3"/>
        <v>2.0256978844528643E-2</v>
      </c>
      <c r="DU13" s="16">
        <f t="shared" si="3"/>
        <v>1.663215767222066E-3</v>
      </c>
      <c r="DV13" s="16">
        <f t="shared" si="3"/>
        <v>8.5874213119707856E-3</v>
      </c>
      <c r="DW13" s="16">
        <f t="shared" si="3"/>
        <v>2.9544428424270915E-3</v>
      </c>
      <c r="DX13" s="16">
        <f t="shared" si="3"/>
        <v>2.250414899497653E-2</v>
      </c>
      <c r="DY13" s="16">
        <f t="shared" si="3"/>
        <v>9.2838390943818965E-4</v>
      </c>
      <c r="DZ13" s="16">
        <f t="shared" si="3"/>
        <v>4.8764909273575794E-3</v>
      </c>
      <c r="EA13" s="16">
        <f t="shared" ref="EA13:EF13" si="4">(EA3-EA9)^2</f>
        <v>1.3917103704428497E-2</v>
      </c>
      <c r="EB13" s="16">
        <f t="shared" si="4"/>
        <v>6.5323907818609867E-4</v>
      </c>
      <c r="EC13" s="16">
        <f t="shared" si="4"/>
        <v>1.8607616821487056E-3</v>
      </c>
      <c r="ED13" s="16">
        <f t="shared" si="4"/>
        <v>3.8983577112592968E-2</v>
      </c>
      <c r="EE13" s="16">
        <f t="shared" si="4"/>
        <v>1.2791376702100366E-3</v>
      </c>
      <c r="EF13" s="16">
        <f t="shared" si="4"/>
        <v>6.8658203986350999E-4</v>
      </c>
    </row>
    <row r="14" spans="1:136">
      <c r="B14" t="s">
        <v>137</v>
      </c>
      <c r="C14" s="16">
        <f t="shared" ref="C14:AH14" si="5">(C4-C10)^2</f>
        <v>5.046394270147999E-2</v>
      </c>
      <c r="D14" s="16">
        <f t="shared" si="5"/>
        <v>5.8643551366033324E-2</v>
      </c>
      <c r="E14" s="16">
        <f t="shared" si="5"/>
        <v>3.8851900074012408E-3</v>
      </c>
      <c r="F14" s="16">
        <f t="shared" si="5"/>
        <v>2.8433884528919679E-3</v>
      </c>
      <c r="G14" s="16">
        <f t="shared" si="5"/>
        <v>2.9191898005439062E-4</v>
      </c>
      <c r="H14" s="16">
        <f t="shared" si="5"/>
        <v>5.3987762301002445E-3</v>
      </c>
      <c r="I14" s="16">
        <f t="shared" si="5"/>
        <v>5.8816201533791544E-4</v>
      </c>
      <c r="J14" s="16">
        <f t="shared" si="5"/>
        <v>1.3382824518446652E-2</v>
      </c>
      <c r="K14" s="16">
        <f t="shared" si="5"/>
        <v>2.7253500684076672E-8</v>
      </c>
      <c r="L14" s="16">
        <f t="shared" si="5"/>
        <v>1.526429826019826E-2</v>
      </c>
      <c r="M14" s="16">
        <f t="shared" si="5"/>
        <v>1.1106836490719096E-3</v>
      </c>
      <c r="N14" s="16">
        <f t="shared" si="5"/>
        <v>3.3969383539488446E-2</v>
      </c>
      <c r="O14" s="16">
        <f t="shared" si="5"/>
        <v>4.6138705176646054E-6</v>
      </c>
      <c r="P14" s="16">
        <f t="shared" si="5"/>
        <v>1.1705116139793807E-2</v>
      </c>
      <c r="Q14" s="16">
        <f t="shared" si="5"/>
        <v>1.5221392427929501E-3</v>
      </c>
      <c r="R14" s="16">
        <f t="shared" si="5"/>
        <v>2.8957432054941778E-3</v>
      </c>
      <c r="S14" s="16">
        <f t="shared" si="5"/>
        <v>1.7167407654845583E-2</v>
      </c>
      <c r="T14" s="16">
        <f t="shared" si="5"/>
        <v>5.2463483685997953E-3</v>
      </c>
      <c r="U14" s="16">
        <f t="shared" si="5"/>
        <v>1.9032411118796392E-3</v>
      </c>
      <c r="V14" s="16">
        <f t="shared" si="5"/>
        <v>1.1794902282501957E-3</v>
      </c>
      <c r="W14" s="16">
        <f t="shared" si="5"/>
        <v>1.3483599249719889E-2</v>
      </c>
      <c r="X14" s="16">
        <f t="shared" si="5"/>
        <v>1.2614966032750711E-3</v>
      </c>
      <c r="Y14" s="16">
        <f t="shared" si="5"/>
        <v>1.455789490381657E-4</v>
      </c>
      <c r="Z14" s="16">
        <f t="shared" si="5"/>
        <v>9.0038016536017097E-5</v>
      </c>
      <c r="AA14" s="16">
        <f t="shared" si="5"/>
        <v>3.9445971675278043E-3</v>
      </c>
      <c r="AB14" s="16">
        <f t="shared" si="5"/>
        <v>1.046014372907241E-4</v>
      </c>
      <c r="AC14" s="16">
        <f t="shared" si="5"/>
        <v>1.1262038010281465E-3</v>
      </c>
      <c r="AD14" s="16">
        <f t="shared" si="5"/>
        <v>1.3457297785863425E-3</v>
      </c>
      <c r="AE14" s="16">
        <f t="shared" si="5"/>
        <v>2.7865864447371803E-2</v>
      </c>
      <c r="AF14" s="16">
        <f t="shared" si="5"/>
        <v>5.133848019630214E-3</v>
      </c>
      <c r="AG14" s="16">
        <f t="shared" si="5"/>
        <v>9.3696131500809271E-5</v>
      </c>
      <c r="AH14" s="16">
        <f t="shared" si="5"/>
        <v>7.2897966675468688E-4</v>
      </c>
      <c r="AI14" s="16">
        <f t="shared" ref="AI14:BN14" si="6">(AI4-AI10)^2</f>
        <v>1.0660098005508825E-4</v>
      </c>
      <c r="AJ14" s="16">
        <f t="shared" si="6"/>
        <v>9.5581585356517324E-4</v>
      </c>
      <c r="AK14" s="16">
        <f t="shared" si="6"/>
        <v>7.9814068780754597E-4</v>
      </c>
      <c r="AL14" s="16">
        <f t="shared" si="6"/>
        <v>6.3190705028554756E-3</v>
      </c>
      <c r="AM14" s="16">
        <f t="shared" si="6"/>
        <v>2.5680715723993842E-4</v>
      </c>
      <c r="AN14" s="16">
        <f t="shared" si="6"/>
        <v>8.5338971406429889E-3</v>
      </c>
      <c r="AO14" s="16">
        <f t="shared" si="6"/>
        <v>1.6240010675675157E-4</v>
      </c>
      <c r="AP14" s="16">
        <f t="shared" si="6"/>
        <v>1.1119137859170638E-3</v>
      </c>
      <c r="AQ14" s="16">
        <f t="shared" si="6"/>
        <v>2.6268085727919753E-3</v>
      </c>
      <c r="AR14" s="16">
        <f t="shared" si="6"/>
        <v>6.1740141212742383E-3</v>
      </c>
      <c r="AS14" s="16">
        <f t="shared" si="6"/>
        <v>2.8506442618548948E-4</v>
      </c>
      <c r="AT14" s="16">
        <f t="shared" si="6"/>
        <v>5.422354255577562E-4</v>
      </c>
      <c r="AU14" s="16">
        <f t="shared" si="6"/>
        <v>1.5509624006244001E-2</v>
      </c>
      <c r="AV14" s="16">
        <f t="shared" si="6"/>
        <v>2.0346782140886802E-3</v>
      </c>
      <c r="AW14" s="16">
        <f t="shared" si="6"/>
        <v>2.1637400534667495E-4</v>
      </c>
      <c r="AX14" s="16">
        <f t="shared" si="6"/>
        <v>4.9052393057027761E-4</v>
      </c>
      <c r="AY14" s="16">
        <f t="shared" si="6"/>
        <v>4.0319005531114453E-3</v>
      </c>
      <c r="AZ14" s="16">
        <f t="shared" si="6"/>
        <v>1.143517823459623E-2</v>
      </c>
      <c r="BA14" s="16">
        <f t="shared" si="6"/>
        <v>1.1171779102032658E-2</v>
      </c>
      <c r="BB14" s="16">
        <f t="shared" si="6"/>
        <v>1.259711916076088E-3</v>
      </c>
      <c r="BC14" s="16">
        <f t="shared" si="6"/>
        <v>3.0791478503101144E-3</v>
      </c>
      <c r="BD14" s="16">
        <f t="shared" si="6"/>
        <v>7.8096207353388668E-3</v>
      </c>
      <c r="BE14" s="16">
        <f t="shared" si="6"/>
        <v>2.8455406477696066E-2</v>
      </c>
      <c r="BF14" s="16">
        <f t="shared" si="6"/>
        <v>6.0517989732777428E-3</v>
      </c>
      <c r="BG14" s="16">
        <f t="shared" si="6"/>
        <v>3.5860831611713126E-5</v>
      </c>
      <c r="BH14" s="16">
        <f t="shared" si="6"/>
        <v>5.4284066364010692E-3</v>
      </c>
      <c r="BI14" s="16">
        <f t="shared" si="6"/>
        <v>2.5070251021365795E-3</v>
      </c>
      <c r="BJ14" s="16">
        <f t="shared" si="6"/>
        <v>4.9090886606662438E-3</v>
      </c>
      <c r="BK14" s="16">
        <f t="shared" si="6"/>
        <v>1.5182657726445481E-2</v>
      </c>
      <c r="BL14" s="16">
        <f t="shared" si="6"/>
        <v>1.4944983567015198E-8</v>
      </c>
      <c r="BM14" s="16">
        <f t="shared" si="6"/>
        <v>8.2300713812674727E-3</v>
      </c>
      <c r="BN14" s="16">
        <f t="shared" si="6"/>
        <v>8.6134271777425237E-3</v>
      </c>
      <c r="BO14" s="16">
        <f t="shared" ref="BO14:CT14" si="7">(BO4-BO10)^2</f>
        <v>2.1679869447119825E-4</v>
      </c>
      <c r="BP14" s="16">
        <f t="shared" si="7"/>
        <v>1.7654366194698623E-2</v>
      </c>
      <c r="BQ14" s="16">
        <f t="shared" si="7"/>
        <v>3.1171596299894956E-5</v>
      </c>
      <c r="BR14" s="16">
        <f t="shared" si="7"/>
        <v>1.879973201766752E-3</v>
      </c>
      <c r="BS14" s="16">
        <f t="shared" si="7"/>
        <v>1.2029681927906285E-3</v>
      </c>
      <c r="BT14" s="16">
        <f t="shared" si="7"/>
        <v>1.5495266674470523E-2</v>
      </c>
      <c r="BU14" s="16">
        <f t="shared" si="7"/>
        <v>2.695160351825223E-2</v>
      </c>
      <c r="BV14" s="16">
        <f t="shared" si="7"/>
        <v>2.0062715775032813E-3</v>
      </c>
      <c r="BW14" s="16">
        <f t="shared" si="7"/>
        <v>9.0954656479658759E-3</v>
      </c>
      <c r="BX14" s="16">
        <f t="shared" si="7"/>
        <v>2.1037017306693533E-4</v>
      </c>
      <c r="BY14" s="16">
        <f t="shared" si="7"/>
        <v>1.7807950635608895E-2</v>
      </c>
      <c r="BZ14" s="16">
        <f t="shared" si="7"/>
        <v>1.0085471012879215E-4</v>
      </c>
      <c r="CA14" s="16">
        <f t="shared" si="7"/>
        <v>2.5961183125764171E-3</v>
      </c>
      <c r="CB14" s="16">
        <f t="shared" si="7"/>
        <v>1.780247325627041E-2</v>
      </c>
      <c r="CC14" s="16">
        <f t="shared" si="7"/>
        <v>1.7554259373412247E-3</v>
      </c>
      <c r="CD14" s="16">
        <f t="shared" si="7"/>
        <v>2.2858503407128805E-3</v>
      </c>
      <c r="CE14" s="16">
        <f t="shared" si="7"/>
        <v>4.2140671652845095E-2</v>
      </c>
      <c r="CF14" s="16">
        <f t="shared" si="7"/>
        <v>3.9924468172681934E-3</v>
      </c>
      <c r="CG14" s="16">
        <f t="shared" si="7"/>
        <v>1.9342908585116881E-3</v>
      </c>
      <c r="CH14" s="16">
        <f t="shared" si="7"/>
        <v>8.0650779339946281E-4</v>
      </c>
      <c r="CI14" s="16">
        <f t="shared" si="7"/>
        <v>6.2288582259446366E-3</v>
      </c>
      <c r="CJ14" s="16">
        <f t="shared" si="7"/>
        <v>8.8092813805271456E-4</v>
      </c>
      <c r="CK14" s="16">
        <f t="shared" si="7"/>
        <v>1.9161405557908402E-3</v>
      </c>
      <c r="CL14" s="16">
        <f t="shared" si="7"/>
        <v>1.6853015059740923E-4</v>
      </c>
      <c r="CM14" s="16">
        <f t="shared" si="7"/>
        <v>4.3874408198498228E-2</v>
      </c>
      <c r="CN14" s="16">
        <f t="shared" si="7"/>
        <v>8.0180024317499689E-3</v>
      </c>
      <c r="CO14" s="16">
        <f t="shared" si="7"/>
        <v>1.1859898840087917E-2</v>
      </c>
      <c r="CP14" s="16">
        <f t="shared" si="7"/>
        <v>8.9865479578013011E-3</v>
      </c>
      <c r="CQ14" s="16">
        <f t="shared" si="7"/>
        <v>2.2300109685157454E-2</v>
      </c>
      <c r="CR14" s="16">
        <f t="shared" si="7"/>
        <v>3.4772523504829861E-3</v>
      </c>
      <c r="CS14" s="16">
        <f t="shared" si="7"/>
        <v>2.8862450223416873E-5</v>
      </c>
      <c r="CT14" s="16">
        <f t="shared" si="7"/>
        <v>8.0890457244280189E-3</v>
      </c>
      <c r="CU14" s="16">
        <f t="shared" ref="CU14:DZ14" si="8">(CU4-CU10)^2</f>
        <v>1.2584756742731512E-3</v>
      </c>
      <c r="CV14" s="16">
        <f t="shared" si="8"/>
        <v>2.796787171703079E-4</v>
      </c>
      <c r="CW14" s="16">
        <f t="shared" si="8"/>
        <v>7.134950879985585E-4</v>
      </c>
      <c r="CX14" s="16">
        <f t="shared" si="8"/>
        <v>6.409164694244328E-3</v>
      </c>
      <c r="CY14" s="16">
        <f t="shared" si="8"/>
        <v>4.7194538155412797E-3</v>
      </c>
      <c r="CZ14" s="16">
        <f t="shared" si="8"/>
        <v>3.4003018618679576E-2</v>
      </c>
      <c r="DA14" s="16">
        <f t="shared" si="8"/>
        <v>6.6044605225397809E-3</v>
      </c>
      <c r="DB14" s="16">
        <f t="shared" si="8"/>
        <v>2.4812759640625189E-2</v>
      </c>
      <c r="DC14" s="16">
        <f t="shared" si="8"/>
        <v>1.3895352100750147E-4</v>
      </c>
      <c r="DD14" s="16">
        <f t="shared" si="8"/>
        <v>1.4211916015720969E-2</v>
      </c>
      <c r="DE14" s="16">
        <f t="shared" si="8"/>
        <v>1.2480047321022777E-2</v>
      </c>
      <c r="DF14" s="16">
        <f t="shared" si="8"/>
        <v>1.872433919923145E-2</v>
      </c>
      <c r="DG14" s="16">
        <f t="shared" si="8"/>
        <v>6.2534453434022197E-2</v>
      </c>
      <c r="DH14" s="16">
        <f t="shared" si="8"/>
        <v>1.3182852435682426E-2</v>
      </c>
      <c r="DI14" s="16">
        <f t="shared" si="8"/>
        <v>8.0609548994563934E-3</v>
      </c>
      <c r="DJ14" s="16">
        <f t="shared" si="8"/>
        <v>5.103730327899493E-3</v>
      </c>
      <c r="DK14" s="16">
        <f t="shared" si="8"/>
        <v>1.5071497473089944E-2</v>
      </c>
      <c r="DL14" s="16">
        <f t="shared" si="8"/>
        <v>1.5063770301685978E-4</v>
      </c>
      <c r="DM14" s="16">
        <f t="shared" si="8"/>
        <v>1.2329877199098721E-2</v>
      </c>
      <c r="DN14" s="16">
        <f t="shared" si="8"/>
        <v>1.3131238657423644E-5</v>
      </c>
      <c r="DO14" s="16">
        <f t="shared" si="8"/>
        <v>4.8277072289185695E-3</v>
      </c>
      <c r="DP14" s="16">
        <f t="shared" si="8"/>
        <v>1.0810633606003085E-2</v>
      </c>
      <c r="DQ14" s="16">
        <f t="shared" si="8"/>
        <v>5.8186186972046059E-3</v>
      </c>
      <c r="DR14" s="16">
        <f t="shared" si="8"/>
        <v>1.1173868784326204E-4</v>
      </c>
      <c r="DS14" s="16">
        <f t="shared" si="8"/>
        <v>1.768000090558456E-2</v>
      </c>
      <c r="DT14" s="16">
        <f t="shared" si="8"/>
        <v>2.5409462013195401E-3</v>
      </c>
      <c r="DU14" s="16">
        <f t="shared" si="8"/>
        <v>3.6943970033651768E-2</v>
      </c>
      <c r="DV14" s="16">
        <f t="shared" si="8"/>
        <v>1.2652919368583222E-3</v>
      </c>
      <c r="DW14" s="16">
        <f t="shared" si="8"/>
        <v>5.6944514212074852E-3</v>
      </c>
      <c r="DX14" s="16">
        <f t="shared" si="8"/>
        <v>8.0980364730347948E-4</v>
      </c>
      <c r="DY14" s="16">
        <f t="shared" si="8"/>
        <v>5.9148491446589435E-3</v>
      </c>
      <c r="DZ14" s="16">
        <f t="shared" si="8"/>
        <v>1.9816774686733283E-3</v>
      </c>
      <c r="EA14" s="16">
        <f t="shared" ref="EA14:EF14" si="9">(EA4-EA10)^2</f>
        <v>1.0001665111677851E-2</v>
      </c>
      <c r="EB14" s="16">
        <f t="shared" si="9"/>
        <v>1.4774348305087587E-3</v>
      </c>
      <c r="EC14" s="16">
        <f t="shared" si="9"/>
        <v>6.2369428505855392E-3</v>
      </c>
      <c r="ED14" s="16">
        <f t="shared" si="9"/>
        <v>3.4119426701752476E-3</v>
      </c>
      <c r="EE14" s="16">
        <f t="shared" si="9"/>
        <v>3.5857092595243445E-2</v>
      </c>
      <c r="EF14" s="16">
        <f t="shared" si="9"/>
        <v>9.6406487359396685E-3</v>
      </c>
    </row>
    <row r="15" spans="1:136">
      <c r="B15" t="s">
        <v>138</v>
      </c>
      <c r="C15" s="16">
        <f t="shared" ref="C15:AH15" si="10">(C5-C11)^2</f>
        <v>2.752230851977872E-3</v>
      </c>
      <c r="D15" s="16">
        <f t="shared" si="10"/>
        <v>2.6199034247459739E-3</v>
      </c>
      <c r="E15" s="16">
        <f t="shared" si="10"/>
        <v>1.5137704127718519E-4</v>
      </c>
      <c r="F15" s="16">
        <f t="shared" si="10"/>
        <v>6.8261644194726901E-3</v>
      </c>
      <c r="G15" s="16">
        <f t="shared" si="10"/>
        <v>1.2054913797735651E-2</v>
      </c>
      <c r="H15" s="16">
        <f t="shared" si="10"/>
        <v>6.7955371181332804E-5</v>
      </c>
      <c r="I15" s="16">
        <f t="shared" si="10"/>
        <v>1.8902168406648859E-4</v>
      </c>
      <c r="J15" s="16">
        <f t="shared" si="10"/>
        <v>8.2663247212368281E-4</v>
      </c>
      <c r="K15" s="16">
        <f t="shared" si="10"/>
        <v>7.1190899474931606E-3</v>
      </c>
      <c r="L15" s="16">
        <f t="shared" si="10"/>
        <v>2.0927974851925985E-4</v>
      </c>
      <c r="M15" s="16">
        <f t="shared" si="10"/>
        <v>3.6255831475343735E-3</v>
      </c>
      <c r="N15" s="16">
        <f t="shared" si="10"/>
        <v>5.4403221062527566E-3</v>
      </c>
      <c r="O15" s="16">
        <f t="shared" si="10"/>
        <v>1.898346481098389E-3</v>
      </c>
      <c r="P15" s="16">
        <f t="shared" si="10"/>
        <v>1.2059374568852668E-5</v>
      </c>
      <c r="Q15" s="16">
        <f t="shared" si="10"/>
        <v>2.6866885441704299E-4</v>
      </c>
      <c r="R15" s="16">
        <f t="shared" si="10"/>
        <v>1.1441411426174961E-6</v>
      </c>
      <c r="S15" s="16">
        <f t="shared" si="10"/>
        <v>1.5911786001957153E-3</v>
      </c>
      <c r="T15" s="16">
        <f t="shared" si="10"/>
        <v>1.5431797447480656E-2</v>
      </c>
      <c r="U15" s="16">
        <f t="shared" si="10"/>
        <v>1.0715818533067281E-4</v>
      </c>
      <c r="V15" s="16">
        <f t="shared" si="10"/>
        <v>2.155375514233168E-4</v>
      </c>
      <c r="W15" s="16">
        <f t="shared" si="10"/>
        <v>1.1152164581841118E-2</v>
      </c>
      <c r="X15" s="16">
        <f t="shared" si="10"/>
        <v>8.3536830755230509E-2</v>
      </c>
      <c r="Y15" s="16">
        <f t="shared" si="10"/>
        <v>4.7359138988220875E-3</v>
      </c>
      <c r="Z15" s="16">
        <f t="shared" si="10"/>
        <v>3.3034709360781261E-2</v>
      </c>
      <c r="AA15" s="16">
        <f t="shared" si="10"/>
        <v>1.1871829619553227E-2</v>
      </c>
      <c r="AB15" s="16">
        <f t="shared" si="10"/>
        <v>5.4022609415102819E-5</v>
      </c>
      <c r="AC15" s="16">
        <f t="shared" si="10"/>
        <v>8.8314159841582068E-3</v>
      </c>
      <c r="AD15" s="16">
        <f t="shared" si="10"/>
        <v>2.3975483537220688E-4</v>
      </c>
      <c r="AE15" s="16">
        <f t="shared" si="10"/>
        <v>3.4116307591444517E-2</v>
      </c>
      <c r="AF15" s="16">
        <f t="shared" si="10"/>
        <v>2.2444842126819912E-2</v>
      </c>
      <c r="AG15" s="16">
        <f t="shared" si="10"/>
        <v>3.8477548857915095E-4</v>
      </c>
      <c r="AH15" s="16">
        <f t="shared" si="10"/>
        <v>5.8436828137840836E-7</v>
      </c>
      <c r="AI15" s="16">
        <f t="shared" ref="AI15:BN15" si="11">(AI5-AI11)^2</f>
        <v>1.0093420318684748E-3</v>
      </c>
      <c r="AJ15" s="16">
        <f t="shared" si="11"/>
        <v>3.5951079779460176E-4</v>
      </c>
      <c r="AK15" s="16">
        <f t="shared" si="11"/>
        <v>1.7633425456998338E-3</v>
      </c>
      <c r="AL15" s="16">
        <f t="shared" si="11"/>
        <v>9.2556831772245898E-3</v>
      </c>
      <c r="AM15" s="16">
        <f t="shared" si="11"/>
        <v>9.3150241198998365E-4</v>
      </c>
      <c r="AN15" s="16">
        <f t="shared" si="11"/>
        <v>2.9668974867755929E-3</v>
      </c>
      <c r="AO15" s="16">
        <f t="shared" si="11"/>
        <v>4.1292272027669864E-3</v>
      </c>
      <c r="AP15" s="16">
        <f t="shared" si="11"/>
        <v>1.5202863972012348E-3</v>
      </c>
      <c r="AQ15" s="16">
        <f t="shared" si="11"/>
        <v>2.3034642656898676E-4</v>
      </c>
      <c r="AR15" s="16">
        <f t="shared" si="11"/>
        <v>1.5693226894474908E-3</v>
      </c>
      <c r="AS15" s="16">
        <f t="shared" si="11"/>
        <v>1.7312384520680713E-3</v>
      </c>
      <c r="AT15" s="16">
        <f t="shared" si="11"/>
        <v>1.72195204355697E-2</v>
      </c>
      <c r="AU15" s="16">
        <f t="shared" si="11"/>
        <v>1.1548496685426066E-3</v>
      </c>
      <c r="AV15" s="16">
        <f t="shared" si="11"/>
        <v>1.6525731138347682E-2</v>
      </c>
      <c r="AW15" s="16">
        <f t="shared" si="11"/>
        <v>5.1185641982612884E-3</v>
      </c>
      <c r="AX15" s="16">
        <f t="shared" si="11"/>
        <v>1.9237513296419605E-2</v>
      </c>
      <c r="AY15" s="16">
        <f t="shared" si="11"/>
        <v>3.8877999923070611E-3</v>
      </c>
      <c r="AZ15" s="16">
        <f t="shared" si="11"/>
        <v>5.2851032050432187E-3</v>
      </c>
      <c r="BA15" s="16">
        <f t="shared" si="11"/>
        <v>1.0778859900443061E-6</v>
      </c>
      <c r="BB15" s="16">
        <f t="shared" si="11"/>
        <v>1.9978969200416776E-2</v>
      </c>
      <c r="BC15" s="16">
        <f t="shared" si="11"/>
        <v>3.4095089790023895E-3</v>
      </c>
      <c r="BD15" s="16">
        <f t="shared" si="11"/>
        <v>8.5238827111233741E-6</v>
      </c>
      <c r="BE15" s="16">
        <f t="shared" si="11"/>
        <v>1.9801972314519092E-2</v>
      </c>
      <c r="BF15" s="16">
        <f t="shared" si="11"/>
        <v>4.3833934990949841E-2</v>
      </c>
      <c r="BG15" s="16">
        <f t="shared" si="11"/>
        <v>3.7689848236057748E-2</v>
      </c>
      <c r="BH15" s="16">
        <f t="shared" si="11"/>
        <v>1.2924903740469578E-2</v>
      </c>
      <c r="BI15" s="16">
        <f t="shared" si="11"/>
        <v>6.030433726286373E-3</v>
      </c>
      <c r="BJ15" s="16">
        <f t="shared" si="11"/>
        <v>1.3233411202092937E-3</v>
      </c>
      <c r="BK15" s="16">
        <f t="shared" si="11"/>
        <v>1.1038544113151888E-4</v>
      </c>
      <c r="BL15" s="16">
        <f t="shared" si="11"/>
        <v>2.8936990599003468E-2</v>
      </c>
      <c r="BM15" s="16">
        <f t="shared" si="11"/>
        <v>1.8459719869594257E-2</v>
      </c>
      <c r="BN15" s="16">
        <f t="shared" si="11"/>
        <v>1.2458856001748653E-3</v>
      </c>
      <c r="BO15" s="16">
        <f t="shared" ref="BO15:CT15" si="12">(BO5-BO11)^2</f>
        <v>6.712721064111569E-4</v>
      </c>
      <c r="BP15" s="16">
        <f t="shared" si="12"/>
        <v>2.4298040909592222E-3</v>
      </c>
      <c r="BQ15" s="16">
        <f t="shared" si="12"/>
        <v>3.3423449539635516E-4</v>
      </c>
      <c r="BR15" s="16">
        <f t="shared" si="12"/>
        <v>3.5850875982517655E-2</v>
      </c>
      <c r="BS15" s="16">
        <f t="shared" si="12"/>
        <v>9.3752464714970986E-3</v>
      </c>
      <c r="BT15" s="16">
        <f t="shared" si="12"/>
        <v>1.3878401054028468E-3</v>
      </c>
      <c r="BU15" s="16">
        <f t="shared" si="12"/>
        <v>3.6371800451516344E-3</v>
      </c>
      <c r="BV15" s="16">
        <f t="shared" si="12"/>
        <v>1.330435952837994E-2</v>
      </c>
      <c r="BW15" s="16">
        <f t="shared" si="12"/>
        <v>1.8952811964193936E-2</v>
      </c>
      <c r="BX15" s="16">
        <f t="shared" si="12"/>
        <v>1.9135881024564716E-6</v>
      </c>
      <c r="BY15" s="16">
        <f t="shared" si="12"/>
        <v>1.7693745241663728E-2</v>
      </c>
      <c r="BZ15" s="16">
        <f t="shared" si="12"/>
        <v>8.6860608798753941E-4</v>
      </c>
      <c r="CA15" s="16">
        <f t="shared" si="12"/>
        <v>3.398318130883868E-3</v>
      </c>
      <c r="CB15" s="16">
        <f t="shared" si="12"/>
        <v>5.5177587387615385E-4</v>
      </c>
      <c r="CC15" s="16">
        <f t="shared" si="12"/>
        <v>3.4772768340044684E-3</v>
      </c>
      <c r="CD15" s="16">
        <f t="shared" si="12"/>
        <v>3.8974407274176095E-3</v>
      </c>
      <c r="CE15" s="16">
        <f t="shared" si="12"/>
        <v>7.2853978763716947E-3</v>
      </c>
      <c r="CF15" s="16">
        <f t="shared" si="12"/>
        <v>9.0242106036261729E-6</v>
      </c>
      <c r="CG15" s="16">
        <f t="shared" si="12"/>
        <v>1.3709786437556899E-2</v>
      </c>
      <c r="CH15" s="16">
        <f t="shared" si="12"/>
        <v>1.1214090073795519E-3</v>
      </c>
      <c r="CI15" s="16">
        <f t="shared" si="12"/>
        <v>6.053443128425302E-3</v>
      </c>
      <c r="CJ15" s="16">
        <f t="shared" si="12"/>
        <v>5.1157614728723426E-2</v>
      </c>
      <c r="CK15" s="16">
        <f t="shared" si="12"/>
        <v>1.9286130010221409E-2</v>
      </c>
      <c r="CL15" s="16">
        <f t="shared" si="12"/>
        <v>2.2315073307390874E-2</v>
      </c>
      <c r="CM15" s="16">
        <f t="shared" si="12"/>
        <v>1.3862292654320763E-2</v>
      </c>
      <c r="CN15" s="16">
        <f t="shared" si="12"/>
        <v>5.0749774463500374E-2</v>
      </c>
      <c r="CO15" s="16">
        <f t="shared" si="12"/>
        <v>1.1488150803897956E-2</v>
      </c>
      <c r="CP15" s="16">
        <f t="shared" si="12"/>
        <v>1.1759778418147184E-4</v>
      </c>
      <c r="CQ15" s="16">
        <f t="shared" si="12"/>
        <v>4.100599892533751E-2</v>
      </c>
      <c r="CR15" s="16">
        <f t="shared" si="12"/>
        <v>1.8606685666733302E-2</v>
      </c>
      <c r="CS15" s="16">
        <f t="shared" si="12"/>
        <v>6.393268861870912E-3</v>
      </c>
      <c r="CT15" s="16">
        <f t="shared" si="12"/>
        <v>8.7251552741913054E-4</v>
      </c>
      <c r="CU15" s="16">
        <f t="shared" ref="CU15:DZ15" si="13">(CU5-CU11)^2</f>
        <v>8.0258468187136112E-2</v>
      </c>
      <c r="CV15" s="16">
        <f t="shared" si="13"/>
        <v>5.3680658003026863E-2</v>
      </c>
      <c r="CW15" s="16">
        <f t="shared" si="13"/>
        <v>8.9698157593633039E-3</v>
      </c>
      <c r="CX15" s="16">
        <f t="shared" si="13"/>
        <v>1.4635527526032355E-2</v>
      </c>
      <c r="CY15" s="16">
        <f t="shared" si="13"/>
        <v>6.5011327226038602E-3</v>
      </c>
      <c r="CZ15" s="16">
        <f t="shared" si="13"/>
        <v>2.0970886119985729E-3</v>
      </c>
      <c r="DA15" s="16">
        <f t="shared" si="13"/>
        <v>7.0832423790515983E-3</v>
      </c>
      <c r="DB15" s="16">
        <f t="shared" si="13"/>
        <v>2.3261921409236375E-2</v>
      </c>
      <c r="DC15" s="16">
        <f t="shared" si="13"/>
        <v>1.9268096983658862E-3</v>
      </c>
      <c r="DD15" s="16">
        <f t="shared" si="13"/>
        <v>2.55981797766669E-2</v>
      </c>
      <c r="DE15" s="16">
        <f t="shared" si="13"/>
        <v>1.1041020478797214E-2</v>
      </c>
      <c r="DF15" s="16">
        <f t="shared" si="13"/>
        <v>5.922732790392681E-3</v>
      </c>
      <c r="DG15" s="16">
        <f t="shared" si="13"/>
        <v>4.4014353695639857E-2</v>
      </c>
      <c r="DH15" s="16">
        <f t="shared" si="13"/>
        <v>4.5351764879868629E-3</v>
      </c>
      <c r="DI15" s="16">
        <f t="shared" si="13"/>
        <v>6.5608665330873011E-3</v>
      </c>
      <c r="DJ15" s="16">
        <f t="shared" si="13"/>
        <v>1.3542418291575936E-2</v>
      </c>
      <c r="DK15" s="16">
        <f t="shared" si="13"/>
        <v>2.426545666672192E-4</v>
      </c>
      <c r="DL15" s="16">
        <f t="shared" si="13"/>
        <v>5.7275234838153012E-3</v>
      </c>
      <c r="DM15" s="16">
        <f t="shared" si="13"/>
        <v>5.0459256608861793E-4</v>
      </c>
      <c r="DN15" s="16">
        <f t="shared" si="13"/>
        <v>7.1043740653936322E-4</v>
      </c>
      <c r="DO15" s="16">
        <f t="shared" si="13"/>
        <v>9.7585703957105453E-3</v>
      </c>
      <c r="DP15" s="16">
        <f t="shared" si="13"/>
        <v>5.1127155101720029E-2</v>
      </c>
      <c r="DQ15" s="16">
        <f t="shared" si="13"/>
        <v>5.8909332299091628E-2</v>
      </c>
      <c r="DR15" s="16">
        <f t="shared" si="13"/>
        <v>1.1381413751121409E-4</v>
      </c>
      <c r="DS15" s="16">
        <f t="shared" si="13"/>
        <v>1.8920769744300403E-2</v>
      </c>
      <c r="DT15" s="16">
        <f t="shared" si="13"/>
        <v>1.3497074104886937E-2</v>
      </c>
      <c r="DU15" s="16">
        <f t="shared" si="13"/>
        <v>1.2066774577261654E-2</v>
      </c>
      <c r="DV15" s="16">
        <f t="shared" si="13"/>
        <v>2.6478886888284818E-3</v>
      </c>
      <c r="DW15" s="16">
        <f t="shared" si="13"/>
        <v>6.9329792713401133E-4</v>
      </c>
      <c r="DX15" s="16">
        <f t="shared" si="13"/>
        <v>3.8126646967285862E-3</v>
      </c>
      <c r="DY15" s="16">
        <f t="shared" si="13"/>
        <v>5.1861153234976269E-3</v>
      </c>
      <c r="DZ15" s="16">
        <f t="shared" si="13"/>
        <v>2.6900228159829986E-4</v>
      </c>
      <c r="EA15" s="16">
        <f t="shared" ref="EA15:EF15" si="14">(EA5-EA11)^2</f>
        <v>8.4459819390819271E-2</v>
      </c>
      <c r="EB15" s="16">
        <f t="shared" si="14"/>
        <v>1.8627807861913294E-2</v>
      </c>
      <c r="EC15" s="16">
        <f t="shared" si="14"/>
        <v>5.8176560011652821E-5</v>
      </c>
      <c r="ED15" s="16">
        <f t="shared" si="14"/>
        <v>4.1891681046040494E-3</v>
      </c>
      <c r="EE15" s="16">
        <f t="shared" si="14"/>
        <v>1.9174849365121399E-2</v>
      </c>
      <c r="EF15" s="16">
        <f t="shared" si="14"/>
        <v>8.2410039337470365E-3</v>
      </c>
    </row>
    <row r="17" spans="1:136">
      <c r="A17" t="s">
        <v>200</v>
      </c>
      <c r="B17" t="s">
        <v>136</v>
      </c>
      <c r="C17" s="16">
        <f t="shared" ref="C17:AH17" si="15">C9^2</f>
        <v>1.1904082277860264E-2</v>
      </c>
      <c r="D17" s="16">
        <f t="shared" si="15"/>
        <v>2.1247676054046116E-4</v>
      </c>
      <c r="E17" s="16">
        <f t="shared" si="15"/>
        <v>1.3071374994951929E-3</v>
      </c>
      <c r="F17" s="16">
        <f t="shared" si="15"/>
        <v>2.2492264027630889E-5</v>
      </c>
      <c r="G17" s="16">
        <f t="shared" si="15"/>
        <v>3.3036666141783492E-5</v>
      </c>
      <c r="H17" s="16">
        <f t="shared" si="15"/>
        <v>2.4381891708842936E-3</v>
      </c>
      <c r="I17" s="16">
        <f t="shared" si="15"/>
        <v>3.3581210916677484E-2</v>
      </c>
      <c r="J17" s="16">
        <f t="shared" si="15"/>
        <v>1.3569060155122757E-2</v>
      </c>
      <c r="K17" s="16">
        <f t="shared" si="15"/>
        <v>9.3605069620112215E-4</v>
      </c>
      <c r="L17" s="16">
        <f t="shared" si="15"/>
        <v>3.9315162352171023E-4</v>
      </c>
      <c r="M17" s="16">
        <f t="shared" si="15"/>
        <v>4.4095826822239875E-4</v>
      </c>
      <c r="N17" s="16">
        <f t="shared" si="15"/>
        <v>2.2433876085478928E-2</v>
      </c>
      <c r="O17" s="16">
        <f t="shared" si="15"/>
        <v>2.3911693040638534E-4</v>
      </c>
      <c r="P17" s="16">
        <f t="shared" si="15"/>
        <v>8.4258302823047079E-3</v>
      </c>
      <c r="Q17" s="16">
        <f t="shared" si="15"/>
        <v>5.9921553092687051E-3</v>
      </c>
      <c r="R17" s="16">
        <f t="shared" si="15"/>
        <v>3.0004754709051702E-3</v>
      </c>
      <c r="S17" s="16">
        <f t="shared" si="15"/>
        <v>1.5708708491616E-2</v>
      </c>
      <c r="T17" s="16">
        <f t="shared" si="15"/>
        <v>1.4173716945580542E-2</v>
      </c>
      <c r="U17" s="16">
        <f t="shared" si="15"/>
        <v>1.4265767398050631E-3</v>
      </c>
      <c r="V17" s="16">
        <f t="shared" si="15"/>
        <v>6.5908131416074602E-3</v>
      </c>
      <c r="W17" s="16">
        <f t="shared" si="15"/>
        <v>7.0575066817627407E-3</v>
      </c>
      <c r="X17" s="16">
        <f t="shared" si="15"/>
        <v>2.1612338960948319E-2</v>
      </c>
      <c r="Y17" s="16">
        <f t="shared" si="15"/>
        <v>1.5715264241471783E-2</v>
      </c>
      <c r="Z17" s="16">
        <f t="shared" si="15"/>
        <v>3.6846166718653456E-2</v>
      </c>
      <c r="AA17" s="16">
        <f t="shared" si="15"/>
        <v>7.1184289266528374E-3</v>
      </c>
      <c r="AB17" s="16">
        <f t="shared" si="15"/>
        <v>5.3140620982757656E-3</v>
      </c>
      <c r="AC17" s="16">
        <f t="shared" si="15"/>
        <v>1.0527695785516851E-2</v>
      </c>
      <c r="AD17" s="16">
        <f t="shared" si="15"/>
        <v>2.4869817519127077E-4</v>
      </c>
      <c r="AE17" s="16">
        <f t="shared" si="15"/>
        <v>2.3106177330172069E-2</v>
      </c>
      <c r="AF17" s="16">
        <f t="shared" si="15"/>
        <v>3.5105923035905259E-3</v>
      </c>
      <c r="AG17" s="16">
        <f t="shared" si="15"/>
        <v>1.6915301264337771E-2</v>
      </c>
      <c r="AH17" s="16">
        <f t="shared" si="15"/>
        <v>1.328403665826966E-2</v>
      </c>
      <c r="AI17" s="16">
        <f t="shared" ref="AI17:BN17" si="16">AI9^2</f>
        <v>1.0631917918075163E-3</v>
      </c>
      <c r="AJ17" s="16">
        <f t="shared" si="16"/>
        <v>7.8395043318640434E-4</v>
      </c>
      <c r="AK17" s="16">
        <f t="shared" si="16"/>
        <v>2.1482887422166509E-2</v>
      </c>
      <c r="AL17" s="16">
        <f t="shared" si="16"/>
        <v>1.668062549107739E-3</v>
      </c>
      <c r="AM17" s="16">
        <f t="shared" si="16"/>
        <v>1.7259749824038686E-2</v>
      </c>
      <c r="AN17" s="16">
        <f t="shared" si="16"/>
        <v>4.9032555464976403E-2</v>
      </c>
      <c r="AO17" s="16">
        <f t="shared" si="16"/>
        <v>4.3852711121876225E-4</v>
      </c>
      <c r="AP17" s="16">
        <f t="shared" si="16"/>
        <v>1.8812851996102171E-2</v>
      </c>
      <c r="AQ17" s="16">
        <f t="shared" si="16"/>
        <v>6.1915646627000822E-4</v>
      </c>
      <c r="AR17" s="16">
        <f t="shared" si="16"/>
        <v>2.4068328718584233E-4</v>
      </c>
      <c r="AS17" s="16">
        <f t="shared" si="16"/>
        <v>1.1815056389704321E-3</v>
      </c>
      <c r="AT17" s="16">
        <f t="shared" si="16"/>
        <v>3.9810656089414309E-3</v>
      </c>
      <c r="AU17" s="16">
        <f t="shared" si="16"/>
        <v>1.8694983030806238E-3</v>
      </c>
      <c r="AV17" s="16">
        <f t="shared" si="16"/>
        <v>5.5101474414569638E-3</v>
      </c>
      <c r="AW17" s="16">
        <f t="shared" si="16"/>
        <v>7.8371035043392316E-4</v>
      </c>
      <c r="AX17" s="16">
        <f t="shared" si="16"/>
        <v>1.4367478657017244E-2</v>
      </c>
      <c r="AY17" s="16">
        <f t="shared" si="16"/>
        <v>5.8613679493322605E-3</v>
      </c>
      <c r="AZ17" s="16">
        <f t="shared" si="16"/>
        <v>4.7220968054589304E-4</v>
      </c>
      <c r="BA17" s="16">
        <f t="shared" si="16"/>
        <v>1.5536707046446584E-6</v>
      </c>
      <c r="BB17" s="16">
        <f t="shared" si="16"/>
        <v>1.0200156097581669E-2</v>
      </c>
      <c r="BC17" s="16">
        <f t="shared" si="16"/>
        <v>8.8964574469951819E-4</v>
      </c>
      <c r="BD17" s="16">
        <f t="shared" si="16"/>
        <v>7.5268956977767048E-5</v>
      </c>
      <c r="BE17" s="16">
        <f t="shared" si="16"/>
        <v>4.7000904970756216E-3</v>
      </c>
      <c r="BF17" s="16">
        <f t="shared" si="16"/>
        <v>2.4621562948682934E-2</v>
      </c>
      <c r="BG17" s="16">
        <f t="shared" si="16"/>
        <v>2.5345828645073384E-2</v>
      </c>
      <c r="BH17" s="16">
        <f t="shared" si="16"/>
        <v>3.7358582565093718E-3</v>
      </c>
      <c r="BI17" s="16">
        <f t="shared" si="16"/>
        <v>9.3921007423280172E-3</v>
      </c>
      <c r="BJ17" s="16">
        <f t="shared" si="16"/>
        <v>2.9971517217047563E-3</v>
      </c>
      <c r="BK17" s="16">
        <f t="shared" si="16"/>
        <v>7.6550185977651616E-3</v>
      </c>
      <c r="BL17" s="16">
        <f t="shared" si="16"/>
        <v>8.9164103340217925E-3</v>
      </c>
      <c r="BM17" s="16">
        <f t="shared" si="16"/>
        <v>4.9244308753160887E-4</v>
      </c>
      <c r="BN17" s="16">
        <f t="shared" si="16"/>
        <v>2.4425352677185161E-4</v>
      </c>
      <c r="BO17" s="16">
        <f t="shared" ref="BO17:CT17" si="17">BO9^2</f>
        <v>6.6289298211247571E-3</v>
      </c>
      <c r="BP17" s="16">
        <f t="shared" si="17"/>
        <v>3.4258094968395863E-4</v>
      </c>
      <c r="BQ17" s="16">
        <f t="shared" si="17"/>
        <v>4.7237535213055463E-3</v>
      </c>
      <c r="BR17" s="16">
        <f t="shared" si="17"/>
        <v>9.6246407867516525E-6</v>
      </c>
      <c r="BS17" s="16">
        <f t="shared" si="17"/>
        <v>5.6196639138378088E-3</v>
      </c>
      <c r="BT17" s="16">
        <f t="shared" si="17"/>
        <v>2.0431835304301382E-3</v>
      </c>
      <c r="BU17" s="16">
        <f t="shared" si="17"/>
        <v>6.5932524502488709E-4</v>
      </c>
      <c r="BV17" s="16">
        <f t="shared" si="17"/>
        <v>8.427980119369332E-3</v>
      </c>
      <c r="BW17" s="16">
        <f t="shared" si="17"/>
        <v>6.9453326513524774E-4</v>
      </c>
      <c r="BX17" s="16">
        <f t="shared" si="17"/>
        <v>3.7615951743202121E-4</v>
      </c>
      <c r="BY17" s="16">
        <f t="shared" si="17"/>
        <v>5.9042164483032638E-3</v>
      </c>
      <c r="BZ17" s="16">
        <f t="shared" si="17"/>
        <v>1.2839000623048005E-2</v>
      </c>
      <c r="CA17" s="16">
        <f t="shared" si="17"/>
        <v>1.1525082059920233E-2</v>
      </c>
      <c r="CB17" s="16">
        <f t="shared" si="17"/>
        <v>1.6682967477483388E-3</v>
      </c>
      <c r="CC17" s="16">
        <f t="shared" si="17"/>
        <v>3.9210767823715285E-4</v>
      </c>
      <c r="CD17" s="16">
        <f t="shared" si="17"/>
        <v>3.548592802252902E-2</v>
      </c>
      <c r="CE17" s="16">
        <f t="shared" si="17"/>
        <v>3.0885701458901937E-3</v>
      </c>
      <c r="CF17" s="16">
        <f t="shared" si="17"/>
        <v>5.6058275198580514E-3</v>
      </c>
      <c r="CG17" s="16">
        <f t="shared" si="17"/>
        <v>1.0000038380535725E-2</v>
      </c>
      <c r="CH17" s="16">
        <f t="shared" si="17"/>
        <v>1.850190885600296E-2</v>
      </c>
      <c r="CI17" s="16">
        <f t="shared" si="17"/>
        <v>8.7873778374468071E-3</v>
      </c>
      <c r="CJ17" s="16">
        <f t="shared" si="17"/>
        <v>1.5449609443997168E-5</v>
      </c>
      <c r="CK17" s="16">
        <f t="shared" si="17"/>
        <v>3.1931288133821255E-3</v>
      </c>
      <c r="CL17" s="16">
        <f t="shared" si="17"/>
        <v>6.9456377220562526E-2</v>
      </c>
      <c r="CM17" s="16">
        <f t="shared" si="17"/>
        <v>9.1306336429085243E-5</v>
      </c>
      <c r="CN17" s="16">
        <f t="shared" si="17"/>
        <v>9.9299981066329653E-4</v>
      </c>
      <c r="CO17" s="16">
        <f t="shared" si="17"/>
        <v>5.1162058729769763E-4</v>
      </c>
      <c r="CP17" s="16">
        <f t="shared" si="17"/>
        <v>1.7597510690797149E-2</v>
      </c>
      <c r="CQ17" s="16">
        <f t="shared" si="17"/>
        <v>1.7708364708443211E-2</v>
      </c>
      <c r="CR17" s="16">
        <f t="shared" si="17"/>
        <v>2.2369415134259262E-4</v>
      </c>
      <c r="CS17" s="16">
        <f t="shared" si="17"/>
        <v>1.1168922557625953E-3</v>
      </c>
      <c r="CT17" s="16">
        <f t="shared" si="17"/>
        <v>1.5082808365029206E-4</v>
      </c>
      <c r="CU17" s="16">
        <f t="shared" ref="CU17:DZ17" si="18">CU9^2</f>
        <v>1.3645740385844037E-2</v>
      </c>
      <c r="CV17" s="16">
        <f t="shared" si="18"/>
        <v>9.9789357659655527E-6</v>
      </c>
      <c r="CW17" s="16">
        <f t="shared" si="18"/>
        <v>1.4605970535097568E-3</v>
      </c>
      <c r="CX17" s="16">
        <f t="shared" si="18"/>
        <v>1.9369428669164728E-2</v>
      </c>
      <c r="CY17" s="16">
        <f t="shared" si="18"/>
        <v>5.6227258353762984E-4</v>
      </c>
      <c r="CZ17" s="16">
        <f t="shared" si="18"/>
        <v>4.7677993769128582E-2</v>
      </c>
      <c r="DA17" s="16">
        <f t="shared" si="18"/>
        <v>3.3602150955513014E-3</v>
      </c>
      <c r="DB17" s="16">
        <f t="shared" si="18"/>
        <v>1.9892898007428065E-4</v>
      </c>
      <c r="DC17" s="16">
        <f t="shared" si="18"/>
        <v>1.298598834966512E-2</v>
      </c>
      <c r="DD17" s="16">
        <f t="shared" si="18"/>
        <v>5.5461177913042319E-3</v>
      </c>
      <c r="DE17" s="16">
        <f t="shared" si="18"/>
        <v>8.0944705118043796E-7</v>
      </c>
      <c r="DF17" s="16">
        <f t="shared" si="18"/>
        <v>9.5466930982486662E-7</v>
      </c>
      <c r="DG17" s="16">
        <f t="shared" si="18"/>
        <v>5.3260942765597724E-3</v>
      </c>
      <c r="DH17" s="16">
        <f t="shared" si="18"/>
        <v>5.6859770483571833E-4</v>
      </c>
      <c r="DI17" s="16">
        <f t="shared" si="18"/>
        <v>1.0308477356134783E-2</v>
      </c>
      <c r="DJ17" s="16">
        <f t="shared" si="18"/>
        <v>7.6687657573272126E-4</v>
      </c>
      <c r="DK17" s="16">
        <f t="shared" si="18"/>
        <v>2.4339573117996964E-3</v>
      </c>
      <c r="DL17" s="16">
        <f t="shared" si="18"/>
        <v>3.248267667612629E-5</v>
      </c>
      <c r="DM17" s="16">
        <f t="shared" si="18"/>
        <v>1.3676505773505593E-3</v>
      </c>
      <c r="DN17" s="16">
        <f t="shared" si="18"/>
        <v>1.2058891959025398E-2</v>
      </c>
      <c r="DO17" s="16">
        <f t="shared" si="18"/>
        <v>1.7670946755159902E-3</v>
      </c>
      <c r="DP17" s="16">
        <f t="shared" si="18"/>
        <v>7.1515213376560464E-3</v>
      </c>
      <c r="DQ17" s="16">
        <f t="shared" si="18"/>
        <v>1.2161636684326392E-2</v>
      </c>
      <c r="DR17" s="16">
        <f t="shared" si="18"/>
        <v>8.8979053657027001E-3</v>
      </c>
      <c r="DS17" s="16">
        <f t="shared" si="18"/>
        <v>5.1706040810191528E-3</v>
      </c>
      <c r="DT17" s="16">
        <f t="shared" si="18"/>
        <v>9.2614503642733919E-3</v>
      </c>
      <c r="DU17" s="16">
        <f t="shared" si="18"/>
        <v>5.5016020342108963E-6</v>
      </c>
      <c r="DV17" s="16">
        <f t="shared" si="18"/>
        <v>1.7960669823662546E-2</v>
      </c>
      <c r="DW17" s="16">
        <f t="shared" si="18"/>
        <v>8.9742501777570517E-3</v>
      </c>
      <c r="DX17" s="16">
        <f t="shared" si="18"/>
        <v>1.0768876593012837E-2</v>
      </c>
      <c r="DY17" s="16">
        <f t="shared" si="18"/>
        <v>5.7399040046420165E-3</v>
      </c>
      <c r="DZ17" s="16">
        <f t="shared" si="18"/>
        <v>1.0131311029084758E-3</v>
      </c>
      <c r="EA17" s="16">
        <f t="shared" ref="EA17:EF17" si="19">EA9^2</f>
        <v>2.6020277100143683E-2</v>
      </c>
      <c r="EB17" s="16">
        <f t="shared" si="19"/>
        <v>1.0411208891300061E-4</v>
      </c>
      <c r="EC17" s="16">
        <f t="shared" si="19"/>
        <v>5.4742870589305657E-3</v>
      </c>
      <c r="ED17" s="16">
        <f t="shared" si="19"/>
        <v>2.4767480781445986E-2</v>
      </c>
      <c r="EE17" s="16">
        <f t="shared" si="19"/>
        <v>6.2627523737550815E-3</v>
      </c>
      <c r="EF17" s="16">
        <f t="shared" si="19"/>
        <v>5.2603901117786907E-3</v>
      </c>
    </row>
    <row r="18" spans="1:136">
      <c r="B18" t="s">
        <v>137</v>
      </c>
      <c r="C18" s="16">
        <f t="shared" ref="C18:AH18" si="20">C10^2</f>
        <v>6.1300169090364023E-2</v>
      </c>
      <c r="D18" s="16">
        <f t="shared" si="20"/>
        <v>7.5456410721795972E-2</v>
      </c>
      <c r="E18" s="16">
        <f t="shared" si="20"/>
        <v>7.1653491215006608E-3</v>
      </c>
      <c r="F18" s="16">
        <f t="shared" si="20"/>
        <v>5.1277932467457823E-4</v>
      </c>
      <c r="G18" s="16">
        <f t="shared" si="20"/>
        <v>2.4681024790687124E-3</v>
      </c>
      <c r="H18" s="16">
        <f t="shared" si="20"/>
        <v>1.0152503674850528E-2</v>
      </c>
      <c r="I18" s="16">
        <f t="shared" si="20"/>
        <v>1.568185506319921E-4</v>
      </c>
      <c r="J18" s="16">
        <f t="shared" si="20"/>
        <v>6.1994443791691554E-3</v>
      </c>
      <c r="K18" s="16">
        <f t="shared" si="20"/>
        <v>1.1686210786418709E-3</v>
      </c>
      <c r="L18" s="16">
        <f t="shared" si="20"/>
        <v>7.8157618954765237E-3</v>
      </c>
      <c r="M18" s="16">
        <f t="shared" si="20"/>
        <v>9.384753841255295E-6</v>
      </c>
      <c r="N18" s="16">
        <f t="shared" si="20"/>
        <v>4.5036476574086326E-2</v>
      </c>
      <c r="O18" s="16">
        <f t="shared" si="20"/>
        <v>1.3546366286925624E-3</v>
      </c>
      <c r="P18" s="16">
        <f t="shared" si="20"/>
        <v>5.0457039774389721E-3</v>
      </c>
      <c r="Q18" s="16">
        <f t="shared" si="20"/>
        <v>5.0781490762883581E-3</v>
      </c>
      <c r="R18" s="16">
        <f t="shared" si="20"/>
        <v>4.6485286217124193E-4</v>
      </c>
      <c r="S18" s="16">
        <f t="shared" si="20"/>
        <v>1.0223486509543127E-2</v>
      </c>
      <c r="T18" s="16">
        <f t="shared" si="20"/>
        <v>1.8683781301546628E-3</v>
      </c>
      <c r="U18" s="16">
        <f t="shared" si="20"/>
        <v>2.2147242359019667E-4</v>
      </c>
      <c r="V18" s="16">
        <f t="shared" si="20"/>
        <v>4.0018583491306699E-5</v>
      </c>
      <c r="W18" s="16">
        <f t="shared" si="20"/>
        <v>2.0607457624597373E-2</v>
      </c>
      <c r="X18" s="16">
        <f t="shared" si="20"/>
        <v>4.1321976387742217E-3</v>
      </c>
      <c r="Y18" s="16">
        <f t="shared" si="20"/>
        <v>3.6230087920246964E-4</v>
      </c>
      <c r="Z18" s="16">
        <f t="shared" si="20"/>
        <v>4.2619770257246479E-4</v>
      </c>
      <c r="AA18" s="16">
        <f t="shared" si="20"/>
        <v>1.0929332099957007E-3</v>
      </c>
      <c r="AB18" s="16">
        <f t="shared" si="20"/>
        <v>3.7706753115437583E-4</v>
      </c>
      <c r="AC18" s="16">
        <f t="shared" si="20"/>
        <v>3.9849977723438457E-3</v>
      </c>
      <c r="AD18" s="16">
        <f t="shared" si="20"/>
        <v>4.3072591163810263E-3</v>
      </c>
      <c r="AE18" s="16">
        <f t="shared" si="20"/>
        <v>1.9042810256226231E-2</v>
      </c>
      <c r="AF18" s="16">
        <f t="shared" si="20"/>
        <v>1.0113906222416341E-2</v>
      </c>
      <c r="AG18" s="16">
        <f t="shared" si="20"/>
        <v>1.4416518828127469E-3</v>
      </c>
      <c r="AH18" s="16">
        <f t="shared" si="20"/>
        <v>2.1012632264048744E-3</v>
      </c>
      <c r="AI18" s="16">
        <f t="shared" ref="AI18:BN18" si="21">AI10^2</f>
        <v>2.6044789051912999E-3</v>
      </c>
      <c r="AJ18" s="16">
        <f t="shared" si="21"/>
        <v>1.0371239511276646E-5</v>
      </c>
      <c r="AK18" s="16">
        <f t="shared" si="21"/>
        <v>2.3963921924093171E-7</v>
      </c>
      <c r="AL18" s="16">
        <f t="shared" si="21"/>
        <v>1.1330911354520039E-2</v>
      </c>
      <c r="AM18" s="16">
        <f t="shared" si="21"/>
        <v>1.883474509221127E-4</v>
      </c>
      <c r="AN18" s="16">
        <f t="shared" si="21"/>
        <v>1.4875389913204669E-2</v>
      </c>
      <c r="AO18" s="16">
        <f t="shared" si="21"/>
        <v>2.3609556394479764E-3</v>
      </c>
      <c r="AP18" s="16">
        <f t="shared" si="21"/>
        <v>3.6219815731516953E-6</v>
      </c>
      <c r="AQ18" s="16">
        <f t="shared" si="21"/>
        <v>8.4491867337224593E-4</v>
      </c>
      <c r="AR18" s="16">
        <f t="shared" si="21"/>
        <v>2.7705250060662671E-3</v>
      </c>
      <c r="AS18" s="16">
        <f t="shared" si="21"/>
        <v>1.6623611670017849E-4</v>
      </c>
      <c r="AT18" s="16">
        <f t="shared" si="21"/>
        <v>4.541735420018535E-6</v>
      </c>
      <c r="AU18" s="16">
        <f t="shared" si="21"/>
        <v>2.4144306160754265E-2</v>
      </c>
      <c r="AV18" s="16">
        <f t="shared" si="21"/>
        <v>1.6082764905029582E-4</v>
      </c>
      <c r="AW18" s="16">
        <f t="shared" si="21"/>
        <v>1.4261904564871037E-4</v>
      </c>
      <c r="AX18" s="16">
        <f t="shared" si="21"/>
        <v>1.8094742098652484E-5</v>
      </c>
      <c r="AY18" s="16">
        <f t="shared" si="21"/>
        <v>8.5854107590684829E-4</v>
      </c>
      <c r="AZ18" s="16">
        <f t="shared" si="21"/>
        <v>1.7990186561850662E-2</v>
      </c>
      <c r="BA18" s="16">
        <f t="shared" si="21"/>
        <v>1.8799571566061855E-2</v>
      </c>
      <c r="BB18" s="16">
        <f t="shared" si="21"/>
        <v>3.0788334943751427E-6</v>
      </c>
      <c r="BC18" s="16">
        <f t="shared" si="21"/>
        <v>6.3087002382422445E-4</v>
      </c>
      <c r="BD18" s="16">
        <f t="shared" si="21"/>
        <v>1.4304616064498009E-2</v>
      </c>
      <c r="BE18" s="16">
        <f t="shared" si="21"/>
        <v>1.8431225512955431E-2</v>
      </c>
      <c r="BF18" s="16">
        <f t="shared" si="21"/>
        <v>2.2175775080298639E-3</v>
      </c>
      <c r="BG18" s="16">
        <f t="shared" si="21"/>
        <v>6.7860478904543942E-4</v>
      </c>
      <c r="BH18" s="16">
        <f t="shared" si="21"/>
        <v>1.9143052038415641E-3</v>
      </c>
      <c r="BI18" s="16">
        <f t="shared" si="21"/>
        <v>6.6246296481045049E-3</v>
      </c>
      <c r="BJ18" s="16">
        <f t="shared" si="21"/>
        <v>1.0120525298453803E-2</v>
      </c>
      <c r="BK18" s="16">
        <f t="shared" si="21"/>
        <v>8.1884544049846235E-3</v>
      </c>
      <c r="BL18" s="16">
        <f t="shared" si="21"/>
        <v>9.5471475034238963E-4</v>
      </c>
      <c r="BM18" s="16">
        <f t="shared" si="21"/>
        <v>3.4591085480784899E-3</v>
      </c>
      <c r="BN18" s="16">
        <f t="shared" si="21"/>
        <v>6.617113024465748E-3</v>
      </c>
      <c r="BO18" s="16">
        <f t="shared" ref="BO18:CT18" si="22">BO10^2</f>
        <v>5.9543089738482516E-5</v>
      </c>
      <c r="BP18" s="16">
        <f t="shared" si="22"/>
        <v>1.1392332566655691E-2</v>
      </c>
      <c r="BQ18" s="16">
        <f t="shared" si="22"/>
        <v>7.3746686174088762E-4</v>
      </c>
      <c r="BR18" s="16">
        <f t="shared" si="22"/>
        <v>2.962735792272784E-3</v>
      </c>
      <c r="BS18" s="16">
        <f t="shared" si="22"/>
        <v>4.6552343102339144E-3</v>
      </c>
      <c r="BT18" s="16">
        <f t="shared" si="22"/>
        <v>9.7243705233366149E-3</v>
      </c>
      <c r="BU18" s="16">
        <f t="shared" si="22"/>
        <v>1.6486185664536111E-2</v>
      </c>
      <c r="BV18" s="16">
        <f t="shared" si="22"/>
        <v>6.1469550603066659E-3</v>
      </c>
      <c r="BW18" s="16">
        <f t="shared" si="22"/>
        <v>1.4192843634773274E-2</v>
      </c>
      <c r="BX18" s="16">
        <f t="shared" si="22"/>
        <v>2.1986811101669893E-3</v>
      </c>
      <c r="BY18" s="16">
        <f t="shared" si="22"/>
        <v>1.034255309954589E-2</v>
      </c>
      <c r="BZ18" s="16">
        <f t="shared" si="22"/>
        <v>6.5946672658473903E-4</v>
      </c>
      <c r="CA18" s="16">
        <f t="shared" si="22"/>
        <v>6.9391882189381946E-3</v>
      </c>
      <c r="CB18" s="16">
        <f t="shared" si="22"/>
        <v>2.4909566624333357E-2</v>
      </c>
      <c r="CC18" s="16">
        <f t="shared" si="22"/>
        <v>5.0484679457919839E-3</v>
      </c>
      <c r="CD18" s="16">
        <f t="shared" si="22"/>
        <v>5.4575883396954768E-3</v>
      </c>
      <c r="CE18" s="16">
        <f t="shared" si="22"/>
        <v>5.6067832386980022E-2</v>
      </c>
      <c r="CF18" s="16">
        <f t="shared" si="22"/>
        <v>1.0645672168983563E-3</v>
      </c>
      <c r="CG18" s="16">
        <f t="shared" si="22"/>
        <v>1.8017920089221721E-4</v>
      </c>
      <c r="CH18" s="16">
        <f t="shared" si="22"/>
        <v>7.8213400438148902E-6</v>
      </c>
      <c r="CI18" s="16">
        <f t="shared" si="22"/>
        <v>2.2968727120364087E-3</v>
      </c>
      <c r="CJ18" s="16">
        <f t="shared" si="22"/>
        <v>1.0575629320283603E-5</v>
      </c>
      <c r="CK18" s="16">
        <f t="shared" si="22"/>
        <v>5.7317300865370067E-3</v>
      </c>
      <c r="CL18" s="16">
        <f t="shared" si="22"/>
        <v>1.9711163270756775E-3</v>
      </c>
      <c r="CM18" s="16">
        <f t="shared" si="22"/>
        <v>3.2036912913769394E-2</v>
      </c>
      <c r="CN18" s="16">
        <f t="shared" si="22"/>
        <v>3.3633349379620708E-3</v>
      </c>
      <c r="CO18" s="16">
        <f t="shared" si="22"/>
        <v>1.9429624982324575E-2</v>
      </c>
      <c r="CP18" s="16">
        <f t="shared" si="22"/>
        <v>4.1879885783785839E-3</v>
      </c>
      <c r="CQ18" s="16">
        <f t="shared" si="22"/>
        <v>3.2829051050147696E-2</v>
      </c>
      <c r="CR18" s="16">
        <f t="shared" si="22"/>
        <v>7.8559030529674386E-3</v>
      </c>
      <c r="CS18" s="16">
        <f t="shared" si="22"/>
        <v>6.411922743936203E-4</v>
      </c>
      <c r="CT18" s="16">
        <f t="shared" si="22"/>
        <v>1.2786876993597889E-2</v>
      </c>
      <c r="CU18" s="16">
        <f t="shared" ref="CU18:DZ18" si="23">CU10^2</f>
        <v>6.5544524509339751E-5</v>
      </c>
      <c r="CV18" s="16">
        <f t="shared" si="23"/>
        <v>2.0430588388809477E-3</v>
      </c>
      <c r="CW18" s="16">
        <f t="shared" si="23"/>
        <v>3.4740680595904648E-3</v>
      </c>
      <c r="CX18" s="16">
        <f t="shared" si="23"/>
        <v>1.160538698235747E-2</v>
      </c>
      <c r="CY18" s="16">
        <f t="shared" si="23"/>
        <v>9.3129254150261E-3</v>
      </c>
      <c r="CZ18" s="16">
        <f t="shared" si="23"/>
        <v>4.424895059465464E-2</v>
      </c>
      <c r="DA18" s="16">
        <f t="shared" si="23"/>
        <v>1.2091451728744079E-2</v>
      </c>
      <c r="DB18" s="16">
        <f t="shared" si="23"/>
        <v>3.6412452392839745E-2</v>
      </c>
      <c r="DC18" s="16">
        <f t="shared" si="23"/>
        <v>4.2961982124366043E-4</v>
      </c>
      <c r="DD18" s="16">
        <f t="shared" si="23"/>
        <v>7.5740634376350218E-3</v>
      </c>
      <c r="DE18" s="16">
        <f t="shared" si="23"/>
        <v>6.728033843953052E-3</v>
      </c>
      <c r="DF18" s="16">
        <f t="shared" si="23"/>
        <v>2.7847821251246123E-2</v>
      </c>
      <c r="DG18" s="16">
        <f t="shared" si="23"/>
        <v>4.9478702022008603E-2</v>
      </c>
      <c r="DH18" s="16">
        <f t="shared" si="23"/>
        <v>2.0821839571003448E-2</v>
      </c>
      <c r="DI18" s="16">
        <f t="shared" si="23"/>
        <v>1.4308932973192761E-2</v>
      </c>
      <c r="DJ18" s="16">
        <f t="shared" si="23"/>
        <v>1.0321085627255753E-2</v>
      </c>
      <c r="DK18" s="16">
        <f t="shared" si="23"/>
        <v>8.6220619337353931E-3</v>
      </c>
      <c r="DL18" s="16">
        <f t="shared" si="23"/>
        <v>1.8173586858343696E-3</v>
      </c>
      <c r="DM18" s="16">
        <f t="shared" si="23"/>
        <v>6.8445958863232442E-3</v>
      </c>
      <c r="DN18" s="16">
        <f t="shared" si="23"/>
        <v>9.6406849840983359E-4</v>
      </c>
      <c r="DO18" s="16">
        <f t="shared" si="23"/>
        <v>9.6318502978574808E-3</v>
      </c>
      <c r="DP18" s="16">
        <f t="shared" si="23"/>
        <v>1.7053455955604278E-2</v>
      </c>
      <c r="DQ18" s="16">
        <f t="shared" si="23"/>
        <v>2.3673789185478821E-3</v>
      </c>
      <c r="DR18" s="16">
        <f t="shared" si="23"/>
        <v>1.5407124335768466E-3</v>
      </c>
      <c r="DS18" s="16">
        <f t="shared" si="23"/>
        <v>2.5930725116640962E-2</v>
      </c>
      <c r="DT18" s="16">
        <f t="shared" si="23"/>
        <v>6.2226801681010647E-3</v>
      </c>
      <c r="DU18" s="16">
        <f t="shared" si="23"/>
        <v>2.6921313954919424E-2</v>
      </c>
      <c r="DV18" s="16">
        <f t="shared" si="23"/>
        <v>5.6328800675286651E-5</v>
      </c>
      <c r="DW18" s="16">
        <f t="shared" si="23"/>
        <v>1.0331756871656347E-2</v>
      </c>
      <c r="DX18" s="16">
        <f t="shared" si="23"/>
        <v>3.1405143826489668E-3</v>
      </c>
      <c r="DY18" s="16">
        <f t="shared" si="23"/>
        <v>1.137563878096463E-2</v>
      </c>
      <c r="DZ18" s="16">
        <f t="shared" si="23"/>
        <v>4.7867822305639905E-3</v>
      </c>
      <c r="EA18" s="16">
        <f t="shared" ref="EA18:EF18" si="24">EA10^2</f>
        <v>1.59235773418211E-2</v>
      </c>
      <c r="EB18" s="16">
        <f t="shared" si="24"/>
        <v>4.1908944894200424E-3</v>
      </c>
      <c r="EC18" s="16">
        <f t="shared" si="24"/>
        <v>2.6446410296186275E-3</v>
      </c>
      <c r="ED18" s="16">
        <f t="shared" si="24"/>
        <v>1.1900242728375913E-3</v>
      </c>
      <c r="EE18" s="16">
        <f t="shared" si="24"/>
        <v>2.4862225023126495E-2</v>
      </c>
      <c r="EF18" s="16">
        <f t="shared" si="24"/>
        <v>1.6174756721905801E-2</v>
      </c>
    </row>
    <row r="19" spans="1:136">
      <c r="B19" t="s">
        <v>138</v>
      </c>
      <c r="C19" s="16">
        <f t="shared" ref="C19:AH19" si="25">C11^2</f>
        <v>2.9424962947699911E-3</v>
      </c>
      <c r="D19" s="16">
        <f t="shared" si="25"/>
        <v>2.059074167658151E-3</v>
      </c>
      <c r="E19" s="16">
        <f t="shared" si="25"/>
        <v>3.1514318274691188E-4</v>
      </c>
      <c r="F19" s="16">
        <f t="shared" si="25"/>
        <v>7.6890721339683337E-3</v>
      </c>
      <c r="G19" s="16">
        <f t="shared" si="25"/>
        <v>1.0559465472918014E-2</v>
      </c>
      <c r="H19" s="16">
        <f t="shared" si="25"/>
        <v>6.3069879875624846E-6</v>
      </c>
      <c r="I19" s="16">
        <f t="shared" si="25"/>
        <v>3.3502003352045134E-4</v>
      </c>
      <c r="J19" s="16">
        <f t="shared" si="25"/>
        <v>4.8887532041517415E-4</v>
      </c>
      <c r="K19" s="16">
        <f t="shared" si="25"/>
        <v>5.9688056303032417E-3</v>
      </c>
      <c r="L19" s="16">
        <f t="shared" si="25"/>
        <v>8.7311801112263879E-5</v>
      </c>
      <c r="M19" s="16">
        <f t="shared" si="25"/>
        <v>2.873193829916625E-3</v>
      </c>
      <c r="N19" s="16">
        <f t="shared" si="25"/>
        <v>4.6073356328051786E-3</v>
      </c>
      <c r="O19" s="16">
        <f t="shared" si="25"/>
        <v>4.2158901598624366E-3</v>
      </c>
      <c r="P19" s="16">
        <f t="shared" si="25"/>
        <v>2.3821054386013211E-5</v>
      </c>
      <c r="Q19" s="16">
        <f t="shared" si="25"/>
        <v>3.6855622546895207E-4</v>
      </c>
      <c r="R19" s="16">
        <f t="shared" si="25"/>
        <v>2.9870042368556722E-5</v>
      </c>
      <c r="S19" s="16">
        <f t="shared" si="25"/>
        <v>1.3360097496481892E-3</v>
      </c>
      <c r="T19" s="16">
        <f t="shared" si="25"/>
        <v>1.6688781966867596E-2</v>
      </c>
      <c r="U19" s="16">
        <f t="shared" si="25"/>
        <v>1.8748202760809614E-4</v>
      </c>
      <c r="V19" s="16">
        <f t="shared" si="25"/>
        <v>2.3394473192739536E-4</v>
      </c>
      <c r="W19" s="16">
        <f t="shared" si="25"/>
        <v>1.0959099784052484E-2</v>
      </c>
      <c r="X19" s="16">
        <f t="shared" si="25"/>
        <v>8.6346676822882121E-2</v>
      </c>
      <c r="Y19" s="16">
        <f t="shared" si="25"/>
        <v>3.5061183838375133E-3</v>
      </c>
      <c r="Z19" s="16">
        <f t="shared" si="25"/>
        <v>3.4205878279447842E-2</v>
      </c>
      <c r="AA19" s="16">
        <f t="shared" si="25"/>
        <v>9.6525592252829466E-3</v>
      </c>
      <c r="AB19" s="16">
        <f t="shared" si="25"/>
        <v>4.3209728479720412E-7</v>
      </c>
      <c r="AC19" s="16">
        <f t="shared" si="25"/>
        <v>1.0750810579255237E-2</v>
      </c>
      <c r="AD19" s="16">
        <f t="shared" si="25"/>
        <v>1.2567690104255271E-5</v>
      </c>
      <c r="AE19" s="16">
        <f t="shared" si="25"/>
        <v>3.0835882156048783E-2</v>
      </c>
      <c r="AF19" s="16">
        <f t="shared" si="25"/>
        <v>2.4035262433120905E-2</v>
      </c>
      <c r="AG19" s="16">
        <f t="shared" si="25"/>
        <v>6.9319650662206438E-4</v>
      </c>
      <c r="AH19" s="16">
        <f t="shared" si="25"/>
        <v>2.4988102995418992E-5</v>
      </c>
      <c r="AI19" s="16">
        <f t="shared" ref="AI19:BN19" si="26">AI11^2</f>
        <v>7.8779660257925624E-4</v>
      </c>
      <c r="AJ19" s="16">
        <f t="shared" si="26"/>
        <v>5.0105213836060746E-4</v>
      </c>
      <c r="AK19" s="16">
        <f t="shared" si="26"/>
        <v>2.2109580205685515E-3</v>
      </c>
      <c r="AL19" s="16">
        <f t="shared" si="26"/>
        <v>1.0314740717783251E-2</v>
      </c>
      <c r="AM19" s="16">
        <f t="shared" si="26"/>
        <v>5.5343262156863572E-4</v>
      </c>
      <c r="AN19" s="16">
        <f t="shared" si="26"/>
        <v>2.7588997976275898E-3</v>
      </c>
      <c r="AO19" s="16">
        <f t="shared" si="26"/>
        <v>3.4225885640141755E-3</v>
      </c>
      <c r="AP19" s="16">
        <f t="shared" si="26"/>
        <v>1.118725626162101E-3</v>
      </c>
      <c r="AQ19" s="16">
        <f t="shared" si="26"/>
        <v>2.0450045203045813E-4</v>
      </c>
      <c r="AR19" s="16">
        <f t="shared" si="26"/>
        <v>1.2890681145068224E-3</v>
      </c>
      <c r="AS19" s="16">
        <f t="shared" si="26"/>
        <v>1.5826302227352094E-3</v>
      </c>
      <c r="AT19" s="16">
        <f t="shared" si="26"/>
        <v>2.2039242020426623E-2</v>
      </c>
      <c r="AU19" s="16">
        <f t="shared" si="26"/>
        <v>1.6636034229909587E-3</v>
      </c>
      <c r="AV19" s="16">
        <f t="shared" si="26"/>
        <v>1.9309590933108238E-2</v>
      </c>
      <c r="AW19" s="16">
        <f t="shared" si="26"/>
        <v>3.5836126990842362E-3</v>
      </c>
      <c r="AX19" s="16">
        <f t="shared" si="26"/>
        <v>2.2436988075031212E-2</v>
      </c>
      <c r="AY19" s="16">
        <f t="shared" si="26"/>
        <v>3.7940489141036855E-3</v>
      </c>
      <c r="AZ19" s="16">
        <f t="shared" si="26"/>
        <v>3.8377717094877179E-3</v>
      </c>
      <c r="BA19" s="16">
        <f t="shared" si="26"/>
        <v>5.7085842824112805E-6</v>
      </c>
      <c r="BB19" s="16">
        <f t="shared" si="26"/>
        <v>2.2162365071883454E-2</v>
      </c>
      <c r="BC19" s="16">
        <f t="shared" si="26"/>
        <v>3.6421850194502817E-3</v>
      </c>
      <c r="BD19" s="16">
        <f t="shared" si="26"/>
        <v>2.1567132814367246E-4</v>
      </c>
      <c r="BE19" s="16">
        <f t="shared" si="26"/>
        <v>2.1466733042722119E-2</v>
      </c>
      <c r="BF19" s="16">
        <f t="shared" si="26"/>
        <v>4.3581843456671758E-2</v>
      </c>
      <c r="BG19" s="16">
        <f t="shared" si="26"/>
        <v>4.0579385301159648E-2</v>
      </c>
      <c r="BH19" s="16">
        <f t="shared" si="26"/>
        <v>1.3935782851325853E-2</v>
      </c>
      <c r="BI19" s="16">
        <f t="shared" si="26"/>
        <v>5.9330934213272886E-3</v>
      </c>
      <c r="BJ19" s="16">
        <f t="shared" si="26"/>
        <v>1.3119113666831017E-3</v>
      </c>
      <c r="BK19" s="16">
        <f t="shared" si="26"/>
        <v>3.5748481064286472E-4</v>
      </c>
      <c r="BL19" s="16">
        <f t="shared" si="26"/>
        <v>2.9328493400993451E-2</v>
      </c>
      <c r="BM19" s="16">
        <f t="shared" si="26"/>
        <v>1.7667061037884114E-2</v>
      </c>
      <c r="BN19" s="16">
        <f t="shared" si="26"/>
        <v>1.2893630347257589E-3</v>
      </c>
      <c r="BO19" s="16">
        <f t="shared" ref="BO19:CT19" si="27">BO11^2</f>
        <v>4.555884575901441E-4</v>
      </c>
      <c r="BP19" s="16">
        <f t="shared" si="27"/>
        <v>2.4636156414780219E-3</v>
      </c>
      <c r="BQ19" s="16">
        <f t="shared" si="27"/>
        <v>2.9622597057292401E-4</v>
      </c>
      <c r="BR19" s="16">
        <f t="shared" si="27"/>
        <v>3.6034382227143044E-2</v>
      </c>
      <c r="BS19" s="16">
        <f t="shared" si="27"/>
        <v>9.5267433223972416E-3</v>
      </c>
      <c r="BT19" s="16">
        <f t="shared" si="27"/>
        <v>1.4312181655934848E-3</v>
      </c>
      <c r="BU19" s="16">
        <f t="shared" si="27"/>
        <v>3.1369302523255979E-3</v>
      </c>
      <c r="BV19" s="16">
        <f t="shared" si="27"/>
        <v>1.3627535644839506E-2</v>
      </c>
      <c r="BW19" s="16">
        <f t="shared" si="27"/>
        <v>1.9972187007291264E-2</v>
      </c>
      <c r="BX19" s="16">
        <f t="shared" si="27"/>
        <v>1.140430378647656E-5</v>
      </c>
      <c r="BY19" s="16">
        <f t="shared" si="27"/>
        <v>1.6987488721731576E-2</v>
      </c>
      <c r="BZ19" s="16">
        <f t="shared" si="27"/>
        <v>1.0047461557265778E-3</v>
      </c>
      <c r="CA19" s="16">
        <f t="shared" si="27"/>
        <v>1.6447110645557072E-3</v>
      </c>
      <c r="CB19" s="16">
        <f t="shared" si="27"/>
        <v>1.767137228315438E-3</v>
      </c>
      <c r="CC19" s="16">
        <f t="shared" si="27"/>
        <v>2.5013725272755708E-3</v>
      </c>
      <c r="CD19" s="16">
        <f t="shared" si="27"/>
        <v>4.6862621773654262E-3</v>
      </c>
      <c r="CE19" s="16">
        <f t="shared" si="27"/>
        <v>6.5338267870204162E-3</v>
      </c>
      <c r="CF19" s="16">
        <f t="shared" si="27"/>
        <v>3.7959149352106796E-6</v>
      </c>
      <c r="CG19" s="16">
        <f t="shared" si="27"/>
        <v>1.3973368107735227E-2</v>
      </c>
      <c r="CH19" s="16">
        <f t="shared" si="27"/>
        <v>1.3483500252419256E-3</v>
      </c>
      <c r="CI19" s="16">
        <f t="shared" si="27"/>
        <v>6.944354409283488E-3</v>
      </c>
      <c r="CJ19" s="16">
        <f t="shared" si="27"/>
        <v>5.3209971579111864E-2</v>
      </c>
      <c r="CK19" s="16">
        <f t="shared" si="27"/>
        <v>1.7630136062643516E-2</v>
      </c>
      <c r="CL19" s="16">
        <f t="shared" si="27"/>
        <v>1.9962106501869858E-2</v>
      </c>
      <c r="CM19" s="16">
        <f t="shared" si="27"/>
        <v>1.2698898011967283E-2</v>
      </c>
      <c r="CN19" s="16">
        <f t="shared" si="27"/>
        <v>4.9947135394185591E-2</v>
      </c>
      <c r="CO19" s="16">
        <f t="shared" si="27"/>
        <v>1.0903362974249101E-2</v>
      </c>
      <c r="CP19" s="16">
        <f t="shared" si="27"/>
        <v>2.0817366158502797E-4</v>
      </c>
      <c r="CQ19" s="16">
        <f t="shared" si="27"/>
        <v>4.2945670995945519E-2</v>
      </c>
      <c r="CR19" s="16">
        <f t="shared" si="27"/>
        <v>1.818826329983373E-2</v>
      </c>
      <c r="CS19" s="16">
        <f t="shared" si="27"/>
        <v>5.330129925765671E-3</v>
      </c>
      <c r="CT19" s="16">
        <f t="shared" si="27"/>
        <v>9.1315039355651805E-4</v>
      </c>
      <c r="CU19" s="16">
        <f t="shared" ref="CU19:DZ19" si="28">CU11^2</f>
        <v>8.2305398372276448E-2</v>
      </c>
      <c r="CV19" s="16">
        <f t="shared" si="28"/>
        <v>5.323658125231813E-2</v>
      </c>
      <c r="CW19" s="16">
        <f t="shared" si="28"/>
        <v>8.2947828598525283E-3</v>
      </c>
      <c r="CX19" s="16">
        <f t="shared" si="28"/>
        <v>1.5002754583806925E-2</v>
      </c>
      <c r="CY19" s="16">
        <f t="shared" si="28"/>
        <v>6.1437262145754186E-3</v>
      </c>
      <c r="CZ19" s="16">
        <f t="shared" si="28"/>
        <v>2.1114120178055175E-3</v>
      </c>
      <c r="DA19" s="16">
        <f t="shared" si="28"/>
        <v>6.8343561034422563E-3</v>
      </c>
      <c r="DB19" s="16">
        <f t="shared" si="28"/>
        <v>2.2305204479499383E-2</v>
      </c>
      <c r="DC19" s="16">
        <f t="shared" si="28"/>
        <v>2.2847162154111663E-3</v>
      </c>
      <c r="DD19" s="16">
        <f t="shared" si="28"/>
        <v>2.7064678662887049E-2</v>
      </c>
      <c r="DE19" s="16">
        <f t="shared" si="28"/>
        <v>1.2225360760831885E-2</v>
      </c>
      <c r="DF19" s="16">
        <f t="shared" si="28"/>
        <v>3.2966966393763162E-3</v>
      </c>
      <c r="DG19" s="16">
        <f t="shared" si="28"/>
        <v>4.6177804713180344E-2</v>
      </c>
      <c r="DH19" s="16">
        <f t="shared" si="28"/>
        <v>3.9686415441255191E-3</v>
      </c>
      <c r="DI19" s="16">
        <f t="shared" si="28"/>
        <v>4.5861486060873721E-3</v>
      </c>
      <c r="DJ19" s="16">
        <f t="shared" si="28"/>
        <v>1.4113933508686947E-2</v>
      </c>
      <c r="DK19" s="16">
        <f t="shared" si="28"/>
        <v>5.3038165655135587E-5</v>
      </c>
      <c r="DL19" s="16">
        <f t="shared" si="28"/>
        <v>5.0866278425543898E-3</v>
      </c>
      <c r="DM19" s="16">
        <f t="shared" si="28"/>
        <v>4.4192030717479113E-4</v>
      </c>
      <c r="DN19" s="16">
        <f t="shared" si="28"/>
        <v>9.2435602590540443E-4</v>
      </c>
      <c r="DO19" s="16">
        <f t="shared" si="28"/>
        <v>9.3992359170593232E-3</v>
      </c>
      <c r="DP19" s="16">
        <f t="shared" si="28"/>
        <v>5.3211643863895493E-2</v>
      </c>
      <c r="DQ19" s="16">
        <f t="shared" si="28"/>
        <v>5.6731766595356822E-2</v>
      </c>
      <c r="DR19" s="16">
        <f t="shared" si="28"/>
        <v>1.2779732721999408E-5</v>
      </c>
      <c r="DS19" s="16">
        <f t="shared" si="28"/>
        <v>1.7944107252667544E-2</v>
      </c>
      <c r="DT19" s="16">
        <f t="shared" si="28"/>
        <v>1.3249413434882942E-2</v>
      </c>
      <c r="DU19" s="16">
        <f t="shared" si="28"/>
        <v>1.0832602517582508E-2</v>
      </c>
      <c r="DV19" s="16">
        <f t="shared" si="28"/>
        <v>2.9823682090757879E-3</v>
      </c>
      <c r="DW19" s="16">
        <f t="shared" si="28"/>
        <v>1.1082370139875364E-3</v>
      </c>
      <c r="DX19" s="16">
        <f t="shared" si="28"/>
        <v>3.0354498547830525E-3</v>
      </c>
      <c r="DY19" s="16">
        <f t="shared" si="28"/>
        <v>4.7325832565790213E-3</v>
      </c>
      <c r="DZ19" s="16">
        <f t="shared" si="28"/>
        <v>2.0969279010246204E-4</v>
      </c>
      <c r="EA19" s="16">
        <f t="shared" ref="EA19:EF19" si="29">EA11^2</f>
        <v>8.5929031587546431E-2</v>
      </c>
      <c r="EB19" s="16">
        <f t="shared" si="29"/>
        <v>1.987395609544565E-2</v>
      </c>
      <c r="EC19" s="16">
        <f t="shared" si="29"/>
        <v>1.4906851026839793E-4</v>
      </c>
      <c r="ED19" s="16">
        <f t="shared" si="29"/>
        <v>3.3834798795211859E-3</v>
      </c>
      <c r="EE19" s="16">
        <f t="shared" si="29"/>
        <v>2.0852230305009004E-2</v>
      </c>
      <c r="EF19" s="16">
        <f t="shared" si="29"/>
        <v>9.4107527241881761E-3</v>
      </c>
    </row>
    <row r="21" spans="1:136">
      <c r="A21" t="s">
        <v>201</v>
      </c>
      <c r="B21" s="11">
        <f>1-SUM(C13:EF15)/SUM(C17:EF19)</f>
        <v>2.3039923033811416E-2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F25"/>
  <sheetViews>
    <sheetView topLeftCell="DA11" zoomScale="74" workbookViewId="0">
      <selection activeCell="EI48" sqref="EI48"/>
    </sheetView>
  </sheetViews>
  <sheetFormatPr baseColWidth="10" defaultRowHeight="15"/>
  <sheetData>
    <row r="1" spans="1:136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6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>
      <c r="A3" s="1"/>
      <c r="B3" s="2" t="s">
        <v>136</v>
      </c>
      <c r="C3" s="13">
        <v>3.1330205500125892E-2</v>
      </c>
      <c r="D3" s="13">
        <v>-1.7543647438287732E-2</v>
      </c>
      <c r="E3" s="13">
        <v>2.9643896967172619E-2</v>
      </c>
      <c r="F3" s="13">
        <v>2.8182985261082649E-2</v>
      </c>
      <c r="G3" s="13">
        <v>4.1800491511821747E-2</v>
      </c>
      <c r="H3" s="13">
        <v>1.7699908465147018E-2</v>
      </c>
      <c r="I3" s="13">
        <v>1.256205607205629E-2</v>
      </c>
      <c r="J3" s="13">
        <v>1.2357430532574649E-3</v>
      </c>
      <c r="K3" s="13">
        <v>3.5791270434856408E-2</v>
      </c>
      <c r="L3" s="13">
        <v>6.6725820302963257E-2</v>
      </c>
      <c r="M3" s="13">
        <v>1.32761662825942E-2</v>
      </c>
      <c r="N3" s="13">
        <v>-1.340599730610847E-3</v>
      </c>
      <c r="O3" s="13">
        <v>-3.9153536781668663E-3</v>
      </c>
      <c r="P3" s="13">
        <v>2.3424895480275151E-2</v>
      </c>
      <c r="Q3" s="13">
        <v>2.038630656898022E-2</v>
      </c>
      <c r="R3" s="13">
        <v>1.957200467586517E-2</v>
      </c>
      <c r="S3" s="13">
        <v>2.2870888933539391E-2</v>
      </c>
      <c r="T3" s="13">
        <v>4.3855453841388234E-3</v>
      </c>
      <c r="U3" s="13">
        <v>-8.5439961403608322E-3</v>
      </c>
      <c r="V3" s="13">
        <v>-8.516303263604641E-3</v>
      </c>
      <c r="W3" s="13">
        <v>-1.7971992492675781E-2</v>
      </c>
      <c r="X3" s="13">
        <v>-1.1634783819317819E-2</v>
      </c>
      <c r="Y3" s="13">
        <v>-2.656730450689793E-2</v>
      </c>
      <c r="Z3" s="13">
        <v>-2.7729809284210209E-2</v>
      </c>
      <c r="AA3" s="13">
        <v>7.4403420090675354E-2</v>
      </c>
      <c r="AB3" s="13">
        <v>-2.764703705906868E-2</v>
      </c>
      <c r="AC3" s="13">
        <v>-2.7917437255382541E-2</v>
      </c>
      <c r="AD3" s="13">
        <v>-3.129136934876442E-2</v>
      </c>
      <c r="AE3" s="13">
        <v>-2.063364535570145E-2</v>
      </c>
      <c r="AF3" s="13">
        <v>-3.5181421786546707E-2</v>
      </c>
      <c r="AG3" s="13">
        <v>-1.2474990449845791E-2</v>
      </c>
      <c r="AH3" s="13">
        <v>-2.2227592766284939E-2</v>
      </c>
      <c r="AI3" s="13">
        <v>2.8354397043585781E-2</v>
      </c>
      <c r="AJ3" s="13">
        <v>1.7696382477879521E-2</v>
      </c>
      <c r="AK3" s="13">
        <v>-1.5488248318433759E-3</v>
      </c>
      <c r="AL3" s="13">
        <v>6.0541510581970208E-2</v>
      </c>
      <c r="AM3" s="13">
        <v>4.2939703911542892E-2</v>
      </c>
      <c r="AN3" s="13">
        <v>4.6451166272163391E-2</v>
      </c>
      <c r="AO3" s="13">
        <v>4.6414647251367569E-2</v>
      </c>
      <c r="AP3" s="13">
        <v>2.7322841808199879E-2</v>
      </c>
      <c r="AQ3" s="13">
        <v>4.9711406230926507E-2</v>
      </c>
      <c r="AR3" s="13">
        <v>4.072609543800354E-2</v>
      </c>
      <c r="AS3" s="13">
        <v>3.7940710783004761E-2</v>
      </c>
      <c r="AT3" s="13">
        <v>4.3215282261371613E-2</v>
      </c>
      <c r="AU3" s="13">
        <v>3.5848293453454971E-2</v>
      </c>
      <c r="AV3" s="13">
        <v>4.8106551170349121E-2</v>
      </c>
      <c r="AW3" s="13">
        <v>0.25755825638771063</v>
      </c>
      <c r="AX3" s="13">
        <v>2.3971892893314362E-2</v>
      </c>
      <c r="AY3" s="13">
        <v>5.6368216872215271E-2</v>
      </c>
      <c r="AZ3" s="13">
        <v>4.440823569893837E-2</v>
      </c>
      <c r="BA3" s="13">
        <v>4.0217362344264977E-2</v>
      </c>
      <c r="BB3" s="13">
        <v>3.9215490221977227E-2</v>
      </c>
      <c r="BC3" s="13">
        <v>5.1480397582054138E-2</v>
      </c>
      <c r="BD3" s="13">
        <v>4.9942176789045327E-2</v>
      </c>
      <c r="BE3" s="13">
        <v>4.9302525818347931E-2</v>
      </c>
      <c r="BF3" s="13">
        <v>5.0215017050504678E-2</v>
      </c>
      <c r="BG3" s="13">
        <v>4.4806387275457382E-2</v>
      </c>
      <c r="BH3" s="13">
        <v>7.2218522429466248E-2</v>
      </c>
      <c r="BI3" s="13">
        <v>5.3198006004095078E-2</v>
      </c>
      <c r="BJ3" s="13">
        <v>5.0947383046150208E-2</v>
      </c>
      <c r="BK3" s="13">
        <v>4.6847827732563019E-2</v>
      </c>
      <c r="BL3" s="13">
        <v>5.1777664572000497E-2</v>
      </c>
      <c r="BM3" s="13">
        <v>4.5751150697469711E-2</v>
      </c>
      <c r="BN3" s="13">
        <v>5.1456984132528312E-2</v>
      </c>
      <c r="BO3" s="13">
        <v>5.444614589214325E-2</v>
      </c>
      <c r="BP3" s="13">
        <v>5.1880281418561942E-2</v>
      </c>
      <c r="BQ3" s="13">
        <v>4.9081109464168549E-2</v>
      </c>
      <c r="BR3" s="13">
        <v>3.0115354806184769E-2</v>
      </c>
      <c r="BS3" s="13">
        <v>4.8800110816955573E-2</v>
      </c>
      <c r="BT3" s="13">
        <v>4.8635218292474747E-2</v>
      </c>
      <c r="BU3" s="13">
        <v>4.5633736997842789E-2</v>
      </c>
      <c r="BV3" s="13">
        <v>4.947228729724884E-2</v>
      </c>
      <c r="BW3" s="13">
        <v>4.4601880013942719E-2</v>
      </c>
      <c r="BX3" s="13">
        <v>4.56710085272789E-2</v>
      </c>
      <c r="BY3" s="13">
        <v>3.6897704005241387E-2</v>
      </c>
      <c r="BZ3" s="13">
        <v>0.21394279599189761</v>
      </c>
      <c r="CA3" s="13">
        <v>2.7052136138081551E-2</v>
      </c>
      <c r="CB3" s="13">
        <v>4.6074997633695602E-2</v>
      </c>
      <c r="CC3" s="13">
        <v>7.2226598858833313E-2</v>
      </c>
      <c r="CD3" s="13">
        <v>3.4700907766819E-2</v>
      </c>
      <c r="CE3" s="13">
        <v>3.6362294107675552E-2</v>
      </c>
      <c r="CF3" s="13">
        <v>4.7756139189004898E-2</v>
      </c>
      <c r="CG3" s="13">
        <v>3.6376580595970147E-2</v>
      </c>
      <c r="CH3" s="13">
        <v>4.3285507708787918E-2</v>
      </c>
      <c r="CI3" s="13">
        <v>4.2804375290870673E-2</v>
      </c>
      <c r="CJ3" s="13">
        <v>4.3789677321910858E-2</v>
      </c>
      <c r="CK3" s="13">
        <v>4.193609207868576E-2</v>
      </c>
      <c r="CL3" s="13">
        <v>4.5073911547660828E-2</v>
      </c>
      <c r="CM3" s="13">
        <v>5.7426575571298599E-2</v>
      </c>
      <c r="CN3" s="13">
        <v>4.8870686441659927E-2</v>
      </c>
      <c r="CO3" s="13">
        <v>4.6467091888189323E-2</v>
      </c>
      <c r="CP3" s="13">
        <v>4.5427285134792328E-2</v>
      </c>
      <c r="CQ3" s="13">
        <v>4.3254118412733078E-2</v>
      </c>
      <c r="CR3" s="13">
        <v>4.2831581085920327E-2</v>
      </c>
      <c r="CS3" s="13">
        <v>4.1360333561897278E-2</v>
      </c>
      <c r="CT3" s="13">
        <v>2.374728582799435E-2</v>
      </c>
      <c r="CU3" s="13">
        <v>3.9278171956539147E-2</v>
      </c>
      <c r="CV3" s="13">
        <v>4.09957654774189E-2</v>
      </c>
      <c r="CW3" s="13">
        <v>3.6699786782264709E-2</v>
      </c>
      <c r="CX3" s="13">
        <v>3.8764949887990952E-2</v>
      </c>
      <c r="CY3" s="13">
        <v>3.7805531173944473E-2</v>
      </c>
      <c r="CZ3" s="13">
        <v>4.325726255774498E-2</v>
      </c>
      <c r="DA3" s="13">
        <v>4.4850636273622513E-2</v>
      </c>
      <c r="DB3" s="13">
        <v>4.3851811438798897E-2</v>
      </c>
      <c r="DC3" s="13">
        <v>4.9191009253263467E-2</v>
      </c>
      <c r="DD3" s="13">
        <v>4.212004691362381E-2</v>
      </c>
      <c r="DE3" s="13">
        <v>4.7127000987529748E-2</v>
      </c>
      <c r="DF3" s="13">
        <v>3.8079626858234412E-2</v>
      </c>
      <c r="DG3" s="13">
        <v>3.8307089358568192E-2</v>
      </c>
      <c r="DH3" s="13">
        <v>3.9209745824337013E-2</v>
      </c>
      <c r="DI3" s="13">
        <v>5.0754562020301819E-2</v>
      </c>
      <c r="DJ3" s="13">
        <v>4.9327295273542397E-2</v>
      </c>
      <c r="DK3" s="13">
        <v>4.6511236578226089E-2</v>
      </c>
      <c r="DL3" s="13">
        <v>4.22775037586689E-2</v>
      </c>
      <c r="DM3" s="13">
        <v>3.2305262982845313E-2</v>
      </c>
      <c r="DN3" s="13">
        <v>4.6072427183389657E-2</v>
      </c>
      <c r="DO3" s="13">
        <v>4.8485249280929572E-2</v>
      </c>
      <c r="DP3" s="13">
        <v>4.6022161841392517E-2</v>
      </c>
      <c r="DQ3" s="13">
        <v>4.4537413865327842E-2</v>
      </c>
      <c r="DR3" s="13">
        <v>4.4425271451473243E-2</v>
      </c>
      <c r="DS3" s="13">
        <v>4.2646575719118118E-2</v>
      </c>
      <c r="DT3" s="13">
        <v>4.6090584248304367E-2</v>
      </c>
      <c r="DU3" s="13">
        <v>4.3128091841936111E-2</v>
      </c>
      <c r="DV3" s="13">
        <v>4.1349083185195923E-2</v>
      </c>
      <c r="DW3" s="13">
        <v>4.0377732366323471E-2</v>
      </c>
      <c r="DX3" s="13">
        <v>4.6240631490945823E-2</v>
      </c>
      <c r="DY3" s="13">
        <v>4.529276117682457E-2</v>
      </c>
      <c r="DZ3" s="13">
        <v>3.8002155721187592E-2</v>
      </c>
      <c r="EA3" s="13">
        <v>4.3337244540452957E-2</v>
      </c>
      <c r="EB3" s="13">
        <v>3.5762075334787369E-2</v>
      </c>
      <c r="EC3" s="13">
        <v>3.0851878225803379E-2</v>
      </c>
      <c r="ED3" s="13">
        <v>4.0065716952085488E-2</v>
      </c>
      <c r="EE3" s="13">
        <v>4.3372519314289093E-2</v>
      </c>
      <c r="EF3" s="13">
        <v>4.6325836330652237E-2</v>
      </c>
    </row>
    <row r="4" spans="1:136">
      <c r="A4" s="1"/>
      <c r="B4" s="2" t="s">
        <v>137</v>
      </c>
      <c r="C4" s="13">
        <v>-2.2946899756789211E-2</v>
      </c>
      <c r="D4" s="13">
        <v>-3.2528996467590332E-2</v>
      </c>
      <c r="E4" s="13">
        <v>-2.231709286570549E-2</v>
      </c>
      <c r="F4" s="13">
        <v>-3.0678801238536831E-2</v>
      </c>
      <c r="G4" s="13">
        <v>-3.2594364136457443E-2</v>
      </c>
      <c r="H4" s="13">
        <v>-2.7283268049359322E-2</v>
      </c>
      <c r="I4" s="13">
        <v>-3.6774773150682449E-2</v>
      </c>
      <c r="J4" s="13">
        <v>-3.694760799407959E-2</v>
      </c>
      <c r="K4" s="13">
        <v>-3.4350186586379998E-2</v>
      </c>
      <c r="L4" s="13">
        <v>-3.5141970962286002E-2</v>
      </c>
      <c r="M4" s="13">
        <v>-3.6390375345945358E-2</v>
      </c>
      <c r="N4" s="13">
        <v>-2.7910143136978149E-2</v>
      </c>
      <c r="O4" s="13">
        <v>-3.4657396376132972E-2</v>
      </c>
      <c r="P4" s="13">
        <v>-3.7157066166400909E-2</v>
      </c>
      <c r="Q4" s="13">
        <v>-3.2246530055999763E-2</v>
      </c>
      <c r="R4" s="13">
        <v>-3.2251663506031043E-2</v>
      </c>
      <c r="S4" s="13">
        <v>-2.9913196340203289E-2</v>
      </c>
      <c r="T4" s="13">
        <v>-2.9206940904259682E-2</v>
      </c>
      <c r="U4" s="13">
        <v>-2.8744202107191089E-2</v>
      </c>
      <c r="V4" s="13">
        <v>-2.8017682954668999E-2</v>
      </c>
      <c r="W4" s="13">
        <v>-2.7434077113866809E-2</v>
      </c>
      <c r="X4" s="13">
        <v>-2.876461856067181E-2</v>
      </c>
      <c r="Y4" s="13">
        <v>-3.1099813058972359E-2</v>
      </c>
      <c r="Z4" s="13">
        <v>-3.0133392661809921E-2</v>
      </c>
      <c r="AA4" s="13">
        <v>-2.9746487736701969E-2</v>
      </c>
      <c r="AB4" s="13">
        <v>-2.964571118354797E-2</v>
      </c>
      <c r="AC4" s="13">
        <v>-2.9567878693342209E-2</v>
      </c>
      <c r="AD4" s="13">
        <v>-2.8945522382855419E-2</v>
      </c>
      <c r="AE4" s="13">
        <v>-2.8935028240084652E-2</v>
      </c>
      <c r="AF4" s="13">
        <v>-2.8917042538523671E-2</v>
      </c>
      <c r="AG4" s="13">
        <v>-2.828941494226456E-2</v>
      </c>
      <c r="AH4" s="13">
        <v>-1.883991435170174E-2</v>
      </c>
      <c r="AI4" s="13">
        <v>-4.0709320455789573E-2</v>
      </c>
      <c r="AJ4" s="13">
        <v>-3.4136712551116943E-2</v>
      </c>
      <c r="AK4" s="13">
        <v>-2.7761854231357571E-2</v>
      </c>
      <c r="AL4" s="13">
        <v>-2.6954172179102901E-2</v>
      </c>
      <c r="AM4" s="13">
        <v>-2.9749177396297451E-2</v>
      </c>
      <c r="AN4" s="13">
        <v>-2.958561293780804E-2</v>
      </c>
      <c r="AO4" s="13">
        <v>-3.5846035927534103E-2</v>
      </c>
      <c r="AP4" s="13">
        <v>-3.5248521715402603E-2</v>
      </c>
      <c r="AQ4" s="13">
        <v>-2.2184915840625759E-2</v>
      </c>
      <c r="AR4" s="13">
        <v>-2.593911811709404E-2</v>
      </c>
      <c r="AS4" s="13">
        <v>-2.9777109622955319E-2</v>
      </c>
      <c r="AT4" s="13">
        <v>-2.5417083874344829E-2</v>
      </c>
      <c r="AU4" s="13">
        <v>-3.08467410504818E-2</v>
      </c>
      <c r="AV4" s="13">
        <v>-3.2425623387098312E-2</v>
      </c>
      <c r="AW4" s="13">
        <v>-2.665197849273682E-2</v>
      </c>
      <c r="AX4" s="13">
        <v>-2.6401566341519359E-2</v>
      </c>
      <c r="AY4" s="13">
        <v>-3.4196376800537109E-2</v>
      </c>
      <c r="AZ4" s="13">
        <v>-2.7192108333110809E-2</v>
      </c>
      <c r="BA4" s="13">
        <v>-3.141489252448082E-2</v>
      </c>
      <c r="BB4" s="13">
        <v>-3.3737760037183762E-2</v>
      </c>
      <c r="BC4" s="13">
        <v>-3.037294372916222E-2</v>
      </c>
      <c r="BD4" s="13">
        <v>-3.122984804213047E-2</v>
      </c>
      <c r="BE4" s="13">
        <v>-3.2925654202699661E-2</v>
      </c>
      <c r="BF4" s="13">
        <v>-3.0702147632837299E-2</v>
      </c>
      <c r="BG4" s="13">
        <v>-3.2038435339927673E-2</v>
      </c>
      <c r="BH4" s="13">
        <v>-2.992494776844978E-2</v>
      </c>
      <c r="BI4" s="13">
        <v>-3.1321626156568527E-2</v>
      </c>
      <c r="BJ4" s="13">
        <v>-3.0535932630300518E-2</v>
      </c>
      <c r="BK4" s="13">
        <v>-3.2727848738431931E-2</v>
      </c>
      <c r="BL4" s="13">
        <v>-3.1020708382129669E-2</v>
      </c>
      <c r="BM4" s="13">
        <v>-3.1905554234981537E-2</v>
      </c>
      <c r="BN4" s="13">
        <v>-1.146291196346283E-2</v>
      </c>
      <c r="BO4" s="13">
        <v>-2.2440502420067791E-2</v>
      </c>
      <c r="BP4" s="13">
        <v>-2.6134863495826721E-2</v>
      </c>
      <c r="BQ4" s="13">
        <v>-3.2739493995904922E-2</v>
      </c>
      <c r="BR4" s="13">
        <v>-1.1072360910475251E-2</v>
      </c>
      <c r="BS4" s="13">
        <v>-3.3545445650815957E-2</v>
      </c>
      <c r="BT4" s="13">
        <v>-2.5867762044072151E-2</v>
      </c>
      <c r="BU4" s="13">
        <v>-3.5770893096923828E-2</v>
      </c>
      <c r="BV4" s="13">
        <v>-3.3611096441745758E-2</v>
      </c>
      <c r="BW4" s="13">
        <v>-2.3763570934534069E-2</v>
      </c>
      <c r="BX4" s="13">
        <v>-3.2385952770709991E-2</v>
      </c>
      <c r="BY4" s="13">
        <v>-3.174808993935585E-2</v>
      </c>
      <c r="BZ4" s="13">
        <v>-3.5722728818655007E-2</v>
      </c>
      <c r="CA4" s="13">
        <v>-3.2349672168493271E-2</v>
      </c>
      <c r="CB4" s="13">
        <v>-2.4401739239692691E-2</v>
      </c>
      <c r="CC4" s="13">
        <v>-2.9154768213629719E-2</v>
      </c>
      <c r="CD4" s="13">
        <v>-2.6064924895763401E-2</v>
      </c>
      <c r="CE4" s="13">
        <v>-3.1504537910223007E-2</v>
      </c>
      <c r="CF4" s="13">
        <v>-3.0558105558156971E-2</v>
      </c>
      <c r="CG4" s="13">
        <v>-3.0557489022612572E-2</v>
      </c>
      <c r="CH4" s="13">
        <v>-3.119574673473835E-2</v>
      </c>
      <c r="CI4" s="13">
        <v>-3.099741600453854E-2</v>
      </c>
      <c r="CJ4" s="13">
        <v>-3.2932452857494347E-2</v>
      </c>
      <c r="CK4" s="13">
        <v>-3.1934447586536407E-2</v>
      </c>
      <c r="CL4" s="13">
        <v>-3.1415339559316642E-2</v>
      </c>
      <c r="CM4" s="13">
        <v>-3.0473604798316959E-2</v>
      </c>
      <c r="CN4" s="13">
        <v>-3.1549032777547843E-2</v>
      </c>
      <c r="CO4" s="13">
        <v>-3.048702701926231E-2</v>
      </c>
      <c r="CP4" s="13">
        <v>-3.008273430168629E-2</v>
      </c>
      <c r="CQ4" s="13">
        <v>-3.185567632317543E-2</v>
      </c>
      <c r="CR4" s="13">
        <v>-2.9665300622582439E-2</v>
      </c>
      <c r="CS4" s="13">
        <v>-3.06941531598568E-2</v>
      </c>
      <c r="CT4" s="13">
        <v>-2.3139951750636101E-2</v>
      </c>
      <c r="CU4" s="13">
        <v>-2.7379043400287632E-2</v>
      </c>
      <c r="CV4" s="13">
        <v>-2.8476610779762272E-2</v>
      </c>
      <c r="CW4" s="13">
        <v>-3.2229896634817123E-2</v>
      </c>
      <c r="CX4" s="13">
        <v>-2.7671042829751968E-2</v>
      </c>
      <c r="CY4" s="13">
        <v>-2.780521847307682E-2</v>
      </c>
      <c r="CZ4" s="13">
        <v>-2.5955270975828171E-2</v>
      </c>
      <c r="DA4" s="13">
        <v>-2.869330532848835E-2</v>
      </c>
      <c r="DB4" s="13">
        <v>-3.3299807459115982E-2</v>
      </c>
      <c r="DC4" s="13">
        <v>-3.2515127211809158E-2</v>
      </c>
      <c r="DD4" s="13">
        <v>-3.2184645533561707E-2</v>
      </c>
      <c r="DE4" s="13">
        <v>-2.9689539223909382E-2</v>
      </c>
      <c r="DF4" s="13">
        <v>-3.0039757490158081E-2</v>
      </c>
      <c r="DG4" s="13">
        <v>-2.7630811557173729E-2</v>
      </c>
      <c r="DH4" s="13">
        <v>-2.948114275932312E-2</v>
      </c>
      <c r="DI4" s="13">
        <v>-2.9837131500244141E-2</v>
      </c>
      <c r="DJ4" s="13">
        <v>-3.0152346938848499E-2</v>
      </c>
      <c r="DK4" s="13">
        <v>-2.9910968616604802E-2</v>
      </c>
      <c r="DL4" s="13">
        <v>-3.0357034876942631E-2</v>
      </c>
      <c r="DM4" s="13">
        <v>-2.8307907283306118E-2</v>
      </c>
      <c r="DN4" s="13">
        <v>-2.7425747364759449E-2</v>
      </c>
      <c r="DO4" s="13">
        <v>-2.8660286217927929E-2</v>
      </c>
      <c r="DP4" s="13">
        <v>-2.6614684611558911E-2</v>
      </c>
      <c r="DQ4" s="13">
        <v>-2.7624152600765228E-2</v>
      </c>
      <c r="DR4" s="13">
        <v>-2.8681257739663121E-2</v>
      </c>
      <c r="DS4" s="13">
        <v>-2.8064034879207611E-2</v>
      </c>
      <c r="DT4" s="13">
        <v>-2.8476167470216751E-2</v>
      </c>
      <c r="DU4" s="13">
        <v>-2.8130983933806419E-2</v>
      </c>
      <c r="DV4" s="13">
        <v>-2.8065690770745281E-2</v>
      </c>
      <c r="DW4" s="13">
        <v>-2.618366107344627E-2</v>
      </c>
      <c r="DX4" s="13">
        <v>-2.7583243325352669E-2</v>
      </c>
      <c r="DY4" s="13">
        <v>-2.974858321249485E-2</v>
      </c>
      <c r="DZ4" s="13">
        <v>-2.467053942382336E-2</v>
      </c>
      <c r="EA4" s="13">
        <v>-2.6180332526564602E-2</v>
      </c>
      <c r="EB4" s="13">
        <v>-2.6299703866243359E-2</v>
      </c>
      <c r="EC4" s="13">
        <v>-2.7548244222998619E-2</v>
      </c>
      <c r="ED4" s="13">
        <v>-2.391510829329491E-2</v>
      </c>
      <c r="EE4" s="13">
        <v>-3.1682092696428299E-2</v>
      </c>
      <c r="EF4" s="13">
        <v>-2.8993211686611179E-2</v>
      </c>
    </row>
    <row r="5" spans="1:136">
      <c r="A5" s="1"/>
      <c r="B5" s="2" t="s">
        <v>138</v>
      </c>
      <c r="C5" s="13">
        <v>-1.7830728320404889E-3</v>
      </c>
      <c r="D5" s="13">
        <v>-5.807969719171524E-3</v>
      </c>
      <c r="E5" s="13">
        <v>-5.4487348534166813E-3</v>
      </c>
      <c r="F5" s="13">
        <v>-5.0667491741478443E-3</v>
      </c>
      <c r="G5" s="13">
        <v>-7.0356116630136967E-3</v>
      </c>
      <c r="H5" s="13">
        <v>-5.7321330532431602E-3</v>
      </c>
      <c r="I5" s="13">
        <v>-4.5550367794930926E-3</v>
      </c>
      <c r="J5" s="13">
        <v>-6.6406917758285999E-3</v>
      </c>
      <c r="K5" s="13">
        <v>-7.1166539564728737E-3</v>
      </c>
      <c r="L5" s="13">
        <v>-5.1224259659647942E-3</v>
      </c>
      <c r="M5" s="13">
        <v>-6.61063427105546E-3</v>
      </c>
      <c r="N5" s="13">
        <v>5.8811819180846214E-3</v>
      </c>
      <c r="O5" s="13">
        <v>2.1359868347644809E-2</v>
      </c>
      <c r="P5" s="13">
        <v>1.4080207329243419E-3</v>
      </c>
      <c r="Q5" s="13">
        <v>2.8066970407962799E-3</v>
      </c>
      <c r="R5" s="13">
        <v>-6.5349945798516273E-3</v>
      </c>
      <c r="S5" s="13">
        <v>-3.3381129615008831E-3</v>
      </c>
      <c r="T5" s="13">
        <v>4.9602827057242393E-3</v>
      </c>
      <c r="U5" s="13">
        <v>3.3406838774681091E-3</v>
      </c>
      <c r="V5" s="13">
        <v>6.140547338873148E-4</v>
      </c>
      <c r="W5" s="13">
        <v>9.1809040168300271E-4</v>
      </c>
      <c r="X5" s="13">
        <v>-4.8206630162894726E-3</v>
      </c>
      <c r="Y5" s="13">
        <v>-9.6054915338754654E-3</v>
      </c>
      <c r="Z5" s="13">
        <v>-3.1937819439917798E-3</v>
      </c>
      <c r="AA5" s="13">
        <v>-1.071048714220524E-2</v>
      </c>
      <c r="AB5" s="13">
        <v>-8.0073485150933266E-3</v>
      </c>
      <c r="AC5" s="13">
        <v>-9.7105018794536591E-3</v>
      </c>
      <c r="AD5" s="13">
        <v>-1.193892490118742E-2</v>
      </c>
      <c r="AE5" s="13">
        <v>-9.1045163571834564E-3</v>
      </c>
      <c r="AF5" s="13">
        <v>-5.2170734852552414E-3</v>
      </c>
      <c r="AG5" s="13">
        <v>-6.7129302769899368E-3</v>
      </c>
      <c r="AH5" s="13">
        <v>-4.2343703098595142E-3</v>
      </c>
      <c r="AI5" s="13">
        <v>-3.7024291232228279E-3</v>
      </c>
      <c r="AJ5" s="13">
        <v>-3.4234239719808102E-3</v>
      </c>
      <c r="AK5" s="13">
        <v>-5.0286529585719109E-3</v>
      </c>
      <c r="AL5" s="13">
        <v>-5.3550507873296738E-3</v>
      </c>
      <c r="AM5" s="13">
        <v>-6.9953757338225842E-3</v>
      </c>
      <c r="AN5" s="13">
        <v>-1.9440042087808249E-3</v>
      </c>
      <c r="AO5" s="13">
        <v>-5.7561695575714111E-3</v>
      </c>
      <c r="AP5" s="13">
        <v>-5.5434941314160824E-3</v>
      </c>
      <c r="AQ5" s="13">
        <v>-8.768024854362011E-4</v>
      </c>
      <c r="AR5" s="13">
        <v>-3.7110829725861549E-3</v>
      </c>
      <c r="AS5" s="13">
        <v>-1.8258683849126101E-3</v>
      </c>
      <c r="AT5" s="13">
        <v>1.723302528262138E-2</v>
      </c>
      <c r="AU5" s="13">
        <v>-6.8042157217860222E-3</v>
      </c>
      <c r="AV5" s="13">
        <v>1.040650904178619E-2</v>
      </c>
      <c r="AW5" s="13">
        <v>-1.1680858209729189E-2</v>
      </c>
      <c r="AX5" s="13">
        <v>-1.109044998884201E-2</v>
      </c>
      <c r="AY5" s="13">
        <v>-7.5637380359694362E-4</v>
      </c>
      <c r="AZ5" s="13">
        <v>1.07489638030529E-2</v>
      </c>
      <c r="BA5" s="13">
        <v>-1.3510514982044699E-3</v>
      </c>
      <c r="BB5" s="13">
        <v>-7.5233145616948596E-3</v>
      </c>
      <c r="BC5" s="13">
        <v>1.9595171324908729E-3</v>
      </c>
      <c r="BD5" s="13">
        <v>-1.7605321481823921E-2</v>
      </c>
      <c r="BE5" s="13">
        <v>-5.7958187535405159E-3</v>
      </c>
      <c r="BF5" s="13">
        <v>6.0290488181635737E-4</v>
      </c>
      <c r="BG5" s="13">
        <v>-7.3045212775468826E-3</v>
      </c>
      <c r="BH5" s="13">
        <v>-4.3621701188385487E-3</v>
      </c>
      <c r="BI5" s="13">
        <v>6.2929122941568494E-4</v>
      </c>
      <c r="BJ5" s="13">
        <v>1.5743880067020649E-4</v>
      </c>
      <c r="BK5" s="13">
        <v>-8.4008211269974709E-3</v>
      </c>
      <c r="BL5" s="13">
        <v>-1.1468764860183001E-3</v>
      </c>
      <c r="BM5" s="13">
        <v>-2.949054585769773E-3</v>
      </c>
      <c r="BN5" s="13">
        <v>-6.1059690779075027E-4</v>
      </c>
      <c r="BO5" s="13">
        <v>-4.5644012279808521E-3</v>
      </c>
      <c r="BP5" s="13">
        <v>3.4177984343841672E-4</v>
      </c>
      <c r="BQ5" s="13">
        <v>1.0708648478612299E-3</v>
      </c>
      <c r="BR5" s="13">
        <v>4.8396759666502481E-4</v>
      </c>
      <c r="BS5" s="13">
        <v>-7.7918096212670207E-4</v>
      </c>
      <c r="BT5" s="13">
        <v>5.7771807769313455E-4</v>
      </c>
      <c r="BU5" s="13">
        <v>-4.3007326312363148E-3</v>
      </c>
      <c r="BV5" s="13">
        <v>-1.3925109524279831E-3</v>
      </c>
      <c r="BW5" s="13">
        <v>-3.6537761334329839E-3</v>
      </c>
      <c r="BX5" s="13">
        <v>-1.9937008619308472E-3</v>
      </c>
      <c r="BY5" s="13">
        <v>-2.6817773468792439E-3</v>
      </c>
      <c r="BZ5" s="13">
        <v>2.2256071679294109E-3</v>
      </c>
      <c r="CA5" s="13">
        <v>-1.7740057781338692E-2</v>
      </c>
      <c r="CB5" s="13">
        <v>-1.854742132127285E-2</v>
      </c>
      <c r="CC5" s="13">
        <v>-8.9547159150242805E-3</v>
      </c>
      <c r="CD5" s="13">
        <v>-6.0267932713031769E-3</v>
      </c>
      <c r="CE5" s="13">
        <v>4.5224521309137336E-3</v>
      </c>
      <c r="CF5" s="13">
        <v>-4.9523431807756424E-3</v>
      </c>
      <c r="CG5" s="13">
        <v>-1.120204571634531E-3</v>
      </c>
      <c r="CH5" s="13">
        <v>-3.2324404455721378E-3</v>
      </c>
      <c r="CI5" s="13">
        <v>-5.5289170704782009E-3</v>
      </c>
      <c r="CJ5" s="13">
        <v>4.4923755340278149E-3</v>
      </c>
      <c r="CK5" s="13">
        <v>-6.095989141613245E-3</v>
      </c>
      <c r="CL5" s="13">
        <v>-8.0949869006872177E-3</v>
      </c>
      <c r="CM5" s="13">
        <v>5.0488505512475967E-3</v>
      </c>
      <c r="CN5" s="13">
        <v>-1.788548310287297E-3</v>
      </c>
      <c r="CO5" s="13">
        <v>2.7636219747364521E-3</v>
      </c>
      <c r="CP5" s="13">
        <v>-3.583973273634911E-3</v>
      </c>
      <c r="CQ5" s="13">
        <v>-4.7339932061731824E-3</v>
      </c>
      <c r="CR5" s="13">
        <v>1.54245609883219E-3</v>
      </c>
      <c r="CS5" s="13">
        <v>-6.9501805119216442E-3</v>
      </c>
      <c r="CT5" s="13">
        <v>-6.800045957788825E-4</v>
      </c>
      <c r="CU5" s="13">
        <v>-3.5899188369512558E-3</v>
      </c>
      <c r="CV5" s="13">
        <v>-9.6032914007082582E-4</v>
      </c>
      <c r="CW5" s="13">
        <v>-3.6334127653390169E-3</v>
      </c>
      <c r="CX5" s="13">
        <v>-1.5083478065207601E-3</v>
      </c>
      <c r="CY5" s="13">
        <v>-2.2476767189800739E-3</v>
      </c>
      <c r="CZ5" s="13">
        <v>-1.561234821565449E-4</v>
      </c>
      <c r="DA5" s="13">
        <v>-1.49183627218008E-3</v>
      </c>
      <c r="DB5" s="13">
        <v>-3.169323550537229E-3</v>
      </c>
      <c r="DC5" s="13">
        <v>-3.9032646454870701E-3</v>
      </c>
      <c r="DD5" s="13">
        <v>-4.5191487297415733E-3</v>
      </c>
      <c r="DE5" s="13">
        <v>-5.4920930415391922E-3</v>
      </c>
      <c r="DF5" s="13">
        <v>-1.9542425870895389E-2</v>
      </c>
      <c r="DG5" s="13">
        <v>-5.0942343659698963E-3</v>
      </c>
      <c r="DH5" s="13">
        <v>-4.3465639464557171E-3</v>
      </c>
      <c r="DI5" s="13">
        <v>-1.3278067111968991E-2</v>
      </c>
      <c r="DJ5" s="13">
        <v>2.4301805533468719E-3</v>
      </c>
      <c r="DK5" s="13">
        <v>-8.2946429029107094E-3</v>
      </c>
      <c r="DL5" s="13">
        <v>-4.3598045594990253E-3</v>
      </c>
      <c r="DM5" s="13">
        <v>-1.441237283870578E-3</v>
      </c>
      <c r="DN5" s="13">
        <v>-3.749192226678133E-3</v>
      </c>
      <c r="DO5" s="13">
        <v>1.835820032283664E-3</v>
      </c>
      <c r="DP5" s="13">
        <v>-4.5633451081812382E-3</v>
      </c>
      <c r="DQ5" s="13">
        <v>-4.5281355269253254E-3</v>
      </c>
      <c r="DR5" s="13">
        <v>-7.0934956893324852E-3</v>
      </c>
      <c r="DS5" s="13">
        <v>-3.5971722099930048E-3</v>
      </c>
      <c r="DT5" s="13">
        <v>-1.070812228135765E-3</v>
      </c>
      <c r="DU5" s="13">
        <v>-5.7690823450684547E-3</v>
      </c>
      <c r="DV5" s="13">
        <v>-3.1534233130514622E-3</v>
      </c>
      <c r="DW5" s="13">
        <v>-6.9596427492797366E-3</v>
      </c>
      <c r="DX5" s="13">
        <v>-6.651862058788538E-3</v>
      </c>
      <c r="DY5" s="13">
        <v>-3.220914863049984E-3</v>
      </c>
      <c r="DZ5" s="13">
        <v>-1.9205159042030571E-3</v>
      </c>
      <c r="EA5" s="13">
        <v>-2.516824752092361E-3</v>
      </c>
      <c r="EB5" s="13">
        <v>-4.4912919402122498E-3</v>
      </c>
      <c r="EC5" s="13">
        <v>-4.5820055529475212E-3</v>
      </c>
      <c r="ED5" s="13">
        <v>-6.5560955554246902E-3</v>
      </c>
      <c r="EE5" s="13">
        <v>-5.9297331608831882E-3</v>
      </c>
      <c r="EF5" s="13">
        <v>-6.2290588393807411E-3</v>
      </c>
    </row>
    <row r="6" spans="1:136">
      <c r="A6" s="2" t="s">
        <v>139</v>
      </c>
      <c r="B6" s="1"/>
      <c r="C6" s="13">
        <f t="array" ref="C6">MATCH(MAX(ABS(C3:C5)),ABS(C3:C5),0)</f>
        <v>1</v>
      </c>
      <c r="D6" s="13">
        <f t="array" ref="D6">MATCH(MAX(ABS(D3:D5)),ABS(D3:D5),0)</f>
        <v>2</v>
      </c>
      <c r="E6" s="13">
        <f t="array" ref="E6">MATCH(MAX(ABS(E3:E5)),ABS(E3:E5),0)</f>
        <v>1</v>
      </c>
      <c r="F6" s="13">
        <f t="array" ref="F6">MATCH(MAX(ABS(F3:F5)),ABS(F3:F5),0)</f>
        <v>2</v>
      </c>
      <c r="G6" s="13">
        <f t="array" ref="G6">MATCH(MAX(ABS(G3:G5)),ABS(G3:G5),0)</f>
        <v>1</v>
      </c>
      <c r="H6" s="13">
        <f t="array" ref="H6">MATCH(MAX(ABS(H3:H5)),ABS(H3:H5),0)</f>
        <v>2</v>
      </c>
      <c r="I6" s="13">
        <f t="array" ref="I6">MATCH(MAX(ABS(I3:I5)),ABS(I3:I5),0)</f>
        <v>2</v>
      </c>
      <c r="J6" s="13">
        <f t="array" ref="J6">MATCH(MAX(ABS(J3:J5)),ABS(J3:J5),0)</f>
        <v>2</v>
      </c>
      <c r="K6" s="13">
        <f t="array" ref="K6">MATCH(MAX(ABS(K3:K5)),ABS(K3:K5),0)</f>
        <v>1</v>
      </c>
      <c r="L6" s="13">
        <f t="array" ref="L6">MATCH(MAX(ABS(L3:L5)),ABS(L3:L5),0)</f>
        <v>1</v>
      </c>
      <c r="M6" s="13">
        <f t="array" ref="M6">MATCH(MAX(ABS(M3:M5)),ABS(M3:M5),0)</f>
        <v>2</v>
      </c>
      <c r="N6" s="13">
        <f t="array" ref="N6">MATCH(MAX(ABS(N3:N5)),ABS(N3:N5),0)</f>
        <v>2</v>
      </c>
      <c r="O6" s="13">
        <f t="array" ref="O6">MATCH(MAX(ABS(O3:O5)),ABS(O3:O5),0)</f>
        <v>2</v>
      </c>
      <c r="P6" s="13">
        <f t="array" ref="P6">MATCH(MAX(ABS(P3:P5)),ABS(P3:P5),0)</f>
        <v>2</v>
      </c>
      <c r="Q6" s="13">
        <f t="array" ref="Q6">MATCH(MAX(ABS(Q3:Q5)),ABS(Q3:Q5),0)</f>
        <v>2</v>
      </c>
      <c r="R6" s="13">
        <f t="array" ref="R6">MATCH(MAX(ABS(R3:R5)),ABS(R3:R5),0)</f>
        <v>2</v>
      </c>
      <c r="S6" s="13">
        <f t="array" ref="S6">MATCH(MAX(ABS(S3:S5)),ABS(S3:S5),0)</f>
        <v>2</v>
      </c>
      <c r="T6" s="13">
        <f t="array" ref="T6">MATCH(MAX(ABS(T3:T5)),ABS(T3:T5),0)</f>
        <v>2</v>
      </c>
      <c r="U6" s="13">
        <f t="array" ref="U6">MATCH(MAX(ABS(U3:U5)),ABS(U3:U5),0)</f>
        <v>2</v>
      </c>
      <c r="V6" s="13">
        <f t="array" ref="V6">MATCH(MAX(ABS(V3:V5)),ABS(V3:V5),0)</f>
        <v>2</v>
      </c>
      <c r="W6" s="13">
        <f t="array" ref="W6">MATCH(MAX(ABS(W3:W5)),ABS(W3:W5),0)</f>
        <v>2</v>
      </c>
      <c r="X6" s="13">
        <f t="array" ref="X6">MATCH(MAX(ABS(X3:X5)),ABS(X3:X5),0)</f>
        <v>2</v>
      </c>
      <c r="Y6" s="13">
        <f t="array" ref="Y6">MATCH(MAX(ABS(Y3:Y5)),ABS(Y3:Y5),0)</f>
        <v>2</v>
      </c>
      <c r="Z6" s="13">
        <f t="array" ref="Z6">MATCH(MAX(ABS(Z3:Z5)),ABS(Z3:Z5),0)</f>
        <v>2</v>
      </c>
      <c r="AA6" s="13">
        <f t="array" ref="AA6">MATCH(MAX(ABS(AA3:AA5)),ABS(AA3:AA5),0)</f>
        <v>1</v>
      </c>
      <c r="AB6" s="13">
        <f t="array" ref="AB6">MATCH(MAX(ABS(AB3:AB5)),ABS(AB3:AB5),0)</f>
        <v>2</v>
      </c>
      <c r="AC6" s="13">
        <f t="array" ref="AC6">MATCH(MAX(ABS(AC3:AC5)),ABS(AC3:AC5),0)</f>
        <v>2</v>
      </c>
      <c r="AD6" s="13">
        <f t="array" ref="AD6">MATCH(MAX(ABS(AD3:AD5)),ABS(AD3:AD5),0)</f>
        <v>1</v>
      </c>
      <c r="AE6" s="13">
        <f t="array" ref="AE6">MATCH(MAX(ABS(AE3:AE5)),ABS(AE3:AE5),0)</f>
        <v>2</v>
      </c>
      <c r="AF6" s="13">
        <f t="array" ref="AF6">MATCH(MAX(ABS(AF3:AF5)),ABS(AF3:AF5),0)</f>
        <v>1</v>
      </c>
      <c r="AG6" s="13">
        <f t="array" ref="AG6">MATCH(MAX(ABS(AG3:AG5)),ABS(AG3:AG5),0)</f>
        <v>2</v>
      </c>
      <c r="AH6" s="13">
        <f t="array" ref="AH6">MATCH(MAX(ABS(AH3:AH5)),ABS(AH3:AH5),0)</f>
        <v>1</v>
      </c>
      <c r="AI6" s="13">
        <f t="array" ref="AI6">MATCH(MAX(ABS(AI3:AI5)),ABS(AI3:AI5),0)</f>
        <v>2</v>
      </c>
      <c r="AJ6" s="13">
        <f t="array" ref="AJ6">MATCH(MAX(ABS(AJ3:AJ5)),ABS(AJ3:AJ5),0)</f>
        <v>2</v>
      </c>
      <c r="AK6" s="13">
        <f t="array" ref="AK6">MATCH(MAX(ABS(AK3:AK5)),ABS(AK3:AK5),0)</f>
        <v>2</v>
      </c>
      <c r="AL6" s="13">
        <f t="array" ref="AL6">MATCH(MAX(ABS(AL3:AL5)),ABS(AL3:AL5),0)</f>
        <v>1</v>
      </c>
      <c r="AM6" s="13">
        <f t="array" ref="AM6">MATCH(MAX(ABS(AM3:AM5)),ABS(AM3:AM5),0)</f>
        <v>1</v>
      </c>
      <c r="AN6" s="13">
        <f t="array" ref="AN6">MATCH(MAX(ABS(AN3:AN5)),ABS(AN3:AN5),0)</f>
        <v>1</v>
      </c>
      <c r="AO6" s="13">
        <f t="array" ref="AO6">MATCH(MAX(ABS(AO3:AO5)),ABS(AO3:AO5),0)</f>
        <v>1</v>
      </c>
      <c r="AP6" s="13">
        <f t="array" ref="AP6">MATCH(MAX(ABS(AP3:AP5)),ABS(AP3:AP5),0)</f>
        <v>2</v>
      </c>
      <c r="AQ6" s="13">
        <f t="array" ref="AQ6">MATCH(MAX(ABS(AQ3:AQ5)),ABS(AQ3:AQ5),0)</f>
        <v>1</v>
      </c>
      <c r="AR6" s="13">
        <f t="array" ref="AR6">MATCH(MAX(ABS(AR3:AR5)),ABS(AR3:AR5),0)</f>
        <v>1</v>
      </c>
      <c r="AS6" s="13">
        <f t="array" ref="AS6">MATCH(MAX(ABS(AS3:AS5)),ABS(AS3:AS5),0)</f>
        <v>1</v>
      </c>
      <c r="AT6" s="13">
        <f t="array" ref="AT6">MATCH(MAX(ABS(AT3:AT5)),ABS(AT3:AT5),0)</f>
        <v>1</v>
      </c>
      <c r="AU6" s="13">
        <f t="array" ref="AU6">MATCH(MAX(ABS(AU3:AU5)),ABS(AU3:AU5),0)</f>
        <v>1</v>
      </c>
      <c r="AV6" s="13">
        <f t="array" ref="AV6">MATCH(MAX(ABS(AV3:AV5)),ABS(AV3:AV5),0)</f>
        <v>1</v>
      </c>
      <c r="AW6" s="13">
        <f t="array" ref="AW6">MATCH(MAX(ABS(AW3:AW5)),ABS(AW3:AW5),0)</f>
        <v>1</v>
      </c>
      <c r="AX6" s="13">
        <f t="array" ref="AX6">MATCH(MAX(ABS(AX3:AX5)),ABS(AX3:AX5),0)</f>
        <v>2</v>
      </c>
      <c r="AY6" s="13">
        <f t="array" ref="AY6">MATCH(MAX(ABS(AY3:AY5)),ABS(AY3:AY5),0)</f>
        <v>1</v>
      </c>
      <c r="AZ6" s="13">
        <f t="array" ref="AZ6">MATCH(MAX(ABS(AZ3:AZ5)),ABS(AZ3:AZ5),0)</f>
        <v>1</v>
      </c>
      <c r="BA6" s="13">
        <f t="array" ref="BA6">MATCH(MAX(ABS(BA3:BA5)),ABS(BA3:BA5),0)</f>
        <v>1</v>
      </c>
      <c r="BB6" s="13">
        <f t="array" ref="BB6">MATCH(MAX(ABS(BB3:BB5)),ABS(BB3:BB5),0)</f>
        <v>1</v>
      </c>
      <c r="BC6" s="13">
        <f t="array" ref="BC6">MATCH(MAX(ABS(BC3:BC5)),ABS(BC3:BC5),0)</f>
        <v>1</v>
      </c>
      <c r="BD6" s="13">
        <f t="array" ref="BD6">MATCH(MAX(ABS(BD3:BD5)),ABS(BD3:BD5),0)</f>
        <v>1</v>
      </c>
      <c r="BE6" s="13">
        <f t="array" ref="BE6">MATCH(MAX(ABS(BE3:BE5)),ABS(BE3:BE5),0)</f>
        <v>1</v>
      </c>
      <c r="BF6" s="13">
        <f t="array" ref="BF6">MATCH(MAX(ABS(BF3:BF5)),ABS(BF3:BF5),0)</f>
        <v>1</v>
      </c>
      <c r="BG6" s="13">
        <f t="array" ref="BG6">MATCH(MAX(ABS(BG3:BG5)),ABS(BG3:BG5),0)</f>
        <v>1</v>
      </c>
      <c r="BH6" s="13">
        <f t="array" ref="BH6">MATCH(MAX(ABS(BH3:BH5)),ABS(BH3:BH5),0)</f>
        <v>1</v>
      </c>
      <c r="BI6" s="13">
        <f t="array" ref="BI6">MATCH(MAX(ABS(BI3:BI5)),ABS(BI3:BI5),0)</f>
        <v>1</v>
      </c>
      <c r="BJ6" s="13">
        <f t="array" ref="BJ6">MATCH(MAX(ABS(BJ3:BJ5)),ABS(BJ3:BJ5),0)</f>
        <v>1</v>
      </c>
      <c r="BK6" s="13">
        <f t="array" ref="BK6">MATCH(MAX(ABS(BK3:BK5)),ABS(BK3:BK5),0)</f>
        <v>1</v>
      </c>
      <c r="BL6" s="13">
        <f t="array" ref="BL6">MATCH(MAX(ABS(BL3:BL5)),ABS(BL3:BL5),0)</f>
        <v>1</v>
      </c>
      <c r="BM6" s="13">
        <f t="array" ref="BM6">MATCH(MAX(ABS(BM3:BM5)),ABS(BM3:BM5),0)</f>
        <v>1</v>
      </c>
      <c r="BN6" s="13">
        <f t="array" ref="BN6">MATCH(MAX(ABS(BN3:BN5)),ABS(BN3:BN5),0)</f>
        <v>1</v>
      </c>
      <c r="BO6" s="13">
        <f t="array" ref="BO6">MATCH(MAX(ABS(BO3:BO5)),ABS(BO3:BO5),0)</f>
        <v>1</v>
      </c>
      <c r="BP6" s="13">
        <f t="array" ref="BP6">MATCH(MAX(ABS(BP3:BP5)),ABS(BP3:BP5),0)</f>
        <v>1</v>
      </c>
      <c r="BQ6" s="13">
        <f t="array" ref="BQ6">MATCH(MAX(ABS(BQ3:BQ5)),ABS(BQ3:BQ5),0)</f>
        <v>1</v>
      </c>
      <c r="BR6" s="13">
        <f t="array" ref="BR6">MATCH(MAX(ABS(BR3:BR5)),ABS(BR3:BR5),0)</f>
        <v>1</v>
      </c>
      <c r="BS6" s="13">
        <f t="array" ref="BS6">MATCH(MAX(ABS(BS3:BS5)),ABS(BS3:BS5),0)</f>
        <v>1</v>
      </c>
      <c r="BT6" s="13">
        <f t="array" ref="BT6">MATCH(MAX(ABS(BT3:BT5)),ABS(BT3:BT5),0)</f>
        <v>1</v>
      </c>
      <c r="BU6" s="13">
        <f t="array" ref="BU6">MATCH(MAX(ABS(BU3:BU5)),ABS(BU3:BU5),0)</f>
        <v>1</v>
      </c>
      <c r="BV6" s="13">
        <f t="array" ref="BV6">MATCH(MAX(ABS(BV3:BV5)),ABS(BV3:BV5),0)</f>
        <v>1</v>
      </c>
      <c r="BW6" s="13">
        <f t="array" ref="BW6">MATCH(MAX(ABS(BW3:BW5)),ABS(BW3:BW5),0)</f>
        <v>1</v>
      </c>
      <c r="BX6" s="13">
        <f t="array" ref="BX6">MATCH(MAX(ABS(BX3:BX5)),ABS(BX3:BX5),0)</f>
        <v>1</v>
      </c>
      <c r="BY6" s="13">
        <f t="array" ref="BY6">MATCH(MAX(ABS(BY3:BY5)),ABS(BY3:BY5),0)</f>
        <v>1</v>
      </c>
      <c r="BZ6" s="13">
        <f t="array" ref="BZ6">MATCH(MAX(ABS(BZ3:BZ5)),ABS(BZ3:BZ5),0)</f>
        <v>1</v>
      </c>
      <c r="CA6" s="13">
        <f t="array" ref="CA6">MATCH(MAX(ABS(CA3:CA5)),ABS(CA3:CA5),0)</f>
        <v>2</v>
      </c>
      <c r="CB6" s="13">
        <f t="array" ref="CB6">MATCH(MAX(ABS(CB3:CB5)),ABS(CB3:CB5),0)</f>
        <v>1</v>
      </c>
      <c r="CC6" s="13">
        <f t="array" ref="CC6">MATCH(MAX(ABS(CC3:CC5)),ABS(CC3:CC5),0)</f>
        <v>1</v>
      </c>
      <c r="CD6" s="13">
        <f t="array" ref="CD6">MATCH(MAX(ABS(CD3:CD5)),ABS(CD3:CD5),0)</f>
        <v>1</v>
      </c>
      <c r="CE6" s="13">
        <f t="array" ref="CE6">MATCH(MAX(ABS(CE3:CE5)),ABS(CE3:CE5),0)</f>
        <v>1</v>
      </c>
      <c r="CF6" s="13">
        <f t="array" ref="CF6">MATCH(MAX(ABS(CF3:CF5)),ABS(CF3:CF5),0)</f>
        <v>1</v>
      </c>
      <c r="CG6" s="13">
        <f t="array" ref="CG6">MATCH(MAX(ABS(CG3:CG5)),ABS(CG3:CG5),0)</f>
        <v>1</v>
      </c>
      <c r="CH6" s="13">
        <f t="array" ref="CH6">MATCH(MAX(ABS(CH3:CH5)),ABS(CH3:CH5),0)</f>
        <v>1</v>
      </c>
      <c r="CI6" s="13">
        <f t="array" ref="CI6">MATCH(MAX(ABS(CI3:CI5)),ABS(CI3:CI5),0)</f>
        <v>1</v>
      </c>
      <c r="CJ6" s="13">
        <f t="array" ref="CJ6">MATCH(MAX(ABS(CJ3:CJ5)),ABS(CJ3:CJ5),0)</f>
        <v>1</v>
      </c>
      <c r="CK6" s="13">
        <f t="array" ref="CK6">MATCH(MAX(ABS(CK3:CK5)),ABS(CK3:CK5),0)</f>
        <v>1</v>
      </c>
      <c r="CL6" s="13">
        <f t="array" ref="CL6">MATCH(MAX(ABS(CL3:CL5)),ABS(CL3:CL5),0)</f>
        <v>1</v>
      </c>
      <c r="CM6" s="13">
        <f t="array" ref="CM6">MATCH(MAX(ABS(CM3:CM5)),ABS(CM3:CM5),0)</f>
        <v>1</v>
      </c>
      <c r="CN6" s="13">
        <f t="array" ref="CN6">MATCH(MAX(ABS(CN3:CN5)),ABS(CN3:CN5),0)</f>
        <v>1</v>
      </c>
      <c r="CO6" s="13">
        <f t="array" ref="CO6">MATCH(MAX(ABS(CO3:CO5)),ABS(CO3:CO5),0)</f>
        <v>1</v>
      </c>
      <c r="CP6" s="13">
        <f t="array" ref="CP6">MATCH(MAX(ABS(CP3:CP5)),ABS(CP3:CP5),0)</f>
        <v>1</v>
      </c>
      <c r="CQ6" s="13">
        <f t="array" ref="CQ6">MATCH(MAX(ABS(CQ3:CQ5)),ABS(CQ3:CQ5),0)</f>
        <v>1</v>
      </c>
      <c r="CR6" s="13">
        <f t="array" ref="CR6">MATCH(MAX(ABS(CR3:CR5)),ABS(CR3:CR5),0)</f>
        <v>1</v>
      </c>
      <c r="CS6" s="13">
        <f t="array" ref="CS6">MATCH(MAX(ABS(CS3:CS5)),ABS(CS3:CS5),0)</f>
        <v>1</v>
      </c>
      <c r="CT6" s="13">
        <f t="array" ref="CT6">MATCH(MAX(ABS(CT3:CT5)),ABS(CT3:CT5),0)</f>
        <v>1</v>
      </c>
      <c r="CU6" s="13">
        <f t="array" ref="CU6">MATCH(MAX(ABS(CU3:CU5)),ABS(CU3:CU5),0)</f>
        <v>1</v>
      </c>
      <c r="CV6" s="13">
        <f t="array" ref="CV6">MATCH(MAX(ABS(CV3:CV5)),ABS(CV3:CV5),0)</f>
        <v>1</v>
      </c>
      <c r="CW6" s="13">
        <f t="array" ref="CW6">MATCH(MAX(ABS(CW3:CW5)),ABS(CW3:CW5),0)</f>
        <v>1</v>
      </c>
      <c r="CX6" s="13">
        <f t="array" ref="CX6">MATCH(MAX(ABS(CX3:CX5)),ABS(CX3:CX5),0)</f>
        <v>1</v>
      </c>
      <c r="CY6" s="13">
        <f t="array" ref="CY6">MATCH(MAX(ABS(CY3:CY5)),ABS(CY3:CY5),0)</f>
        <v>1</v>
      </c>
      <c r="CZ6" s="13">
        <f t="array" ref="CZ6">MATCH(MAX(ABS(CZ3:CZ5)),ABS(CZ3:CZ5),0)</f>
        <v>1</v>
      </c>
      <c r="DA6" s="13">
        <f t="array" ref="DA6">MATCH(MAX(ABS(DA3:DA5)),ABS(DA3:DA5),0)</f>
        <v>1</v>
      </c>
      <c r="DB6" s="13">
        <f t="array" ref="DB6">MATCH(MAX(ABS(DB3:DB5)),ABS(DB3:DB5),0)</f>
        <v>1</v>
      </c>
      <c r="DC6" s="13">
        <f t="array" ref="DC6">MATCH(MAX(ABS(DC3:DC5)),ABS(DC3:DC5),0)</f>
        <v>1</v>
      </c>
      <c r="DD6" s="13">
        <f t="array" ref="DD6">MATCH(MAX(ABS(DD3:DD5)),ABS(DD3:DD5),0)</f>
        <v>1</v>
      </c>
      <c r="DE6" s="13">
        <f t="array" ref="DE6">MATCH(MAX(ABS(DE3:DE5)),ABS(DE3:DE5),0)</f>
        <v>1</v>
      </c>
      <c r="DF6" s="13">
        <f t="array" ref="DF6">MATCH(MAX(ABS(DF3:DF5)),ABS(DF3:DF5),0)</f>
        <v>1</v>
      </c>
      <c r="DG6" s="13">
        <f t="array" ref="DG6">MATCH(MAX(ABS(DG3:DG5)),ABS(DG3:DG5),0)</f>
        <v>1</v>
      </c>
      <c r="DH6" s="13">
        <f t="array" ref="DH6">MATCH(MAX(ABS(DH3:DH5)),ABS(DH3:DH5),0)</f>
        <v>1</v>
      </c>
      <c r="DI6" s="13">
        <f t="array" ref="DI6">MATCH(MAX(ABS(DI3:DI5)),ABS(DI3:DI5),0)</f>
        <v>1</v>
      </c>
      <c r="DJ6" s="13">
        <f t="array" ref="DJ6">MATCH(MAX(ABS(DJ3:DJ5)),ABS(DJ3:DJ5),0)</f>
        <v>1</v>
      </c>
      <c r="DK6" s="13">
        <f t="array" ref="DK6">MATCH(MAX(ABS(DK3:DK5)),ABS(DK3:DK5),0)</f>
        <v>1</v>
      </c>
      <c r="DL6" s="13">
        <f t="array" ref="DL6">MATCH(MAX(ABS(DL3:DL5)),ABS(DL3:DL5),0)</f>
        <v>1</v>
      </c>
      <c r="DM6" s="13">
        <f t="array" ref="DM6">MATCH(MAX(ABS(DM3:DM5)),ABS(DM3:DM5),0)</f>
        <v>1</v>
      </c>
      <c r="DN6" s="13">
        <f t="array" ref="DN6">MATCH(MAX(ABS(DN3:DN5)),ABS(DN3:DN5),0)</f>
        <v>1</v>
      </c>
      <c r="DO6" s="13">
        <f t="array" ref="DO6">MATCH(MAX(ABS(DO3:DO5)),ABS(DO3:DO5),0)</f>
        <v>1</v>
      </c>
      <c r="DP6" s="13">
        <f t="array" ref="DP6">MATCH(MAX(ABS(DP3:DP5)),ABS(DP3:DP5),0)</f>
        <v>1</v>
      </c>
      <c r="DQ6" s="13">
        <f t="array" ref="DQ6">MATCH(MAX(ABS(DQ3:DQ5)),ABS(DQ3:DQ5),0)</f>
        <v>1</v>
      </c>
      <c r="DR6" s="13">
        <f t="array" ref="DR6">MATCH(MAX(ABS(DR3:DR5)),ABS(DR3:DR5),0)</f>
        <v>1</v>
      </c>
      <c r="DS6" s="13">
        <f t="array" ref="DS6">MATCH(MAX(ABS(DS3:DS5)),ABS(DS3:DS5),0)</f>
        <v>1</v>
      </c>
      <c r="DT6" s="13">
        <f t="array" ref="DT6">MATCH(MAX(ABS(DT3:DT5)),ABS(DT3:DT5),0)</f>
        <v>1</v>
      </c>
      <c r="DU6" s="13">
        <f t="array" ref="DU6">MATCH(MAX(ABS(DU3:DU5)),ABS(DU3:DU5),0)</f>
        <v>1</v>
      </c>
      <c r="DV6" s="13">
        <f t="array" ref="DV6">MATCH(MAX(ABS(DV3:DV5)),ABS(DV3:DV5),0)</f>
        <v>1</v>
      </c>
      <c r="DW6" s="13">
        <f t="array" ref="DW6">MATCH(MAX(ABS(DW3:DW5)),ABS(DW3:DW5),0)</f>
        <v>1</v>
      </c>
      <c r="DX6" s="13">
        <f t="array" ref="DX6">MATCH(MAX(ABS(DX3:DX5)),ABS(DX3:DX5),0)</f>
        <v>1</v>
      </c>
      <c r="DY6" s="13">
        <f t="array" ref="DY6">MATCH(MAX(ABS(DY3:DY5)),ABS(DY3:DY5),0)</f>
        <v>1</v>
      </c>
      <c r="DZ6" s="13">
        <f t="array" ref="DZ6">MATCH(MAX(ABS(DZ3:DZ5)),ABS(DZ3:DZ5),0)</f>
        <v>1</v>
      </c>
      <c r="EA6" s="13">
        <f t="array" ref="EA6">MATCH(MAX(ABS(EA3:EA5)),ABS(EA3:EA5),0)</f>
        <v>1</v>
      </c>
      <c r="EB6" s="13">
        <f t="array" ref="EB6">MATCH(MAX(ABS(EB3:EB5)),ABS(EB3:EB5),0)</f>
        <v>1</v>
      </c>
      <c r="EC6" s="13">
        <f t="array" ref="EC6">MATCH(MAX(ABS(EC3:EC5)),ABS(EC3:EC5),0)</f>
        <v>1</v>
      </c>
      <c r="ED6" s="13">
        <f t="array" ref="ED6">MATCH(MAX(ABS(ED3:ED5)),ABS(ED3:ED5),0)</f>
        <v>1</v>
      </c>
      <c r="EE6" s="13">
        <f t="array" ref="EE6">MATCH(MAX(ABS(EE3:EE5)),ABS(EE3:EE5),0)</f>
        <v>1</v>
      </c>
      <c r="EF6" s="13">
        <f t="array" ref="EF6">MATCH(MAX(ABS(EF3:EF5)),ABS(EF3:EF5),0)</f>
        <v>1</v>
      </c>
    </row>
    <row r="7" spans="1:136">
      <c r="C7" s="14" t="str">
        <f t="shared" ref="C7:AH7" si="0">IF(C6=1,"bm",IF(C6=2,"size",IF(C6=3,"mom")))</f>
        <v>bm</v>
      </c>
      <c r="D7" s="14" t="str">
        <f t="shared" si="0"/>
        <v>size</v>
      </c>
      <c r="E7" s="14" t="str">
        <f t="shared" si="0"/>
        <v>bm</v>
      </c>
      <c r="F7" s="14" t="str">
        <f t="shared" si="0"/>
        <v>size</v>
      </c>
      <c r="G7" s="14" t="str">
        <f t="shared" si="0"/>
        <v>bm</v>
      </c>
      <c r="H7" s="14" t="str">
        <f t="shared" si="0"/>
        <v>size</v>
      </c>
      <c r="I7" s="14" t="str">
        <f t="shared" si="0"/>
        <v>size</v>
      </c>
      <c r="J7" s="14" t="str">
        <f t="shared" si="0"/>
        <v>size</v>
      </c>
      <c r="K7" s="14" t="str">
        <f t="shared" si="0"/>
        <v>bm</v>
      </c>
      <c r="L7" s="14" t="str">
        <f t="shared" si="0"/>
        <v>bm</v>
      </c>
      <c r="M7" s="14" t="str">
        <f t="shared" si="0"/>
        <v>size</v>
      </c>
      <c r="N7" s="14" t="str">
        <f t="shared" si="0"/>
        <v>size</v>
      </c>
      <c r="O7" s="14" t="str">
        <f t="shared" si="0"/>
        <v>size</v>
      </c>
      <c r="P7" s="14" t="str">
        <f t="shared" si="0"/>
        <v>size</v>
      </c>
      <c r="Q7" s="14" t="str">
        <f t="shared" si="0"/>
        <v>size</v>
      </c>
      <c r="R7" s="14" t="str">
        <f t="shared" si="0"/>
        <v>size</v>
      </c>
      <c r="S7" s="14" t="str">
        <f t="shared" si="0"/>
        <v>size</v>
      </c>
      <c r="T7" s="14" t="str">
        <f t="shared" si="0"/>
        <v>size</v>
      </c>
      <c r="U7" s="14" t="str">
        <f t="shared" si="0"/>
        <v>size</v>
      </c>
      <c r="V7" s="14" t="str">
        <f t="shared" si="0"/>
        <v>size</v>
      </c>
      <c r="W7" s="14" t="str">
        <f t="shared" si="0"/>
        <v>size</v>
      </c>
      <c r="X7" s="14" t="str">
        <f t="shared" si="0"/>
        <v>size</v>
      </c>
      <c r="Y7" s="14" t="str">
        <f t="shared" si="0"/>
        <v>size</v>
      </c>
      <c r="Z7" s="14" t="str">
        <f t="shared" si="0"/>
        <v>size</v>
      </c>
      <c r="AA7" s="14" t="str">
        <f t="shared" si="0"/>
        <v>bm</v>
      </c>
      <c r="AB7" s="14" t="str">
        <f t="shared" si="0"/>
        <v>size</v>
      </c>
      <c r="AC7" s="14" t="str">
        <f t="shared" si="0"/>
        <v>size</v>
      </c>
      <c r="AD7" s="14" t="str">
        <f t="shared" si="0"/>
        <v>bm</v>
      </c>
      <c r="AE7" s="14" t="str">
        <f t="shared" si="0"/>
        <v>size</v>
      </c>
      <c r="AF7" s="14" t="str">
        <f t="shared" si="0"/>
        <v>bm</v>
      </c>
      <c r="AG7" s="14" t="str">
        <f t="shared" si="0"/>
        <v>size</v>
      </c>
      <c r="AH7" s="14" t="str">
        <f t="shared" si="0"/>
        <v>bm</v>
      </c>
      <c r="AI7" s="14" t="str">
        <f t="shared" ref="AI7:BN7" si="1">IF(AI6=1,"bm",IF(AI6=2,"size",IF(AI6=3,"mom")))</f>
        <v>size</v>
      </c>
      <c r="AJ7" s="14" t="str">
        <f t="shared" si="1"/>
        <v>size</v>
      </c>
      <c r="AK7" s="14" t="str">
        <f t="shared" si="1"/>
        <v>size</v>
      </c>
      <c r="AL7" s="14" t="str">
        <f t="shared" si="1"/>
        <v>bm</v>
      </c>
      <c r="AM7" s="14" t="str">
        <f t="shared" si="1"/>
        <v>bm</v>
      </c>
      <c r="AN7" s="14" t="str">
        <f t="shared" si="1"/>
        <v>bm</v>
      </c>
      <c r="AO7" s="14" t="str">
        <f t="shared" si="1"/>
        <v>bm</v>
      </c>
      <c r="AP7" s="14" t="str">
        <f t="shared" si="1"/>
        <v>size</v>
      </c>
      <c r="AQ7" s="14" t="str">
        <f t="shared" si="1"/>
        <v>bm</v>
      </c>
      <c r="AR7" s="14" t="str">
        <f t="shared" si="1"/>
        <v>bm</v>
      </c>
      <c r="AS7" s="14" t="str">
        <f t="shared" si="1"/>
        <v>bm</v>
      </c>
      <c r="AT7" s="14" t="str">
        <f t="shared" si="1"/>
        <v>bm</v>
      </c>
      <c r="AU7" s="14" t="str">
        <f t="shared" si="1"/>
        <v>bm</v>
      </c>
      <c r="AV7" s="14" t="str">
        <f t="shared" si="1"/>
        <v>bm</v>
      </c>
      <c r="AW7" s="14" t="str">
        <f t="shared" si="1"/>
        <v>bm</v>
      </c>
      <c r="AX7" s="14" t="str">
        <f t="shared" si="1"/>
        <v>size</v>
      </c>
      <c r="AY7" s="14" t="str">
        <f t="shared" si="1"/>
        <v>bm</v>
      </c>
      <c r="AZ7" s="14" t="str">
        <f t="shared" si="1"/>
        <v>bm</v>
      </c>
      <c r="BA7" s="14" t="str">
        <f t="shared" si="1"/>
        <v>bm</v>
      </c>
      <c r="BB7" s="14" t="str">
        <f t="shared" si="1"/>
        <v>bm</v>
      </c>
      <c r="BC7" s="14" t="str">
        <f t="shared" si="1"/>
        <v>bm</v>
      </c>
      <c r="BD7" s="14" t="str">
        <f t="shared" si="1"/>
        <v>bm</v>
      </c>
      <c r="BE7" s="14" t="str">
        <f t="shared" si="1"/>
        <v>bm</v>
      </c>
      <c r="BF7" s="14" t="str">
        <f t="shared" si="1"/>
        <v>bm</v>
      </c>
      <c r="BG7" s="14" t="str">
        <f t="shared" si="1"/>
        <v>bm</v>
      </c>
      <c r="BH7" s="14" t="str">
        <f t="shared" si="1"/>
        <v>bm</v>
      </c>
      <c r="BI7" s="14" t="str">
        <f t="shared" si="1"/>
        <v>bm</v>
      </c>
      <c r="BJ7" s="14" t="str">
        <f t="shared" si="1"/>
        <v>bm</v>
      </c>
      <c r="BK7" s="14" t="str">
        <f t="shared" si="1"/>
        <v>bm</v>
      </c>
      <c r="BL7" s="14" t="str">
        <f t="shared" si="1"/>
        <v>bm</v>
      </c>
      <c r="BM7" s="14" t="str">
        <f t="shared" si="1"/>
        <v>bm</v>
      </c>
      <c r="BN7" s="14" t="str">
        <f t="shared" si="1"/>
        <v>bm</v>
      </c>
      <c r="BO7" s="14" t="str">
        <f t="shared" ref="BO7:CT7" si="2">IF(BO6=1,"bm",IF(BO6=2,"size",IF(BO6=3,"mom")))</f>
        <v>bm</v>
      </c>
      <c r="BP7" s="14" t="str">
        <f t="shared" si="2"/>
        <v>bm</v>
      </c>
      <c r="BQ7" s="14" t="str">
        <f t="shared" si="2"/>
        <v>bm</v>
      </c>
      <c r="BR7" s="14" t="str">
        <f t="shared" si="2"/>
        <v>bm</v>
      </c>
      <c r="BS7" s="14" t="str">
        <f t="shared" si="2"/>
        <v>bm</v>
      </c>
      <c r="BT7" s="14" t="str">
        <f t="shared" si="2"/>
        <v>bm</v>
      </c>
      <c r="BU7" s="14" t="str">
        <f t="shared" si="2"/>
        <v>bm</v>
      </c>
      <c r="BV7" s="14" t="str">
        <f t="shared" si="2"/>
        <v>bm</v>
      </c>
      <c r="BW7" s="14" t="str">
        <f t="shared" si="2"/>
        <v>bm</v>
      </c>
      <c r="BX7" s="14" t="str">
        <f t="shared" si="2"/>
        <v>bm</v>
      </c>
      <c r="BY7" s="14" t="str">
        <f t="shared" si="2"/>
        <v>bm</v>
      </c>
      <c r="BZ7" s="14" t="str">
        <f t="shared" si="2"/>
        <v>bm</v>
      </c>
      <c r="CA7" s="14" t="str">
        <f t="shared" si="2"/>
        <v>size</v>
      </c>
      <c r="CB7" s="14" t="str">
        <f t="shared" si="2"/>
        <v>bm</v>
      </c>
      <c r="CC7" s="14" t="str">
        <f t="shared" si="2"/>
        <v>bm</v>
      </c>
      <c r="CD7" s="14" t="str">
        <f t="shared" si="2"/>
        <v>bm</v>
      </c>
      <c r="CE7" s="14" t="str">
        <f t="shared" si="2"/>
        <v>bm</v>
      </c>
      <c r="CF7" s="14" t="str">
        <f t="shared" si="2"/>
        <v>bm</v>
      </c>
      <c r="CG7" s="14" t="str">
        <f t="shared" si="2"/>
        <v>bm</v>
      </c>
      <c r="CH7" s="14" t="str">
        <f t="shared" si="2"/>
        <v>bm</v>
      </c>
      <c r="CI7" s="14" t="str">
        <f t="shared" si="2"/>
        <v>bm</v>
      </c>
      <c r="CJ7" s="14" t="str">
        <f t="shared" si="2"/>
        <v>bm</v>
      </c>
      <c r="CK7" s="14" t="str">
        <f t="shared" si="2"/>
        <v>bm</v>
      </c>
      <c r="CL7" s="14" t="str">
        <f t="shared" si="2"/>
        <v>bm</v>
      </c>
      <c r="CM7" s="14" t="str">
        <f t="shared" si="2"/>
        <v>bm</v>
      </c>
      <c r="CN7" s="14" t="str">
        <f t="shared" si="2"/>
        <v>bm</v>
      </c>
      <c r="CO7" s="14" t="str">
        <f t="shared" si="2"/>
        <v>bm</v>
      </c>
      <c r="CP7" s="14" t="str">
        <f t="shared" si="2"/>
        <v>bm</v>
      </c>
      <c r="CQ7" s="14" t="str">
        <f t="shared" si="2"/>
        <v>bm</v>
      </c>
      <c r="CR7" s="14" t="str">
        <f t="shared" si="2"/>
        <v>bm</v>
      </c>
      <c r="CS7" s="14" t="str">
        <f t="shared" si="2"/>
        <v>bm</v>
      </c>
      <c r="CT7" s="14" t="str">
        <f t="shared" si="2"/>
        <v>bm</v>
      </c>
      <c r="CU7" s="14" t="str">
        <f t="shared" ref="CU7:DZ7" si="3">IF(CU6=1,"bm",IF(CU6=2,"size",IF(CU6=3,"mom")))</f>
        <v>bm</v>
      </c>
      <c r="CV7" s="14" t="str">
        <f t="shared" si="3"/>
        <v>bm</v>
      </c>
      <c r="CW7" s="14" t="str">
        <f t="shared" si="3"/>
        <v>bm</v>
      </c>
      <c r="CX7" s="14" t="str">
        <f t="shared" si="3"/>
        <v>bm</v>
      </c>
      <c r="CY7" s="14" t="str">
        <f t="shared" si="3"/>
        <v>bm</v>
      </c>
      <c r="CZ7" s="14" t="str">
        <f t="shared" si="3"/>
        <v>bm</v>
      </c>
      <c r="DA7" s="14" t="str">
        <f t="shared" si="3"/>
        <v>bm</v>
      </c>
      <c r="DB7" s="14" t="str">
        <f t="shared" si="3"/>
        <v>bm</v>
      </c>
      <c r="DC7" s="14" t="str">
        <f t="shared" si="3"/>
        <v>bm</v>
      </c>
      <c r="DD7" s="14" t="str">
        <f t="shared" si="3"/>
        <v>bm</v>
      </c>
      <c r="DE7" s="14" t="str">
        <f t="shared" si="3"/>
        <v>bm</v>
      </c>
      <c r="DF7" s="14" t="str">
        <f t="shared" si="3"/>
        <v>bm</v>
      </c>
      <c r="DG7" s="14" t="str">
        <f t="shared" si="3"/>
        <v>bm</v>
      </c>
      <c r="DH7" s="14" t="str">
        <f t="shared" si="3"/>
        <v>bm</v>
      </c>
      <c r="DI7" s="14" t="str">
        <f t="shared" si="3"/>
        <v>bm</v>
      </c>
      <c r="DJ7" s="14" t="str">
        <f t="shared" si="3"/>
        <v>bm</v>
      </c>
      <c r="DK7" s="14" t="str">
        <f t="shared" si="3"/>
        <v>bm</v>
      </c>
      <c r="DL7" s="14" t="str">
        <f t="shared" si="3"/>
        <v>bm</v>
      </c>
      <c r="DM7" s="14" t="str">
        <f t="shared" si="3"/>
        <v>bm</v>
      </c>
      <c r="DN7" s="14" t="str">
        <f t="shared" si="3"/>
        <v>bm</v>
      </c>
      <c r="DO7" s="14" t="str">
        <f t="shared" si="3"/>
        <v>bm</v>
      </c>
      <c r="DP7" s="14" t="str">
        <f t="shared" si="3"/>
        <v>bm</v>
      </c>
      <c r="DQ7" s="14" t="str">
        <f t="shared" si="3"/>
        <v>bm</v>
      </c>
      <c r="DR7" s="14" t="str">
        <f t="shared" si="3"/>
        <v>bm</v>
      </c>
      <c r="DS7" s="14" t="str">
        <f t="shared" si="3"/>
        <v>bm</v>
      </c>
      <c r="DT7" s="14" t="str">
        <f t="shared" si="3"/>
        <v>bm</v>
      </c>
      <c r="DU7" s="14" t="str">
        <f t="shared" si="3"/>
        <v>bm</v>
      </c>
      <c r="DV7" s="14" t="str">
        <f t="shared" si="3"/>
        <v>bm</v>
      </c>
      <c r="DW7" s="14" t="str">
        <f t="shared" si="3"/>
        <v>bm</v>
      </c>
      <c r="DX7" s="14" t="str">
        <f t="shared" si="3"/>
        <v>bm</v>
      </c>
      <c r="DY7" s="14" t="str">
        <f t="shared" si="3"/>
        <v>bm</v>
      </c>
      <c r="DZ7" s="14" t="str">
        <f t="shared" si="3"/>
        <v>bm</v>
      </c>
      <c r="EA7" s="14" t="str">
        <f t="shared" ref="EA7:EF7" si="4">IF(EA6=1,"bm",IF(EA6=2,"size",IF(EA6=3,"mom")))</f>
        <v>bm</v>
      </c>
      <c r="EB7" s="14" t="str">
        <f t="shared" si="4"/>
        <v>bm</v>
      </c>
      <c r="EC7" s="14" t="str">
        <f t="shared" si="4"/>
        <v>bm</v>
      </c>
      <c r="ED7" s="14" t="str">
        <f t="shared" si="4"/>
        <v>bm</v>
      </c>
      <c r="EE7" s="14" t="str">
        <f t="shared" si="4"/>
        <v>bm</v>
      </c>
      <c r="EF7" s="14" t="str">
        <f t="shared" si="4"/>
        <v>bm</v>
      </c>
    </row>
    <row r="8" spans="1:136">
      <c r="C8" s="13">
        <f t="shared" ref="C8:AH8" si="5">IF(C6=1,C3,IF(C6=2,C4,IF(C6=3,C5)))</f>
        <v>3.1330205500125892E-2</v>
      </c>
      <c r="D8" s="13">
        <f t="shared" si="5"/>
        <v>-3.2528996467590332E-2</v>
      </c>
      <c r="E8" s="13">
        <f t="shared" si="5"/>
        <v>2.9643896967172619E-2</v>
      </c>
      <c r="F8" s="13">
        <f t="shared" si="5"/>
        <v>-3.0678801238536831E-2</v>
      </c>
      <c r="G8" s="13">
        <f t="shared" si="5"/>
        <v>4.1800491511821747E-2</v>
      </c>
      <c r="H8" s="13">
        <f t="shared" si="5"/>
        <v>-2.7283268049359322E-2</v>
      </c>
      <c r="I8" s="13">
        <f t="shared" si="5"/>
        <v>-3.6774773150682449E-2</v>
      </c>
      <c r="J8" s="13">
        <f t="shared" si="5"/>
        <v>-3.694760799407959E-2</v>
      </c>
      <c r="K8" s="13">
        <f t="shared" si="5"/>
        <v>3.5791270434856408E-2</v>
      </c>
      <c r="L8" s="13">
        <f t="shared" si="5"/>
        <v>6.6725820302963257E-2</v>
      </c>
      <c r="M8" s="13">
        <f t="shared" si="5"/>
        <v>-3.6390375345945358E-2</v>
      </c>
      <c r="N8" s="13">
        <f t="shared" si="5"/>
        <v>-2.7910143136978149E-2</v>
      </c>
      <c r="O8" s="13">
        <f t="shared" si="5"/>
        <v>-3.4657396376132972E-2</v>
      </c>
      <c r="P8" s="13">
        <f t="shared" si="5"/>
        <v>-3.7157066166400909E-2</v>
      </c>
      <c r="Q8" s="13">
        <f t="shared" si="5"/>
        <v>-3.2246530055999763E-2</v>
      </c>
      <c r="R8" s="13">
        <f t="shared" si="5"/>
        <v>-3.2251663506031043E-2</v>
      </c>
      <c r="S8" s="13">
        <f t="shared" si="5"/>
        <v>-2.9913196340203289E-2</v>
      </c>
      <c r="T8" s="13">
        <f t="shared" si="5"/>
        <v>-2.9206940904259682E-2</v>
      </c>
      <c r="U8" s="13">
        <f t="shared" si="5"/>
        <v>-2.8744202107191089E-2</v>
      </c>
      <c r="V8" s="13">
        <f t="shared" si="5"/>
        <v>-2.8017682954668999E-2</v>
      </c>
      <c r="W8" s="13">
        <f t="shared" si="5"/>
        <v>-2.7434077113866809E-2</v>
      </c>
      <c r="X8" s="13">
        <f t="shared" si="5"/>
        <v>-2.876461856067181E-2</v>
      </c>
      <c r="Y8" s="13">
        <f t="shared" si="5"/>
        <v>-3.1099813058972359E-2</v>
      </c>
      <c r="Z8" s="13">
        <f t="shared" si="5"/>
        <v>-3.0133392661809921E-2</v>
      </c>
      <c r="AA8" s="13">
        <f t="shared" si="5"/>
        <v>7.4403420090675354E-2</v>
      </c>
      <c r="AB8" s="13">
        <f t="shared" si="5"/>
        <v>-2.964571118354797E-2</v>
      </c>
      <c r="AC8" s="13">
        <f t="shared" si="5"/>
        <v>-2.9567878693342209E-2</v>
      </c>
      <c r="AD8" s="13">
        <f t="shared" si="5"/>
        <v>-3.129136934876442E-2</v>
      </c>
      <c r="AE8" s="13">
        <f t="shared" si="5"/>
        <v>-2.8935028240084652E-2</v>
      </c>
      <c r="AF8" s="13">
        <f t="shared" si="5"/>
        <v>-3.5181421786546707E-2</v>
      </c>
      <c r="AG8" s="13">
        <f t="shared" si="5"/>
        <v>-2.828941494226456E-2</v>
      </c>
      <c r="AH8" s="13">
        <f t="shared" si="5"/>
        <v>-2.2227592766284939E-2</v>
      </c>
      <c r="AI8" s="13">
        <f t="shared" ref="AI8:BN8" si="6">IF(AI6=1,AI3,IF(AI6=2,AI4,IF(AI6=3,AI5)))</f>
        <v>-4.0709320455789573E-2</v>
      </c>
      <c r="AJ8" s="13">
        <f t="shared" si="6"/>
        <v>-3.4136712551116943E-2</v>
      </c>
      <c r="AK8" s="13">
        <f t="shared" si="6"/>
        <v>-2.7761854231357571E-2</v>
      </c>
      <c r="AL8" s="13">
        <f t="shared" si="6"/>
        <v>6.0541510581970208E-2</v>
      </c>
      <c r="AM8" s="13">
        <f t="shared" si="6"/>
        <v>4.2939703911542892E-2</v>
      </c>
      <c r="AN8" s="13">
        <f t="shared" si="6"/>
        <v>4.6451166272163391E-2</v>
      </c>
      <c r="AO8" s="13">
        <f t="shared" si="6"/>
        <v>4.6414647251367569E-2</v>
      </c>
      <c r="AP8" s="13">
        <f t="shared" si="6"/>
        <v>-3.5248521715402603E-2</v>
      </c>
      <c r="AQ8" s="13">
        <f t="shared" si="6"/>
        <v>4.9711406230926507E-2</v>
      </c>
      <c r="AR8" s="13">
        <f t="shared" si="6"/>
        <v>4.072609543800354E-2</v>
      </c>
      <c r="AS8" s="13">
        <f t="shared" si="6"/>
        <v>3.7940710783004761E-2</v>
      </c>
      <c r="AT8" s="13">
        <f t="shared" si="6"/>
        <v>4.3215282261371613E-2</v>
      </c>
      <c r="AU8" s="13">
        <f t="shared" si="6"/>
        <v>3.5848293453454971E-2</v>
      </c>
      <c r="AV8" s="13">
        <f t="shared" si="6"/>
        <v>4.8106551170349121E-2</v>
      </c>
      <c r="AW8" s="13">
        <f t="shared" si="6"/>
        <v>0.25755825638771063</v>
      </c>
      <c r="AX8" s="13">
        <f t="shared" si="6"/>
        <v>-2.6401566341519359E-2</v>
      </c>
      <c r="AY8" s="13">
        <f t="shared" si="6"/>
        <v>5.6368216872215271E-2</v>
      </c>
      <c r="AZ8" s="13">
        <f t="shared" si="6"/>
        <v>4.440823569893837E-2</v>
      </c>
      <c r="BA8" s="13">
        <f t="shared" si="6"/>
        <v>4.0217362344264977E-2</v>
      </c>
      <c r="BB8" s="13">
        <f t="shared" si="6"/>
        <v>3.9215490221977227E-2</v>
      </c>
      <c r="BC8" s="13">
        <f t="shared" si="6"/>
        <v>5.1480397582054138E-2</v>
      </c>
      <c r="BD8" s="13">
        <f t="shared" si="6"/>
        <v>4.9942176789045327E-2</v>
      </c>
      <c r="BE8" s="13">
        <f t="shared" si="6"/>
        <v>4.9302525818347931E-2</v>
      </c>
      <c r="BF8" s="13">
        <f t="shared" si="6"/>
        <v>5.0215017050504678E-2</v>
      </c>
      <c r="BG8" s="13">
        <f t="shared" si="6"/>
        <v>4.4806387275457382E-2</v>
      </c>
      <c r="BH8" s="13">
        <f t="shared" si="6"/>
        <v>7.2218522429466248E-2</v>
      </c>
      <c r="BI8" s="13">
        <f t="shared" si="6"/>
        <v>5.3198006004095078E-2</v>
      </c>
      <c r="BJ8" s="13">
        <f t="shared" si="6"/>
        <v>5.0947383046150208E-2</v>
      </c>
      <c r="BK8" s="13">
        <f t="shared" si="6"/>
        <v>4.6847827732563019E-2</v>
      </c>
      <c r="BL8" s="13">
        <f t="shared" si="6"/>
        <v>5.1777664572000497E-2</v>
      </c>
      <c r="BM8" s="13">
        <f t="shared" si="6"/>
        <v>4.5751150697469711E-2</v>
      </c>
      <c r="BN8" s="13">
        <f t="shared" si="6"/>
        <v>5.1456984132528312E-2</v>
      </c>
      <c r="BO8" s="13">
        <f t="shared" ref="BO8:CT8" si="7">IF(BO6=1,BO3,IF(BO6=2,BO4,IF(BO6=3,BO5)))</f>
        <v>5.444614589214325E-2</v>
      </c>
      <c r="BP8" s="13">
        <f t="shared" si="7"/>
        <v>5.1880281418561942E-2</v>
      </c>
      <c r="BQ8" s="13">
        <f t="shared" si="7"/>
        <v>4.9081109464168549E-2</v>
      </c>
      <c r="BR8" s="13">
        <f t="shared" si="7"/>
        <v>3.0115354806184769E-2</v>
      </c>
      <c r="BS8" s="13">
        <f t="shared" si="7"/>
        <v>4.8800110816955573E-2</v>
      </c>
      <c r="BT8" s="13">
        <f t="shared" si="7"/>
        <v>4.8635218292474747E-2</v>
      </c>
      <c r="BU8" s="13">
        <f t="shared" si="7"/>
        <v>4.5633736997842789E-2</v>
      </c>
      <c r="BV8" s="13">
        <f t="shared" si="7"/>
        <v>4.947228729724884E-2</v>
      </c>
      <c r="BW8" s="13">
        <f t="shared" si="7"/>
        <v>4.4601880013942719E-2</v>
      </c>
      <c r="BX8" s="13">
        <f t="shared" si="7"/>
        <v>4.56710085272789E-2</v>
      </c>
      <c r="BY8" s="13">
        <f t="shared" si="7"/>
        <v>3.6897704005241387E-2</v>
      </c>
      <c r="BZ8" s="13">
        <f t="shared" si="7"/>
        <v>0.21394279599189761</v>
      </c>
      <c r="CA8" s="13">
        <f t="shared" si="7"/>
        <v>-3.2349672168493271E-2</v>
      </c>
      <c r="CB8" s="13">
        <f t="shared" si="7"/>
        <v>4.6074997633695602E-2</v>
      </c>
      <c r="CC8" s="13">
        <f t="shared" si="7"/>
        <v>7.2226598858833313E-2</v>
      </c>
      <c r="CD8" s="13">
        <f t="shared" si="7"/>
        <v>3.4700907766819E-2</v>
      </c>
      <c r="CE8" s="13">
        <f t="shared" si="7"/>
        <v>3.6362294107675552E-2</v>
      </c>
      <c r="CF8" s="13">
        <f t="shared" si="7"/>
        <v>4.7756139189004898E-2</v>
      </c>
      <c r="CG8" s="13">
        <f t="shared" si="7"/>
        <v>3.6376580595970147E-2</v>
      </c>
      <c r="CH8" s="13">
        <f t="shared" si="7"/>
        <v>4.3285507708787918E-2</v>
      </c>
      <c r="CI8" s="13">
        <f t="shared" si="7"/>
        <v>4.2804375290870673E-2</v>
      </c>
      <c r="CJ8" s="13">
        <f t="shared" si="7"/>
        <v>4.3789677321910858E-2</v>
      </c>
      <c r="CK8" s="13">
        <f t="shared" si="7"/>
        <v>4.193609207868576E-2</v>
      </c>
      <c r="CL8" s="13">
        <f t="shared" si="7"/>
        <v>4.5073911547660828E-2</v>
      </c>
      <c r="CM8" s="13">
        <f t="shared" si="7"/>
        <v>5.7426575571298599E-2</v>
      </c>
      <c r="CN8" s="13">
        <f t="shared" si="7"/>
        <v>4.8870686441659927E-2</v>
      </c>
      <c r="CO8" s="13">
        <f t="shared" si="7"/>
        <v>4.6467091888189323E-2</v>
      </c>
      <c r="CP8" s="13">
        <f t="shared" si="7"/>
        <v>4.5427285134792328E-2</v>
      </c>
      <c r="CQ8" s="13">
        <f t="shared" si="7"/>
        <v>4.3254118412733078E-2</v>
      </c>
      <c r="CR8" s="13">
        <f t="shared" si="7"/>
        <v>4.2831581085920327E-2</v>
      </c>
      <c r="CS8" s="13">
        <f t="shared" si="7"/>
        <v>4.1360333561897278E-2</v>
      </c>
      <c r="CT8" s="13">
        <f t="shared" si="7"/>
        <v>2.374728582799435E-2</v>
      </c>
      <c r="CU8" s="13">
        <f t="shared" ref="CU8:DZ8" si="8">IF(CU6=1,CU3,IF(CU6=2,CU4,IF(CU6=3,CU5)))</f>
        <v>3.9278171956539147E-2</v>
      </c>
      <c r="CV8" s="13">
        <f t="shared" si="8"/>
        <v>4.09957654774189E-2</v>
      </c>
      <c r="CW8" s="13">
        <f t="shared" si="8"/>
        <v>3.6699786782264709E-2</v>
      </c>
      <c r="CX8" s="13">
        <f t="shared" si="8"/>
        <v>3.8764949887990952E-2</v>
      </c>
      <c r="CY8" s="13">
        <f t="shared" si="8"/>
        <v>3.7805531173944473E-2</v>
      </c>
      <c r="CZ8" s="13">
        <f t="shared" si="8"/>
        <v>4.325726255774498E-2</v>
      </c>
      <c r="DA8" s="13">
        <f t="shared" si="8"/>
        <v>4.4850636273622513E-2</v>
      </c>
      <c r="DB8" s="13">
        <f t="shared" si="8"/>
        <v>4.3851811438798897E-2</v>
      </c>
      <c r="DC8" s="13">
        <f t="shared" si="8"/>
        <v>4.9191009253263467E-2</v>
      </c>
      <c r="DD8" s="13">
        <f t="shared" si="8"/>
        <v>4.212004691362381E-2</v>
      </c>
      <c r="DE8" s="13">
        <f t="shared" si="8"/>
        <v>4.7127000987529748E-2</v>
      </c>
      <c r="DF8" s="13">
        <f t="shared" si="8"/>
        <v>3.8079626858234412E-2</v>
      </c>
      <c r="DG8" s="13">
        <f t="shared" si="8"/>
        <v>3.8307089358568192E-2</v>
      </c>
      <c r="DH8" s="13">
        <f t="shared" si="8"/>
        <v>3.9209745824337013E-2</v>
      </c>
      <c r="DI8" s="13">
        <f t="shared" si="8"/>
        <v>5.0754562020301819E-2</v>
      </c>
      <c r="DJ8" s="13">
        <f t="shared" si="8"/>
        <v>4.9327295273542397E-2</v>
      </c>
      <c r="DK8" s="13">
        <f t="shared" si="8"/>
        <v>4.6511236578226089E-2</v>
      </c>
      <c r="DL8" s="13">
        <f t="shared" si="8"/>
        <v>4.22775037586689E-2</v>
      </c>
      <c r="DM8" s="13">
        <f t="shared" si="8"/>
        <v>3.2305262982845313E-2</v>
      </c>
      <c r="DN8" s="13">
        <f t="shared" si="8"/>
        <v>4.6072427183389657E-2</v>
      </c>
      <c r="DO8" s="13">
        <f t="shared" si="8"/>
        <v>4.8485249280929572E-2</v>
      </c>
      <c r="DP8" s="13">
        <f t="shared" si="8"/>
        <v>4.6022161841392517E-2</v>
      </c>
      <c r="DQ8" s="13">
        <f t="shared" si="8"/>
        <v>4.4537413865327842E-2</v>
      </c>
      <c r="DR8" s="13">
        <f t="shared" si="8"/>
        <v>4.4425271451473243E-2</v>
      </c>
      <c r="DS8" s="13">
        <f t="shared" si="8"/>
        <v>4.2646575719118118E-2</v>
      </c>
      <c r="DT8" s="13">
        <f t="shared" si="8"/>
        <v>4.6090584248304367E-2</v>
      </c>
      <c r="DU8" s="13">
        <f t="shared" si="8"/>
        <v>4.3128091841936111E-2</v>
      </c>
      <c r="DV8" s="13">
        <f t="shared" si="8"/>
        <v>4.1349083185195923E-2</v>
      </c>
      <c r="DW8" s="13">
        <f t="shared" si="8"/>
        <v>4.0377732366323471E-2</v>
      </c>
      <c r="DX8" s="13">
        <f t="shared" si="8"/>
        <v>4.6240631490945823E-2</v>
      </c>
      <c r="DY8" s="13">
        <f t="shared" si="8"/>
        <v>4.529276117682457E-2</v>
      </c>
      <c r="DZ8" s="13">
        <f t="shared" si="8"/>
        <v>3.8002155721187592E-2</v>
      </c>
      <c r="EA8" s="13">
        <f t="shared" ref="EA8:EF8" si="9">IF(EA6=1,EA3,IF(EA6=2,EA4,IF(EA6=3,EA5)))</f>
        <v>4.3337244540452957E-2</v>
      </c>
      <c r="EB8" s="13">
        <f t="shared" si="9"/>
        <v>3.5762075334787369E-2</v>
      </c>
      <c r="EC8" s="13">
        <f t="shared" si="9"/>
        <v>3.0851878225803379E-2</v>
      </c>
      <c r="ED8" s="13">
        <f t="shared" si="9"/>
        <v>4.0065716952085488E-2</v>
      </c>
      <c r="EE8" s="13">
        <f t="shared" si="9"/>
        <v>4.3372519314289093E-2</v>
      </c>
      <c r="EF8" s="13">
        <f t="shared" si="9"/>
        <v>4.6325836330652237E-2</v>
      </c>
    </row>
    <row r="10" spans="1:136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17" t="s">
        <v>202</v>
      </c>
      <c r="B11" s="17" t="s">
        <v>142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3" t="s">
        <v>178</v>
      </c>
    </row>
    <row r="12" spans="1:136">
      <c r="A12" s="17">
        <v>96</v>
      </c>
      <c r="B12" s="17" t="s">
        <v>184</v>
      </c>
      <c r="C12" s="13">
        <f t="array" ref="C12">PRODUCT(1+預測IC!$C12:C12)-1</f>
        <v>4.7013508994228737E-2</v>
      </c>
      <c r="D12" s="13">
        <f t="array" ref="D12">PRODUCT(1+預測IC!$C12:D12)-1</f>
        <v>0.16709392872690398</v>
      </c>
      <c r="E12" s="13">
        <f t="array" ref="E12">PRODUCT(1+預測IC!$C12:E12)-1</f>
        <v>0.15921134323541519</v>
      </c>
      <c r="F12" s="13">
        <f t="array" ref="F12">PRODUCT(1+預測IC!$C12:F12)-1</f>
        <v>0.17476958960258582</v>
      </c>
      <c r="G12" s="13">
        <f t="array" ref="G12">PRODUCT(1+預測IC!$C12:G12)-1</f>
        <v>0.18405537578537667</v>
      </c>
      <c r="H12" s="13">
        <f t="array" ref="H12">PRODUCT(1+預測IC!$C12:H12)-1</f>
        <v>0.22967788045418858</v>
      </c>
      <c r="I12" s="13">
        <f t="array" ref="I12">PRODUCT(1+預測IC!$C12:I12)-1</f>
        <v>0.24542999005708377</v>
      </c>
      <c r="J12" s="13">
        <f t="array" ref="J12">PRODUCT(1+預測IC!$C12:J12)-1</f>
        <v>0.20880463140083716</v>
      </c>
      <c r="K12" s="13">
        <f t="array" ref="K12">PRODUCT(1+預測IC!$C12:K12)-1</f>
        <v>0.1955217979318431</v>
      </c>
      <c r="L12" s="13">
        <f t="array" ref="L12">PRODUCT(1+預測IC!$C12:L12)-1</f>
        <v>0.19279931889428004</v>
      </c>
      <c r="M12" s="13">
        <f t="array" ref="M12">PRODUCT(1+預測IC!$C12:M12)-1</f>
        <v>0.1923261503144662</v>
      </c>
      <c r="N12" s="13">
        <f t="array" ref="N12">PRODUCT(1+預測IC!$C12:N12)-1</f>
        <v>0.27498624725577958</v>
      </c>
      <c r="O12" s="13">
        <f t="array" ref="O12">PRODUCT(1+預測IC!$C12:O12)-1</f>
        <v>0.29696808592811541</v>
      </c>
      <c r="P12" s="13">
        <f t="array" ref="P12">PRODUCT(1+預測IC!$C12:P12)-1</f>
        <v>0.29726682091057421</v>
      </c>
      <c r="Q12" s="13">
        <f t="array" ref="Q12">PRODUCT(1+預測IC!$C12:Q12)-1</f>
        <v>0.34302202977791252</v>
      </c>
      <c r="R12" s="13">
        <f t="array" ref="R12">PRODUCT(1+預測IC!$C12:R12)-1</f>
        <v>0.35197069748082543</v>
      </c>
      <c r="S12" s="13">
        <f t="array" ref="S12">PRODUCT(1+預測IC!$C12:S12)-1</f>
        <v>0.32970072632530312</v>
      </c>
      <c r="T12" s="13">
        <f t="array" ref="T12">PRODUCT(1+預測IC!$C12:T12)-1</f>
        <v>0.3194083302147237</v>
      </c>
      <c r="U12" s="13">
        <f t="array" ref="U12">PRODUCT(1+預測IC!$C12:U12)-1</f>
        <v>0.29806189771691516</v>
      </c>
      <c r="V12" s="13">
        <f t="array" ref="V12">PRODUCT(1+預測IC!$C12:V12)-1</f>
        <v>0.30611611488416468</v>
      </c>
      <c r="W12" s="13">
        <f t="array" ref="W12">PRODUCT(1+預測IC!$C12:W12)-1</f>
        <v>0.38975932829855564</v>
      </c>
      <c r="X12" s="13">
        <f t="array" ref="X12">PRODUCT(1+預測IC!$C12:X12)-1</f>
        <v>0.42738531043641914</v>
      </c>
      <c r="Y12" s="13">
        <f t="array" ref="Y12">PRODUCT(1+預測IC!$C12:Y12)-1</f>
        <v>0.4494242883155275</v>
      </c>
      <c r="Z12" s="13">
        <f t="array" ref="Z12">PRODUCT(1+預測IC!$C12:Z12)-1</f>
        <v>0.45691207458164396</v>
      </c>
      <c r="AA12" s="13">
        <f t="array" ref="AA12">PRODUCT(1+預測IC!$C12:AA12)-1</f>
        <v>0.39950440450363756</v>
      </c>
      <c r="AB12" s="13">
        <f t="array" ref="AB12">PRODUCT(1+預測IC!$C12:AB12)-1</f>
        <v>0.39431039173522731</v>
      </c>
      <c r="AC12" s="13">
        <f t="array" ref="AC12">PRODUCT(1+預測IC!$C12:AC12)-1</f>
        <v>0.401515418064186</v>
      </c>
      <c r="AD12" s="13">
        <f t="array" ref="AD12">PRODUCT(1+預測IC!$C12:AD12)-1</f>
        <v>0.39332060324913787</v>
      </c>
      <c r="AE12" s="13">
        <f t="array" ref="AE12">PRODUCT(1+預測IC!$C12:AE12)-1</f>
        <v>0.3120663111157016</v>
      </c>
      <c r="AF12" s="13">
        <f t="array" ref="AF12">PRODUCT(1+預測IC!$C12:AF12)-1</f>
        <v>0.2852579737262817</v>
      </c>
      <c r="AG12" s="13">
        <f t="array" ref="AG12">PRODUCT(1+預測IC!$C12:AG12)-1</f>
        <v>0.30078284577679137</v>
      </c>
      <c r="AH12" s="13">
        <f t="array" ref="AH12">PRODUCT(1+預測IC!$C12:AH12)-1</f>
        <v>0.2833448050547136</v>
      </c>
      <c r="AI12" s="13">
        <f t="array" ref="AI12">PRODUCT(1+預測IC!$C12:AI12)-1</f>
        <v>0.31317866826512009</v>
      </c>
      <c r="AJ12" s="13">
        <f t="array" ref="AJ12">PRODUCT(1+預測IC!$C12:AJ12)-1</f>
        <v>0.34083732981812065</v>
      </c>
      <c r="AK12" s="13">
        <f t="array" ref="AK12">PRODUCT(1+預測IC!$C12:AK12)-1</f>
        <v>0.35358070366893424</v>
      </c>
      <c r="AL12" s="13">
        <f t="array" ref="AL12">PRODUCT(1+預測IC!$C12:AL12)-1</f>
        <v>0.37775430554617317</v>
      </c>
      <c r="AM12" s="13">
        <f t="array" ref="AM12">PRODUCT(1+預測IC!$C12:AM12)-1</f>
        <v>0.41920558086858994</v>
      </c>
      <c r="AN12" s="13">
        <f t="array" ref="AN12">PRODUCT(1+預測IC!$C12:AN12)-1</f>
        <v>0.51746177338779042</v>
      </c>
      <c r="AO12" s="13">
        <f t="array" ref="AO12">PRODUCT(1+預測IC!$C12:AO12)-1</f>
        <v>0.52084388162628725</v>
      </c>
      <c r="AP12" s="13">
        <f t="array" ref="AP12">PRODUCT(1+預測IC!$C12:AP12)-1</f>
        <v>0.51379679802679168</v>
      </c>
      <c r="AQ12" s="13">
        <f t="array" ref="AQ12">PRODUCT(1+預測IC!$C12:AQ12)-1</f>
        <v>0.5022587351269896</v>
      </c>
      <c r="AR12" s="13">
        <f t="array" ref="AR12">PRODUCT(1+預測IC!$C12:AR12)-1</f>
        <v>0.52257867653929546</v>
      </c>
      <c r="AS12" s="13">
        <f t="array" ref="AS12">PRODUCT(1+預測IC!$C12:AS12)-1</f>
        <v>0.55165950058632673</v>
      </c>
      <c r="AT12" s="13">
        <f t="array" ref="AT12">PRODUCT(1+預測IC!$C12:AT12)-1</f>
        <v>0.57312656191569111</v>
      </c>
      <c r="AU12" s="13">
        <f t="array" ref="AU12">PRODUCT(1+預測IC!$C12:AU12)-1</f>
        <v>0.60570390294822207</v>
      </c>
      <c r="AV12" s="13">
        <f t="array" ref="AV12">PRODUCT(1+預測IC!$C12:AV12)-1</f>
        <v>0.53929185344686603</v>
      </c>
      <c r="AW12" s="13">
        <f t="array" ref="AW12">PRODUCT(1+預測IC!$C12:AW12)-1</f>
        <v>0.54024848795780289</v>
      </c>
      <c r="AX12" s="13">
        <f t="array" ref="AX12">PRODUCT(1+預測IC!$C12:AX12)-1</f>
        <v>0.52691304863757438</v>
      </c>
      <c r="AY12" s="13">
        <f t="array" ref="AY12">PRODUCT(1+預測IC!$C12:AY12)-1</f>
        <v>0.56501761125517946</v>
      </c>
      <c r="AZ12" s="13">
        <f t="array" ref="AZ12">PRODUCT(1+預測IC!$C12:AZ12)-1</f>
        <v>0.5614180299466891</v>
      </c>
      <c r="BA12" s="13">
        <f t="array" ref="BA12">PRODUCT(1+預測IC!$C12:BA12)-1</f>
        <v>0.56912813758586367</v>
      </c>
      <c r="BB12" s="13">
        <f t="array" ref="BB12">PRODUCT(1+預測IC!$C12:BB12)-1</f>
        <v>0.59309595047801467</v>
      </c>
      <c r="BC12" s="13">
        <f t="array" ref="BC12">PRODUCT(1+預測IC!$C12:BC12)-1</f>
        <v>0.61264768099628242</v>
      </c>
      <c r="BD12" s="13">
        <f t="array" ref="BD12">PRODUCT(1+預測IC!$C12:BD12)-1</f>
        <v>0.63462896703892624</v>
      </c>
      <c r="BE12" s="13">
        <f t="array" ref="BE12">PRODUCT(1+預測IC!$C12:BE12)-1</f>
        <v>0.66504746664450431</v>
      </c>
      <c r="BF12" s="13">
        <f t="array" ref="BF12">PRODUCT(1+預測IC!$C12:BF12)-1</f>
        <v>0.77792495140452789</v>
      </c>
      <c r="BG12" s="13">
        <f t="array" ref="BG12">PRODUCT(1+預測IC!$C12:BG12)-1</f>
        <v>0.83778921787415839</v>
      </c>
      <c r="BH12" s="13">
        <f t="array" ref="BH12">PRODUCT(1+預測IC!$C12:BH12)-1</f>
        <v>0.86392875554490844</v>
      </c>
      <c r="BI12" s="13">
        <f t="array" ref="BI12">PRODUCT(1+預測IC!$C12:BI12)-1</f>
        <v>0.95716480745775989</v>
      </c>
      <c r="BJ12" s="13">
        <f t="array" ref="BJ12">PRODUCT(1+預測IC!$C12:BJ12)-1</f>
        <v>0.95560691734504521</v>
      </c>
      <c r="BK12" s="13">
        <f t="array" ref="BK12">PRODUCT(1+預測IC!$C12:BK12)-1</f>
        <v>0.9139824793156357</v>
      </c>
      <c r="BL12" s="13">
        <f t="array" ref="BL12">PRODUCT(1+預測IC!$C12:BL12)-1</f>
        <v>0.96127554291164286</v>
      </c>
      <c r="BM12" s="13">
        <f t="array" ref="BM12">PRODUCT(1+預測IC!$C12:BM12)-1</f>
        <v>0.951137529278828</v>
      </c>
      <c r="BN12" s="13">
        <f t="array" ref="BN12">PRODUCT(1+預測IC!$C12:BN12)-1</f>
        <v>0.97360787392375192</v>
      </c>
      <c r="BO12" s="13">
        <f t="array" ref="BO12">PRODUCT(1+預測IC!$C12:BO12)-1</f>
        <v>1.0214605827590595</v>
      </c>
      <c r="BP12" s="13">
        <f t="array" ref="BP12">PRODUCT(1+預測IC!$C12:BP12)-1</f>
        <v>1.0002170831996131</v>
      </c>
      <c r="BQ12" s="13">
        <f t="array" ref="BQ12">PRODUCT(1+預測IC!$C12:BQ12)-1</f>
        <v>1.028013599187978</v>
      </c>
      <c r="BR12" s="13">
        <f t="array" ref="BR12">PRODUCT(1+預測IC!$C12:BR12)-1</f>
        <v>1.023428243296606</v>
      </c>
      <c r="BS12" s="13">
        <f t="array" ref="BS12">PRODUCT(1+預測IC!$C12:BS12)-1</f>
        <v>1.0615967638921826</v>
      </c>
      <c r="BT12" s="13">
        <f t="array" ref="BT12">PRODUCT(1+預測IC!$C12:BT12)-1</f>
        <v>1.1070167684213938</v>
      </c>
      <c r="BU12" s="13">
        <f t="array" ref="BU12">PRODUCT(1+預測IC!$C12:BU12)-1</f>
        <v>1.1255195722877569</v>
      </c>
      <c r="BV12" s="13">
        <f t="array" ref="BV12">PRODUCT(1+預測IC!$C12:BV12)-1</f>
        <v>1.1745392733336746</v>
      </c>
      <c r="BW12" s="13">
        <f t="array" ref="BW12">PRODUCT(1+預測IC!$C12:BW12)-1</f>
        <v>1.1104256603271709</v>
      </c>
      <c r="BX12" s="13">
        <f t="array" ref="BX12">PRODUCT(1+預測IC!$C12:BX12)-1</f>
        <v>1.1346473575280389</v>
      </c>
      <c r="BY12" s="13">
        <f t="array" ref="BY12">PRODUCT(1+預測IC!$C12:BY12)-1</f>
        <v>1.0634124667816542</v>
      </c>
      <c r="BZ12" s="13">
        <f t="array" ref="BZ12">PRODUCT(1+預測IC!$C12:BZ12)-1</f>
        <v>1.1570025539761652</v>
      </c>
      <c r="CA12" s="13">
        <f t="array" ref="CA12">PRODUCT(1+預測IC!$C12:CA12)-1</f>
        <v>1.1884529094646274</v>
      </c>
      <c r="CB12" s="13">
        <f t="array" ref="CB12">PRODUCT(1+預測IC!$C12:CB12)-1</f>
        <v>1.1927056033616781</v>
      </c>
      <c r="CC12" s="13">
        <f t="array" ref="CC12">PRODUCT(1+預測IC!$C12:CC12)-1</f>
        <v>1.1559318157609333</v>
      </c>
      <c r="CD12" s="13">
        <f t="array" ref="CD12">PRODUCT(1+預測IC!$C12:CD12)-1</f>
        <v>1.39509716584362</v>
      </c>
      <c r="CE12" s="13">
        <f t="array" ref="CE12">PRODUCT(1+預測IC!$C12:CE12)-1</f>
        <v>1.4229267780723824</v>
      </c>
      <c r="CF12" s="13">
        <f t="array" ref="CF12">PRODUCT(1+預測IC!$C12:CF12)-1</f>
        <v>1.4902055994879695</v>
      </c>
      <c r="CG12" s="13">
        <f t="array" ref="CG12">PRODUCT(1+預測IC!$C12:CG12)-1</f>
        <v>1.5944387180985151</v>
      </c>
      <c r="CH12" s="13">
        <f t="array" ref="CH12">PRODUCT(1+預測IC!$C12:CH12)-1</f>
        <v>1.7586598717497939</v>
      </c>
      <c r="CI12" s="13">
        <f t="array" ref="CI12">PRODUCT(1+預測IC!$C12:CI12)-1</f>
        <v>1.6630559968593666</v>
      </c>
      <c r="CJ12" s="13">
        <f t="array" ref="CJ12">PRODUCT(1+預測IC!$C12:CJ12)-1</f>
        <v>1.7041873773557139</v>
      </c>
      <c r="CK12" s="13">
        <f t="array" ref="CK12">PRODUCT(1+預測IC!$C12:CK12)-1</f>
        <v>1.7388094781696841</v>
      </c>
      <c r="CL12" s="13">
        <f t="array" ref="CL12">PRODUCT(1+預測IC!$C12:CL12)-1</f>
        <v>2.062031743027168</v>
      </c>
      <c r="CM12" s="13">
        <f t="array" ref="CM12">PRODUCT(1+預測IC!$C12:CM12)-1</f>
        <v>2.0154284583825892</v>
      </c>
      <c r="CN12" s="13">
        <f t="array" ref="CN12">PRODUCT(1+預測IC!$C12:CN12)-1</f>
        <v>1.9337594949818757</v>
      </c>
      <c r="CO12" s="13">
        <f t="array" ref="CO12">PRODUCT(1+預測IC!$C12:CO12)-1</f>
        <v>1.8537672363559849</v>
      </c>
      <c r="CP12" s="13">
        <f t="array" ref="CP12">PRODUCT(1+預測IC!$C12:CP12)-1</f>
        <v>1.983040099658905</v>
      </c>
      <c r="CQ12" s="13">
        <f t="array" ref="CQ12">PRODUCT(1+預測IC!$C12:CQ12)-1</f>
        <v>2.0921364236077782</v>
      </c>
      <c r="CR12" s="13">
        <f t="array" ref="CR12">PRODUCT(1+預測IC!$C12:CR12)-1</f>
        <v>2.0986851926439716</v>
      </c>
      <c r="CS12" s="13">
        <f t="array" ref="CS12">PRODUCT(1+預測IC!$C12:CS12)-1</f>
        <v>2.0515800720523329</v>
      </c>
      <c r="CT12" s="13">
        <f t="array" ref="CT12">PRODUCT(1+預測IC!$C12:CT12)-1</f>
        <v>2.0490654601442726</v>
      </c>
      <c r="CU12" s="13">
        <f t="array" ref="CU12">PRODUCT(1+預測IC!$C12:CU12)-1</f>
        <v>2.1576845011318726</v>
      </c>
      <c r="CV12" s="13">
        <f t="array" ref="CV12">PRODUCT(1+預測IC!$C12:CV12)-1</f>
        <v>2.1833016157013798</v>
      </c>
      <c r="CW12" s="13">
        <f t="array" ref="CW12">PRODUCT(1+預測IC!$C12:CW12)-1</f>
        <v>2.2009623335044388</v>
      </c>
      <c r="CX12" s="13">
        <f t="array" ref="CX12">PRODUCT(1+預測IC!$C12:CX12)-1</f>
        <v>2.3961886502302092</v>
      </c>
      <c r="CY12" s="13">
        <f t="array" ref="CY12">PRODUCT(1+預測IC!$C12:CY12)-1</f>
        <v>2.375869449796562</v>
      </c>
      <c r="CZ12" s="13">
        <f t="array" ref="CZ12">PRODUCT(1+預測IC!$C12:CZ12)-1</f>
        <v>2.6384861910905562</v>
      </c>
      <c r="DA12" s="13">
        <f t="array" ref="DA12">PRODUCT(1+預測IC!$C12:DA12)-1</f>
        <v>2.658875482048416</v>
      </c>
      <c r="DB12" s="13">
        <f t="array" ref="DB12">PRODUCT(1+預測IC!$C12:DB12)-1</f>
        <v>2.5747876595883823</v>
      </c>
      <c r="DC12" s="13">
        <f t="array" ref="DC12">PRODUCT(1+預測IC!$C12:DC12)-1</f>
        <v>2.6962346459818196</v>
      </c>
      <c r="DD12" s="13">
        <f t="array" ref="DD12">PRODUCT(1+預測IC!$C12:DD12)-1</f>
        <v>2.7882301489800736</v>
      </c>
      <c r="DE12" s="13">
        <f t="array" ref="DE12">PRODUCT(1+預測IC!$C12:DE12)-1</f>
        <v>2.7927688592715612</v>
      </c>
      <c r="DF12" s="13">
        <f t="array" ref="DF12">PRODUCT(1+預測IC!$C12:DF12)-1</f>
        <v>2.7668470828920171</v>
      </c>
      <c r="DG12" s="13">
        <f t="array" ref="DG12">PRODUCT(1+預測IC!$C12:DG12)-1</f>
        <v>2.7632772082385202</v>
      </c>
      <c r="DH12" s="13">
        <f t="array" ref="DH12">PRODUCT(1+預測IC!$C12:DH12)-1</f>
        <v>2.7488913963010839</v>
      </c>
      <c r="DI12" s="13">
        <f t="array" ref="DI12">PRODUCT(1+預測IC!$C12:DI12)-1</f>
        <v>2.5447898534835471</v>
      </c>
      <c r="DJ12" s="13">
        <f t="array" ref="DJ12">PRODUCT(1+預測IC!$C12:DJ12)-1</f>
        <v>2.5733700699697715</v>
      </c>
      <c r="DK12" s="13">
        <f t="array" ref="DK12">PRODUCT(1+預測IC!$C12:DK12)-1</f>
        <v>2.5163892783285506</v>
      </c>
      <c r="DL12" s="13">
        <f t="array" ref="DL12">PRODUCT(1+預測IC!$C12:DL12)-1</f>
        <v>2.5151420993652462</v>
      </c>
      <c r="DM12" s="13">
        <f t="array" ref="DM12">PRODUCT(1+預測IC!$C12:DM12)-1</f>
        <v>2.4981275839582349</v>
      </c>
      <c r="DN12" s="13">
        <f t="array" ref="DN12">PRODUCT(1+預測IC!$C12:DN12)-1</f>
        <v>2.6464844529609755</v>
      </c>
      <c r="DO12" s="13">
        <f t="array" ref="DO12">PRODUCT(1+預測IC!$C12:DO12)-1</f>
        <v>2.7288940304673526</v>
      </c>
      <c r="DP12" s="13">
        <f t="array" ref="DP12">PRODUCT(1+預測IC!$C12:DP12)-1</f>
        <v>2.850397990067965</v>
      </c>
      <c r="DQ12" s="13">
        <f t="array" ref="DQ12">PRODUCT(1+預測IC!$C12:DQ12)-1</f>
        <v>2.7627249479880933</v>
      </c>
      <c r="DR12" s="13">
        <f t="array" ref="DR12">PRODUCT(1+預測IC!$C12:DR12)-1</f>
        <v>2.8333849463622962</v>
      </c>
      <c r="DS12" s="13">
        <f t="array" ref="DS12">PRODUCT(1+預測IC!$C12:DS12)-1</f>
        <v>2.6964328398623585</v>
      </c>
      <c r="DT12" s="13">
        <f t="array" ref="DT12">PRODUCT(1+預測IC!$C12:DT12)-1</f>
        <v>2.5289922561070406</v>
      </c>
      <c r="DU12" s="13">
        <f t="array" ref="DU12">PRODUCT(1+預測IC!$C12:DU12)-1</f>
        <v>2.5775252447048498</v>
      </c>
      <c r="DV12" s="13">
        <f t="array" ref="DV12">PRODUCT(1+預測IC!$C12:DV12)-1</f>
        <v>2.7512170449244504</v>
      </c>
      <c r="DW12" s="13">
        <f t="array" ref="DW12">PRODUCT(1+預測IC!$C12:DW12)-1</f>
        <v>2.9152411267255931</v>
      </c>
      <c r="DX12" s="13">
        <f t="array" ref="DX12">PRODUCT(1+預測IC!$C12:DX12)-1</f>
        <v>2.718883638395285</v>
      </c>
      <c r="DY12" s="13">
        <f t="array" ref="DY12">PRODUCT(1+預測IC!$C12:DY12)-1</f>
        <v>2.7759955389693727</v>
      </c>
      <c r="DZ12" s="13">
        <f t="array" ref="DZ12">PRODUCT(1+預測IC!$C12:DZ12)-1</f>
        <v>2.760379058005821</v>
      </c>
      <c r="EA12" s="13">
        <f t="array" ref="EA12">PRODUCT(1+預測IC!$C12:EA12)-1</f>
        <v>3.0010581385874042</v>
      </c>
      <c r="EB12" s="13">
        <f t="array" ref="EB12">PRODUCT(1+預測IC!$C12:EB12)-1</f>
        <v>3.0123744384485134</v>
      </c>
      <c r="EC12" s="13">
        <f t="array" ref="EC12">PRODUCT(1+預測IC!$C12:EC12)-1</f>
        <v>3.1193102742320287</v>
      </c>
      <c r="ED12" s="13">
        <f t="array" ref="ED12">PRODUCT(1+預測IC!$C12:ED12)-1</f>
        <v>2.8700584186932385</v>
      </c>
      <c r="EE12" s="13">
        <f t="array" ref="EE12">PRODUCT(1+預測IC!$C12:EE12)-1</f>
        <v>2.9161782774489566</v>
      </c>
      <c r="EF12" s="13">
        <f t="array" ref="EF12">PRODUCT(1+預測IC!$C12:EF12)-1</f>
        <v>3.0698230627900829</v>
      </c>
    </row>
    <row r="13" spans="1:136">
      <c r="A13" s="17">
        <v>48</v>
      </c>
      <c r="B13" s="17" t="s">
        <v>185</v>
      </c>
      <c r="C13" s="13">
        <f t="array" ref="C13">PRODUCT(1+預測IC!$C13:C13)-1</f>
        <v>4.2506117601795568E-2</v>
      </c>
      <c r="D13" s="13">
        <f t="array" ref="D13">PRODUCT(1+預測IC!$C13:D13)-1</f>
        <v>0.17151114571881698</v>
      </c>
      <c r="E13" s="13">
        <f t="array" ref="E13">PRODUCT(1+預測IC!$C13:E13)-1</f>
        <v>0.13109797149507596</v>
      </c>
      <c r="F13" s="13">
        <f t="array" ref="F13">PRODUCT(1+預測IC!$C13:F13)-1</f>
        <v>0.11814145631246942</v>
      </c>
      <c r="G13" s="13">
        <f t="array" ref="G13">PRODUCT(1+預測IC!$C13:G13)-1</f>
        <v>0.10147222611596129</v>
      </c>
      <c r="H13" s="13">
        <f t="array" ref="H13">PRODUCT(1+預測IC!$C13:H13)-1</f>
        <v>0.13450576828192573</v>
      </c>
      <c r="I13" s="13">
        <f t="array" ref="I13">PRODUCT(1+預測IC!$C13:I13)-1</f>
        <v>0.16755453583593605</v>
      </c>
      <c r="J13" s="13">
        <f t="array" ref="J13">PRODUCT(1+預測IC!$C13:J13)-1</f>
        <v>0.11630027818374966</v>
      </c>
      <c r="K13" s="13">
        <f t="array" ref="K13">PRODUCT(1+預測IC!$C13:K13)-1</f>
        <v>6.5697281166015697E-2</v>
      </c>
      <c r="L13" s="13">
        <f t="array" ref="L13">PRODUCT(1+預測IC!$C13:L13)-1</f>
        <v>3.4647477887857159E-2</v>
      </c>
      <c r="M13" s="13">
        <f t="array" ref="M13">PRODUCT(1+預測IC!$C13:M13)-1</f>
        <v>6.1224769424543579E-2</v>
      </c>
      <c r="N13" s="13">
        <f t="array" ref="N13">PRODUCT(1+預測IC!$C13:N13)-1</f>
        <v>0.16714214257145721</v>
      </c>
      <c r="O13" s="13">
        <f t="array" ref="O13">PRODUCT(1+預測IC!$C13:O13)-1</f>
        <v>0.21358199896053631</v>
      </c>
      <c r="P13" s="13">
        <f t="array" ref="P13">PRODUCT(1+預測IC!$C13:P13)-1</f>
        <v>0.23396064486778978</v>
      </c>
      <c r="Q13" s="13">
        <f t="array" ref="Q13">PRODUCT(1+預測IC!$C13:Q13)-1</f>
        <v>0.32431743879574726</v>
      </c>
      <c r="R13" s="13">
        <f t="array" ref="R13">PRODUCT(1+預測IC!$C13:R13)-1</f>
        <v>0.3430695530095218</v>
      </c>
      <c r="S13" s="13">
        <f t="array" ref="S13">PRODUCT(1+預測IC!$C13:S13)-1</f>
        <v>0.32662593276279095</v>
      </c>
      <c r="T13" s="13">
        <f t="array" ref="T13">PRODUCT(1+預測IC!$C13:T13)-1</f>
        <v>0.29730155747007614</v>
      </c>
      <c r="U13" s="13">
        <f t="array" ref="U13">PRODUCT(1+預測IC!$C13:U13)-1</f>
        <v>0.29937245616253505</v>
      </c>
      <c r="V13" s="13">
        <f t="array" ref="V13">PRODUCT(1+預測IC!$C13:V13)-1</f>
        <v>0.27326270360684801</v>
      </c>
      <c r="W13" s="13">
        <f t="array" ref="W13">PRODUCT(1+預測IC!$C13:W13)-1</f>
        <v>0.36936398342409871</v>
      </c>
      <c r="X13" s="13">
        <f t="array" ref="X13">PRODUCT(1+預測IC!$C13:X13)-1</f>
        <v>0.44231884663016019</v>
      </c>
      <c r="Y13" s="13">
        <f t="array" ref="Y13">PRODUCT(1+預測IC!$C13:Y13)-1</f>
        <v>0.46239646584481964</v>
      </c>
      <c r="Z13" s="13">
        <f t="array" ref="Z13">PRODUCT(1+預測IC!$C13:Z13)-1</f>
        <v>0.49249831283139711</v>
      </c>
      <c r="AA13" s="13">
        <f t="array" ref="AA13">PRODUCT(1+預測IC!$C13:AA13)-1</f>
        <v>0.44455999784225808</v>
      </c>
      <c r="AB13" s="13">
        <f t="array" ref="AB13">PRODUCT(1+預測IC!$C13:AB13)-1</f>
        <v>0.42139506381185954</v>
      </c>
      <c r="AC13" s="13">
        <f t="array" ref="AC13">PRODUCT(1+預測IC!$C13:AC13)-1</f>
        <v>0.43281067253049588</v>
      </c>
      <c r="AD13" s="13">
        <f t="array" ref="AD13">PRODUCT(1+預測IC!$C13:AD13)-1</f>
        <v>0.42338414634923494</v>
      </c>
      <c r="AE13" s="13">
        <f t="array" ref="AE13">PRODUCT(1+預測IC!$C13:AE13)-1</f>
        <v>0.32984008159707279</v>
      </c>
      <c r="AF13" s="13">
        <f t="array" ref="AF13">PRODUCT(1+預測IC!$C13:AF13)-1</f>
        <v>0.28736437256541714</v>
      </c>
      <c r="AG13" s="13">
        <f t="array" ref="AG13">PRODUCT(1+預測IC!$C13:AG13)-1</f>
        <v>0.29159009247818091</v>
      </c>
      <c r="AH13" s="13">
        <f t="array" ref="AH13">PRODUCT(1+預測IC!$C13:AH13)-1</f>
        <v>0.27913743423820048</v>
      </c>
      <c r="AI13" s="13">
        <f t="array" ref="AI13">PRODUCT(1+預測IC!$C13:AI13)-1</f>
        <v>0.3046051138512762</v>
      </c>
      <c r="AJ13" s="13">
        <f t="array" ref="AJ13">PRODUCT(1+預測IC!$C13:AJ13)-1</f>
        <v>0.33054838242823004</v>
      </c>
      <c r="AK13" s="13">
        <f t="array" ref="AK13">PRODUCT(1+預測IC!$C13:AK13)-1</f>
        <v>0.33496441706999325</v>
      </c>
      <c r="AL13" s="13">
        <f t="array" ref="AL13">PRODUCT(1+預測IC!$C13:AL13)-1</f>
        <v>0.3658707504488834</v>
      </c>
      <c r="AM13" s="13">
        <f t="array" ref="AM13">PRODUCT(1+預測IC!$C13:AM13)-1</f>
        <v>0.42908658633514007</v>
      </c>
      <c r="AN13" s="13">
        <f t="array" ref="AN13">PRODUCT(1+預測IC!$C13:AN13)-1</f>
        <v>0.57961261679083242</v>
      </c>
      <c r="AO13" s="13">
        <f t="array" ref="AO13">PRODUCT(1+預測IC!$C13:AO13)-1</f>
        <v>0.59432068667405846</v>
      </c>
      <c r="AP13" s="13">
        <f t="array" ref="AP13">PRODUCT(1+預測IC!$C13:AP13)-1</f>
        <v>0.5838176009253786</v>
      </c>
      <c r="AQ13" s="13">
        <f t="array" ref="AQ13">PRODUCT(1+預測IC!$C13:AQ13)-1</f>
        <v>0.57423663090011501</v>
      </c>
      <c r="AR13" s="13">
        <f t="array" ref="AR13">PRODUCT(1+預測IC!$C13:AR13)-1</f>
        <v>0.59106393832527271</v>
      </c>
      <c r="AS13" s="13">
        <f t="array" ref="AS13">PRODUCT(1+預測IC!$C13:AS13)-1</f>
        <v>0.65679575132529688</v>
      </c>
      <c r="AT13" s="13">
        <f t="array" ref="AT13">PRODUCT(1+預測IC!$C13:AT13)-1</f>
        <v>0.72383482336803473</v>
      </c>
      <c r="AU13" s="13">
        <f t="array" ref="AU13">PRODUCT(1+預測IC!$C13:AU13)-1</f>
        <v>0.79447089711406016</v>
      </c>
      <c r="AV13" s="13">
        <f t="array" ref="AV13">PRODUCT(1+預測IC!$C13:AV13)-1</f>
        <v>0.77746743722598155</v>
      </c>
      <c r="AW13" s="13">
        <f t="array" ref="AW13">PRODUCT(1+預測IC!$C13:AW13)-1</f>
        <v>0.78471952851331639</v>
      </c>
      <c r="AX13" s="13">
        <f t="array" ref="AX13">PRODUCT(1+預測IC!$C13:AX13)-1</f>
        <v>0.76351594506487297</v>
      </c>
      <c r="AY13" s="13">
        <f t="array" ref="AY13">PRODUCT(1+預測IC!$C13:AY13)-1</f>
        <v>0.79449094991531521</v>
      </c>
      <c r="AZ13" s="13">
        <f t="array" ref="AZ13">PRODUCT(1+預測IC!$C13:AZ13)-1</f>
        <v>0.77994935087836526</v>
      </c>
      <c r="BA13" s="13">
        <f t="array" ref="BA13">PRODUCT(1+預測IC!$C13:BA13)-1</f>
        <v>0.79159188852618945</v>
      </c>
      <c r="BB13" s="13">
        <f t="array" ref="BB13">PRODUCT(1+預測IC!$C13:BB13)-1</f>
        <v>0.86840706169219839</v>
      </c>
      <c r="BC13" s="13">
        <f t="array" ref="BC13">PRODUCT(1+預測IC!$C13:BC13)-1</f>
        <v>0.88948973184610969</v>
      </c>
      <c r="BD13" s="13">
        <f t="array" ref="BD13">PRODUCT(1+預測IC!$C13:BD13)-1</f>
        <v>0.89580899493597044</v>
      </c>
      <c r="BE13" s="13">
        <f t="array" ref="BE13">PRODUCT(1+預測IC!$C13:BE13)-1</f>
        <v>0.94773862771774953</v>
      </c>
      <c r="BF13" s="13">
        <f t="array" ref="BF13">PRODUCT(1+預測IC!$C13:BF13)-1</f>
        <v>1.1112111919139265</v>
      </c>
      <c r="BG13" s="13">
        <f t="array" ref="BG13">PRODUCT(1+預測IC!$C13:BG13)-1</f>
        <v>1.2095228283712527</v>
      </c>
      <c r="BH13" s="13">
        <f t="array" ref="BH13">PRODUCT(1+預測IC!$C13:BH13)-1</f>
        <v>1.2282501468771314</v>
      </c>
      <c r="BI13" s="13">
        <f t="array" ref="BI13">PRODUCT(1+預測IC!$C13:BI13)-1</f>
        <v>1.3450308039714791</v>
      </c>
      <c r="BJ13" s="13">
        <f t="array" ref="BJ13">PRODUCT(1+預測IC!$C13:BJ13)-1</f>
        <v>1.3055238683671515</v>
      </c>
      <c r="BK13" s="13">
        <f t="array" ref="BK13">PRODUCT(1+預測IC!$C13:BK13)-1</f>
        <v>1.2631229215431552</v>
      </c>
      <c r="BL13" s="13">
        <f t="array" ref="BL13">PRODUCT(1+預測IC!$C13:BL13)-1</f>
        <v>1.3354248562858482</v>
      </c>
      <c r="BM13" s="13">
        <f t="array" ref="BM13">PRODUCT(1+預測IC!$C13:BM13)-1</f>
        <v>1.3749370117361304</v>
      </c>
      <c r="BN13" s="13">
        <f t="array" ref="BN13">PRODUCT(1+預測IC!$C13:BN13)-1</f>
        <v>1.4011861025094876</v>
      </c>
      <c r="BO13" s="13">
        <f t="array" ref="BO13">PRODUCT(1+預測IC!$C13:BO13)-1</f>
        <v>1.4753316467926396</v>
      </c>
      <c r="BP13" s="13">
        <f t="array" ref="BP13">PRODUCT(1+預測IC!$C13:BP13)-1</f>
        <v>1.4986806969601751</v>
      </c>
      <c r="BQ13" s="13">
        <f t="array" ref="BQ13">PRODUCT(1+預測IC!$C13:BQ13)-1</f>
        <v>1.6027584034200641</v>
      </c>
      <c r="BR13" s="13">
        <f t="array" ref="BR13">PRODUCT(1+預測IC!$C13:BR13)-1</f>
        <v>1.5853682879179773</v>
      </c>
      <c r="BS13" s="13">
        <f t="array" ref="BS13">PRODUCT(1+預測IC!$C13:BS13)-1</f>
        <v>1.6045503551267815</v>
      </c>
      <c r="BT13" s="13">
        <f t="array" ref="BT13">PRODUCT(1+預測IC!$C13:BT13)-1</f>
        <v>1.7044179462969717</v>
      </c>
      <c r="BU13" s="13">
        <f t="array" ref="BU13">PRODUCT(1+預測IC!$C13:BU13)-1</f>
        <v>1.7523038715049228</v>
      </c>
      <c r="BV13" s="13">
        <f t="array" ref="BV13">PRODUCT(1+預測IC!$C13:BV13)-1</f>
        <v>1.809148846147814</v>
      </c>
      <c r="BW13" s="13">
        <f t="array" ref="BW13">PRODUCT(1+預測IC!$C13:BW13)-1</f>
        <v>1.8141020436091617</v>
      </c>
      <c r="BX13" s="13">
        <f t="array" ref="BX13">PRODUCT(1+預測IC!$C13:BX13)-1</f>
        <v>1.8734178765038565</v>
      </c>
      <c r="BY13" s="13">
        <f t="array" ref="BY13">PRODUCT(1+預測IC!$C13:BY13)-1</f>
        <v>1.831717693606536</v>
      </c>
      <c r="BZ13" s="13">
        <f t="array" ref="BZ13">PRODUCT(1+預測IC!$C13:BZ13)-1</f>
        <v>2.0473193638308405</v>
      </c>
      <c r="CA13" s="13">
        <f t="array" ref="CA13">PRODUCT(1+預測IC!$C13:CA13)-1</f>
        <v>2.120492167767527</v>
      </c>
      <c r="CB13" s="13">
        <f t="array" ref="CB13">PRODUCT(1+預測IC!$C13:CB13)-1</f>
        <v>2.0999099421315259</v>
      </c>
      <c r="CC13" s="13">
        <f t="array" ref="CC13">PRODUCT(1+預測IC!$C13:CC13)-1</f>
        <v>2.0610652427796063</v>
      </c>
      <c r="CD13" s="13">
        <f t="array" ref="CD13">PRODUCT(1+預測IC!$C13:CD13)-1</f>
        <v>2.3827398333548557</v>
      </c>
      <c r="CE13" s="13">
        <f t="array" ref="CE13">PRODUCT(1+預測IC!$C13:CE13)-1</f>
        <v>2.4139320243351738</v>
      </c>
      <c r="CF13" s="13">
        <f t="array" ref="CF13">PRODUCT(1+預測IC!$C13:CF13)-1</f>
        <v>2.5659007050476856</v>
      </c>
      <c r="CG13" s="13">
        <f t="array" ref="CG13">PRODUCT(1+預測IC!$C13:CG13)-1</f>
        <v>2.710138047207201</v>
      </c>
      <c r="CH13" s="13">
        <f t="array" ref="CH13">PRODUCT(1+預測IC!$C13:CH13)-1</f>
        <v>2.9265675100163855</v>
      </c>
      <c r="CI13" s="13">
        <f t="array" ref="CI13">PRODUCT(1+預測IC!$C13:CI13)-1</f>
        <v>2.7229612057694492</v>
      </c>
      <c r="CJ13" s="13">
        <f t="array" ref="CJ13">PRODUCT(1+預測IC!$C13:CJ13)-1</f>
        <v>2.7113973607481676</v>
      </c>
      <c r="CK13" s="13">
        <f t="array" ref="CK13">PRODUCT(1+預測IC!$C13:CK13)-1</f>
        <v>2.8303300884168441</v>
      </c>
      <c r="CL13" s="13">
        <f t="array" ref="CL13">PRODUCT(1+預測IC!$C13:CL13)-1</f>
        <v>3.1423233674008602</v>
      </c>
      <c r="CM13" s="13">
        <f t="array" ref="CM13">PRODUCT(1+預測IC!$C13:CM13)-1</f>
        <v>3.0996706765912041</v>
      </c>
      <c r="CN13" s="13">
        <f t="array" ref="CN13">PRODUCT(1+預測IC!$C13:CN13)-1</f>
        <v>2.9894405107007986</v>
      </c>
      <c r="CO13" s="13">
        <f t="array" ref="CO13">PRODUCT(1+預測IC!$C13:CO13)-1</f>
        <v>2.9357527803375816</v>
      </c>
      <c r="CP13" s="13">
        <f t="array" ref="CP13">PRODUCT(1+預測IC!$C13:CP13)-1</f>
        <v>3.2101792050989948</v>
      </c>
      <c r="CQ13" s="13">
        <f t="array" ref="CQ13">PRODUCT(1+預測IC!$C13:CQ13)-1</f>
        <v>3.3709446883626075</v>
      </c>
      <c r="CR13" s="13">
        <f t="array" ref="CR13">PRODUCT(1+預測IC!$C13:CR13)-1</f>
        <v>3.4071351531350844</v>
      </c>
      <c r="CS13" s="13">
        <f t="array" ref="CS13">PRODUCT(1+預測IC!$C13:CS13)-1</f>
        <v>3.4548778735209202</v>
      </c>
      <c r="CT13" s="13">
        <f t="array" ref="CT13">PRODUCT(1+預測IC!$C13:CT13)-1</f>
        <v>3.4908322988170832</v>
      </c>
      <c r="CU13" s="13">
        <f t="array" ref="CU13">PRODUCT(1+預測IC!$C13:CU13)-1</f>
        <v>3.6577179244558211</v>
      </c>
      <c r="CV13" s="13">
        <f t="array" ref="CV13">PRODUCT(1+預測IC!$C13:CV13)-1</f>
        <v>3.6439622294099241</v>
      </c>
      <c r="CW13" s="13">
        <f t="array" ref="CW13">PRODUCT(1+預測IC!$C13:CW13)-1</f>
        <v>3.6717193349503487</v>
      </c>
      <c r="CX13" s="13">
        <f t="array" ref="CX13">PRODUCT(1+預測IC!$C13:CX13)-1</f>
        <v>3.9521778541953143</v>
      </c>
      <c r="CY13" s="13">
        <f t="array" ref="CY13">PRODUCT(1+預測IC!$C13:CY13)-1</f>
        <v>3.887211519922805</v>
      </c>
      <c r="CZ13" s="13">
        <f t="array" ref="CZ13">PRODUCT(1+預測IC!$C13:CZ13)-1</f>
        <v>4.1668783888529592</v>
      </c>
      <c r="DA13" s="13">
        <f t="array" ref="DA13">PRODUCT(1+預測IC!$C13:DA13)-1</f>
        <v>4.1380282092145961</v>
      </c>
      <c r="DB13" s="13">
        <f t="array" ref="DB13">PRODUCT(1+預測IC!$C13:DB13)-1</f>
        <v>3.9234560859486747</v>
      </c>
      <c r="DC13" s="13">
        <f t="array" ref="DC13">PRODUCT(1+預測IC!$C13:DC13)-1</f>
        <v>4.0700547769847217</v>
      </c>
      <c r="DD13" s="13">
        <f t="array" ref="DD13">PRODUCT(1+預測IC!$C13:DD13)-1</f>
        <v>4.1242921980127569</v>
      </c>
      <c r="DE13" s="13">
        <f t="array" ref="DE13">PRODUCT(1+預測IC!$C13:DE13)-1</f>
        <v>4.1546739067562548</v>
      </c>
      <c r="DF13" s="13">
        <f t="array" ref="DF13">PRODUCT(1+預測IC!$C13:DF13)-1</f>
        <v>4.0076688090720216</v>
      </c>
      <c r="DG13" s="13">
        <f t="array" ref="DG13">PRODUCT(1+預測IC!$C13:DG13)-1</f>
        <v>3.9995030180090509</v>
      </c>
      <c r="DH13" s="13">
        <f t="array" ref="DH13">PRODUCT(1+預測IC!$C13:DH13)-1</f>
        <v>4.0559762436254143</v>
      </c>
      <c r="DI13" s="13">
        <f t="array" ref="DI13">PRODUCT(1+預測IC!$C13:DI13)-1</f>
        <v>3.8235174969941585</v>
      </c>
      <c r="DJ13" s="13">
        <f t="array" ref="DJ13">PRODUCT(1+預測IC!$C13:DJ13)-1</f>
        <v>3.8074467127665699</v>
      </c>
      <c r="DK13" s="13">
        <f t="array" ref="DK13">PRODUCT(1+預測IC!$C13:DK13)-1</f>
        <v>3.8671026758273879</v>
      </c>
      <c r="DL13" s="13">
        <f t="array" ref="DL13">PRODUCT(1+預測IC!$C13:DL13)-1</f>
        <v>3.7877677025128644</v>
      </c>
      <c r="DM13" s="13">
        <f t="array" ref="DM13">PRODUCT(1+預測IC!$C13:DM13)-1</f>
        <v>3.7558865843474623</v>
      </c>
      <c r="DN13" s="13">
        <f t="array" ref="DN13">PRODUCT(1+預測IC!$C13:DN13)-1</f>
        <v>3.8105772727148004</v>
      </c>
      <c r="DO13" s="13">
        <f t="array" ref="DO13">PRODUCT(1+預測IC!$C13:DO13)-1</f>
        <v>4.0361520354346441</v>
      </c>
      <c r="DP13" s="13">
        <f t="array" ref="DP13">PRODUCT(1+預測IC!$C13:DP13)-1</f>
        <v>4.2818489509042044</v>
      </c>
      <c r="DQ13" s="13">
        <f t="array" ref="DQ13">PRODUCT(1+預測IC!$C13:DQ13)-1</f>
        <v>4.1422492530988304</v>
      </c>
      <c r="DR13" s="13">
        <f t="array" ref="DR13">PRODUCT(1+預測IC!$C13:DR13)-1</f>
        <v>4.2130642436936441</v>
      </c>
      <c r="DS13" s="13">
        <f t="array" ref="DS13">PRODUCT(1+預測IC!$C13:DS13)-1</f>
        <v>4.0103405414805957</v>
      </c>
      <c r="DT13" s="13">
        <f t="array" ref="DT13">PRODUCT(1+預測IC!$C13:DT13)-1</f>
        <v>3.8328427091067843</v>
      </c>
      <c r="DU13" s="13">
        <f t="array" ref="DU13">PRODUCT(1+預測IC!$C13:DU13)-1</f>
        <v>3.9232418228132087</v>
      </c>
      <c r="DV13" s="13">
        <f t="array" ref="DV13">PRODUCT(1+預測IC!$C13:DV13)-1</f>
        <v>4.3152310458115055</v>
      </c>
      <c r="DW13" s="13">
        <f t="array" ref="DW13">PRODUCT(1+預測IC!$C13:DW13)-1</f>
        <v>4.5513218602091765</v>
      </c>
      <c r="DX13" s="13">
        <f t="array" ref="DX13">PRODUCT(1+預測IC!$C13:DX13)-1</f>
        <v>4.1931318126604964</v>
      </c>
      <c r="DY13" s="13">
        <f t="array" ref="DY13">PRODUCT(1+預測IC!$C13:DY13)-1</f>
        <v>4.3768962068765438</v>
      </c>
      <c r="DZ13" s="13">
        <f t="array" ref="DZ13">PRODUCT(1+預測IC!$C13:DZ13)-1</f>
        <v>4.2983461276732564</v>
      </c>
      <c r="EA13" s="13">
        <f t="array" ref="EA13">PRODUCT(1+預測IC!$C13:EA13)-1</f>
        <v>4.6864121992452308</v>
      </c>
      <c r="EB13" s="13">
        <f t="array" ref="EB13">PRODUCT(1+預測IC!$C13:EB13)-1</f>
        <v>4.8079491279513515</v>
      </c>
      <c r="EC13" s="13">
        <f t="array" ref="EC13">PRODUCT(1+預測IC!$C13:EC13)-1</f>
        <v>5.0499068565861585</v>
      </c>
      <c r="ED13" s="13">
        <f t="array" ref="ED13">PRODUCT(1+預測IC!$C13:ED13)-1</f>
        <v>4.6525363078022188</v>
      </c>
      <c r="EE13" s="13">
        <f t="array" ref="EE13">PRODUCT(1+預測IC!$C13:EE13)-1</f>
        <v>4.6974886317258999</v>
      </c>
      <c r="EF13" s="13">
        <f t="array" ref="EF13">PRODUCT(1+預測IC!$C13:EF13)-1</f>
        <v>5.0768115593917287</v>
      </c>
    </row>
    <row r="14" spans="1:136">
      <c r="A14" s="17">
        <v>19</v>
      </c>
      <c r="B14" s="17" t="s">
        <v>186</v>
      </c>
      <c r="C14" s="13">
        <f t="array" ref="C14">PRODUCT(1+預測IC!$C14:C14)-1</f>
        <v>-3.7017512404591946E-2</v>
      </c>
      <c r="D14" s="13">
        <f t="array" ref="D14">PRODUCT(1+預測IC!$C14:D14)-1</f>
        <v>0.17706195869710029</v>
      </c>
      <c r="E14" s="13">
        <f t="array" ref="E14">PRODUCT(1+預測IC!$C14:E14)-1</f>
        <v>0.12112097882601658</v>
      </c>
      <c r="F14" s="13">
        <f t="array" ref="F14">PRODUCT(1+預測IC!$C14:F14)-1</f>
        <v>0.15984809682307288</v>
      </c>
      <c r="G14" s="13">
        <f t="array" ref="G14">PRODUCT(1+預測IC!$C14:G14)-1</f>
        <v>0.11227122474111262</v>
      </c>
      <c r="H14" s="13">
        <f t="array" ref="H14">PRODUCT(1+預測IC!$C14:H14)-1</f>
        <v>0.17855029621161989</v>
      </c>
      <c r="I14" s="13">
        <f t="array" ref="I14">PRODUCT(1+預測IC!$C14:I14)-1</f>
        <v>0.26943420230397908</v>
      </c>
      <c r="J14" s="13">
        <f t="array" ref="J14">PRODUCT(1+預測IC!$C14:J14)-1</f>
        <v>0.13602481874565631</v>
      </c>
      <c r="K14" s="13">
        <f t="array" ref="K14">PRODUCT(1+預測IC!$C14:K14)-1</f>
        <v>-1.6405518820628462E-2</v>
      </c>
      <c r="L14" s="13">
        <f t="array" ref="L14">PRODUCT(1+預測IC!$C14:L14)-1</f>
        <v>-1.1637842417611788E-2</v>
      </c>
      <c r="M14" s="13">
        <f t="array" ref="M14">PRODUCT(1+預測IC!$C14:M14)-1</f>
        <v>-8.6705300781578232E-2</v>
      </c>
      <c r="N14" s="13">
        <f t="array" ref="N14">PRODUCT(1+預測IC!$C14:N14)-1</f>
        <v>0.10036730393457649</v>
      </c>
      <c r="O14" s="13">
        <f t="array" ref="O14">PRODUCT(1+預測IC!$C14:O14)-1</f>
        <v>0.14398846999563153</v>
      </c>
      <c r="P14" s="13">
        <f t="array" ref="P14">PRODUCT(1+預測IC!$C14:P14)-1</f>
        <v>0.19864817888210329</v>
      </c>
      <c r="Q14" s="13">
        <f t="array" ref="Q14">PRODUCT(1+預測IC!$C14:Q14)-1</f>
        <v>0.26845631325876451</v>
      </c>
      <c r="R14" s="13">
        <f t="array" ref="R14">PRODUCT(1+預測IC!$C14:R14)-1</f>
        <v>0.2505055200786781</v>
      </c>
      <c r="S14" s="13">
        <f t="array" ref="S14">PRODUCT(1+預測IC!$C14:S14)-1</f>
        <v>0.29869407937531012</v>
      </c>
      <c r="T14" s="13">
        <f t="array" ref="T14">PRODUCT(1+預測IC!$C14:T14)-1</f>
        <v>0.27614649453079587</v>
      </c>
      <c r="U14" s="13">
        <f t="array" ref="U14">PRODUCT(1+預測IC!$C14:U14)-1</f>
        <v>0.32282571683576822</v>
      </c>
      <c r="V14" s="13">
        <f t="array" ref="V14">PRODUCT(1+預測IC!$C14:V14)-1</f>
        <v>0.2720631850434756</v>
      </c>
      <c r="W14" s="13">
        <f t="array" ref="W14">PRODUCT(1+預測IC!$C14:W14)-1</f>
        <v>0.41983287358890853</v>
      </c>
      <c r="X14" s="13">
        <f t="array" ref="X14">PRODUCT(1+預測IC!$C14:X14)-1</f>
        <v>0.49591005970936575</v>
      </c>
      <c r="Y14" s="13">
        <f t="array" ref="Y14">PRODUCT(1+預測IC!$C14:Y14)-1</f>
        <v>0.47083325332526504</v>
      </c>
      <c r="Z14" s="13">
        <f t="array" ref="Z14">PRODUCT(1+預測IC!$C14:Z14)-1</f>
        <v>0.5020914016249336</v>
      </c>
      <c r="AA14" s="13">
        <f t="array" ref="AA14">PRODUCT(1+預測IC!$C14:AA14)-1</f>
        <v>0.44283362500062262</v>
      </c>
      <c r="AB14" s="13">
        <f t="array" ref="AB14">PRODUCT(1+預測IC!$C14:AB14)-1</f>
        <v>0.33464616286748394</v>
      </c>
      <c r="AC14" s="13">
        <f t="array" ref="AC14">PRODUCT(1+預測IC!$C14:AC14)-1</f>
        <v>0.29555086453035107</v>
      </c>
      <c r="AD14" s="13">
        <f t="array" ref="AD14">PRODUCT(1+預測IC!$C14:AD14)-1</f>
        <v>0.31228951982033926</v>
      </c>
      <c r="AE14" s="13">
        <f t="array" ref="AE14">PRODUCT(1+預測IC!$C14:AE14)-1</f>
        <v>0.30701535917231171</v>
      </c>
      <c r="AF14" s="13">
        <f t="array" ref="AF14">PRODUCT(1+預測IC!$C14:AF14)-1</f>
        <v>0.2541848801208606</v>
      </c>
      <c r="AG14" s="13">
        <f t="array" ref="AG14">PRODUCT(1+預測IC!$C14:AG14)-1</f>
        <v>0.26219984761186876</v>
      </c>
      <c r="AH14" s="13">
        <f t="array" ref="AH14">PRODUCT(1+預測IC!$C14:AH14)-1</f>
        <v>0.25557294760806415</v>
      </c>
      <c r="AI14" s="13">
        <f t="array" ref="AI14">PRODUCT(1+預測IC!$C14:AI14)-1</f>
        <v>0.26934070147530664</v>
      </c>
      <c r="AJ14" s="13">
        <f t="array" ref="AJ14">PRODUCT(1+預測IC!$C14:AJ14)-1</f>
        <v>0.39157146347943939</v>
      </c>
      <c r="AK14" s="13">
        <f t="array" ref="AK14">PRODUCT(1+預測IC!$C14:AK14)-1</f>
        <v>0.37555528158142781</v>
      </c>
      <c r="AL14" s="13">
        <f t="array" ref="AL14">PRODUCT(1+預測IC!$C14:AL14)-1</f>
        <v>0.42778400104152592</v>
      </c>
      <c r="AM14" s="13">
        <f t="array" ref="AM14">PRODUCT(1+預測IC!$C14:AM14)-1</f>
        <v>0.51522458638605051</v>
      </c>
      <c r="AN14" s="13">
        <f t="array" ref="AN14">PRODUCT(1+預測IC!$C14:AN14)-1</f>
        <v>0.6646176495618028</v>
      </c>
      <c r="AO14" s="13">
        <f t="array" ref="AO14">PRODUCT(1+預測IC!$C14:AO14)-1</f>
        <v>0.76600236183853676</v>
      </c>
      <c r="AP14" s="13">
        <f t="array" ref="AP14">PRODUCT(1+預測IC!$C14:AP14)-1</f>
        <v>0.77846178734378579</v>
      </c>
      <c r="AQ14" s="13">
        <f t="array" ref="AQ14">PRODUCT(1+預測IC!$C14:AQ14)-1</f>
        <v>0.7778073707832045</v>
      </c>
      <c r="AR14" s="13">
        <f t="array" ref="AR14">PRODUCT(1+預測IC!$C14:AR14)-1</f>
        <v>0.84473442219187911</v>
      </c>
      <c r="AS14" s="13">
        <f t="array" ref="AS14">PRODUCT(1+預測IC!$C14:AS14)-1</f>
        <v>1.0022322870424571</v>
      </c>
      <c r="AT14" s="13">
        <f t="array" ref="AT14">PRODUCT(1+預測IC!$C14:AT14)-1</f>
        <v>1.0713224750034569</v>
      </c>
      <c r="AU14" s="13">
        <f t="array" ref="AU14">PRODUCT(1+預測IC!$C14:AU14)-1</f>
        <v>1.1541580763964499</v>
      </c>
      <c r="AV14" s="13">
        <f t="array" ref="AV14">PRODUCT(1+預測IC!$C14:AV14)-1</f>
        <v>1.113912187849234</v>
      </c>
      <c r="AW14" s="13">
        <f t="array" ref="AW14">PRODUCT(1+預測IC!$C14:AW14)-1</f>
        <v>1.07509456313415</v>
      </c>
      <c r="AX14" s="13">
        <f t="array" ref="AX14">PRODUCT(1+預測IC!$C14:AX14)-1</f>
        <v>1.0768010553735694</v>
      </c>
      <c r="AY14" s="13">
        <f t="array" ref="AY14">PRODUCT(1+預測IC!$C14:AY14)-1</f>
        <v>1.1080945403412583</v>
      </c>
      <c r="AZ14" s="13">
        <f t="array" ref="AZ14">PRODUCT(1+預測IC!$C14:AZ14)-1</f>
        <v>0.99563071293441818</v>
      </c>
      <c r="BA14" s="13">
        <f t="array" ref="BA14">PRODUCT(1+預測IC!$C14:BA14)-1</f>
        <v>1.0307970099949535</v>
      </c>
      <c r="BB14" s="13">
        <f t="array" ref="BB14">PRODUCT(1+預測IC!$C14:BB14)-1</f>
        <v>1.15616680529814</v>
      </c>
      <c r="BC14" s="13">
        <f t="array" ref="BC14">PRODUCT(1+預測IC!$C14:BC14)-1</f>
        <v>1.1349910933559029</v>
      </c>
      <c r="BD14" s="13">
        <f t="array" ref="BD14">PRODUCT(1+預測IC!$C14:BD14)-1</f>
        <v>1.2274955213106824</v>
      </c>
      <c r="BE14" s="13">
        <f t="array" ref="BE14">PRODUCT(1+預測IC!$C14:BE14)-1</f>
        <v>1.3250310069998306</v>
      </c>
      <c r="BF14" s="13">
        <f t="array" ref="BF14">PRODUCT(1+預測IC!$C14:BF14)-1</f>
        <v>1.4198237337651136</v>
      </c>
      <c r="BG14" s="13">
        <f t="array" ref="BG14">PRODUCT(1+預測IC!$C14:BG14)-1</f>
        <v>1.5199421599382812</v>
      </c>
      <c r="BH14" s="13">
        <f t="array" ref="BH14">PRODUCT(1+預測IC!$C14:BH14)-1</f>
        <v>1.5334055949458434</v>
      </c>
      <c r="BI14" s="13">
        <f t="array" ref="BI14">PRODUCT(1+預測IC!$C14:BI14)-1</f>
        <v>1.6605450940670807</v>
      </c>
      <c r="BJ14" s="13">
        <f t="array" ref="BJ14">PRODUCT(1+預測IC!$C14:BJ14)-1</f>
        <v>1.6072883678317376</v>
      </c>
      <c r="BK14" s="13">
        <f t="array" ref="BK14">PRODUCT(1+預測IC!$C14:BK14)-1</f>
        <v>1.592703844203712</v>
      </c>
      <c r="BL14" s="13">
        <f t="array" ref="BL14">PRODUCT(1+預測IC!$C14:BL14)-1</f>
        <v>1.7475861819400706</v>
      </c>
      <c r="BM14" s="13">
        <f t="array" ref="BM14">PRODUCT(1+預測IC!$C14:BM14)-1</f>
        <v>1.8554487639826971</v>
      </c>
      <c r="BN14" s="13">
        <f t="array" ref="BN14">PRODUCT(1+預測IC!$C14:BN14)-1</f>
        <v>1.915231975744041</v>
      </c>
      <c r="BO14" s="13">
        <f t="array" ref="BO14">PRODUCT(1+預測IC!$C14:BO14)-1</f>
        <v>2.0132101403766445</v>
      </c>
      <c r="BP14" s="13">
        <f t="array" ref="BP14">PRODUCT(1+預測IC!$C14:BP14)-1</f>
        <v>2.0604383930751897</v>
      </c>
      <c r="BQ14" s="13">
        <f t="array" ref="BQ14">PRODUCT(1+預測IC!$C14:BQ14)-1</f>
        <v>2.1089265218083906</v>
      </c>
      <c r="BR14" s="13">
        <f t="array" ref="BR14">PRODUCT(1+預測IC!$C14:BR14)-1</f>
        <v>2.0220959775954563</v>
      </c>
      <c r="BS14" s="13">
        <f t="array" ref="BS14">PRODUCT(1+預測IC!$C14:BS14)-1</f>
        <v>1.8966972626585012</v>
      </c>
      <c r="BT14" s="13">
        <f t="array" ref="BT14">PRODUCT(1+預測IC!$C14:BT14)-1</f>
        <v>2.1110904080593409</v>
      </c>
      <c r="BU14" s="13">
        <f t="array" ref="BU14">PRODUCT(1+預測IC!$C14:BU14)-1</f>
        <v>2.0835422147120264</v>
      </c>
      <c r="BV14" s="13">
        <f t="array" ref="BV14">PRODUCT(1+預測IC!$C14:BV14)-1</f>
        <v>2.1628730665252602</v>
      </c>
      <c r="BW14" s="13">
        <f t="array" ref="BW14">PRODUCT(1+預測IC!$C14:BW14)-1</f>
        <v>2.2024341191866941</v>
      </c>
      <c r="BX14" s="13">
        <f t="array" ref="BX14">PRODUCT(1+預測IC!$C14:BX14)-1</f>
        <v>2.378474356958864</v>
      </c>
      <c r="BY14" s="13">
        <f t="array" ref="BY14">PRODUCT(1+預測IC!$C14:BY14)-1</f>
        <v>2.3561889489743519</v>
      </c>
      <c r="BZ14" s="13">
        <f t="array" ref="BZ14">PRODUCT(1+預測IC!$C14:BZ14)-1</f>
        <v>2.5576745870652093</v>
      </c>
      <c r="CA14" s="13">
        <f t="array" ref="CA14">PRODUCT(1+預測IC!$C14:CA14)-1</f>
        <v>2.6766952796532602</v>
      </c>
      <c r="CB14" s="13">
        <f t="array" ref="CB14">PRODUCT(1+預測IC!$C14:CB14)-1</f>
        <v>2.758051782943852</v>
      </c>
      <c r="CC14" s="13">
        <f t="array" ref="CC14">PRODUCT(1+預測IC!$C14:CC14)-1</f>
        <v>2.7099709648379839</v>
      </c>
      <c r="CD14" s="13">
        <f t="array" ref="CD14">PRODUCT(1+預測IC!$C14:CD14)-1</f>
        <v>3.073610112755385</v>
      </c>
      <c r="CE14" s="13">
        <f t="array" ref="CE14">PRODUCT(1+預測IC!$C14:CE14)-1</f>
        <v>2.7796717716713615</v>
      </c>
      <c r="CF14" s="13">
        <f t="array" ref="CF14">PRODUCT(1+預測IC!$C14:CF14)-1</f>
        <v>3.1286514489316986</v>
      </c>
      <c r="CG14" s="13">
        <f t="array" ref="CG14">PRODUCT(1+預測IC!$C14:CG14)-1</f>
        <v>3.3477467121958133</v>
      </c>
      <c r="CH14" s="13">
        <f t="array" ref="CH14">PRODUCT(1+預測IC!$C14:CH14)-1</f>
        <v>3.6288780678794357</v>
      </c>
      <c r="CI14" s="13">
        <f t="array" ref="CI14">PRODUCT(1+預測IC!$C14:CI14)-1</f>
        <v>3.1387503442198872</v>
      </c>
      <c r="CJ14" s="13">
        <f t="array" ref="CJ14">PRODUCT(1+預測IC!$C14:CJ14)-1</f>
        <v>3.0201012497016393</v>
      </c>
      <c r="CK14" s="13">
        <f t="array" ref="CK14">PRODUCT(1+預測IC!$C14:CK14)-1</f>
        <v>3.0764484537047494</v>
      </c>
      <c r="CL14" s="13">
        <f t="array" ref="CL14">PRODUCT(1+預測IC!$C14:CL14)-1</f>
        <v>3.3302887149828475</v>
      </c>
      <c r="CM14" s="13">
        <f t="array" ref="CM14">PRODUCT(1+預測IC!$C14:CM14)-1</f>
        <v>3.4690312103087049</v>
      </c>
      <c r="CN14" s="13">
        <f t="array" ref="CN14">PRODUCT(1+預測IC!$C14:CN14)-1</f>
        <v>3.3661242199682748</v>
      </c>
      <c r="CO14" s="13">
        <f t="array" ref="CO14">PRODUCT(1+預測IC!$C14:CO14)-1</f>
        <v>3.0448310932142189</v>
      </c>
      <c r="CP14" s="13">
        <f t="array" ref="CP14">PRODUCT(1+預測IC!$C14:CP14)-1</f>
        <v>3.4485429805845369</v>
      </c>
      <c r="CQ14" s="13">
        <f t="array" ref="CQ14">PRODUCT(1+預測IC!$C14:CQ14)-1</f>
        <v>3.6852571952172308</v>
      </c>
      <c r="CR14" s="13">
        <f t="array" ref="CR14">PRODUCT(1+預測IC!$C14:CR14)-1</f>
        <v>3.947205884550816</v>
      </c>
      <c r="CS14" s="13">
        <f t="array" ref="CS14">PRODUCT(1+預測IC!$C14:CS14)-1</f>
        <v>4.2392252012672618</v>
      </c>
      <c r="CT14" s="13">
        <f t="array" ref="CT14">PRODUCT(1+預測IC!$C14:CT14)-1</f>
        <v>4.3392974232903443</v>
      </c>
      <c r="CU14" s="13">
        <f t="array" ref="CU14">PRODUCT(1+預測IC!$C14:CU14)-1</f>
        <v>4.1048109500207293</v>
      </c>
      <c r="CV14" s="13">
        <f t="array" ref="CV14">PRODUCT(1+預測IC!$C14:CV14)-1</f>
        <v>4.2209235257245474</v>
      </c>
      <c r="CW14" s="13">
        <f t="array" ref="CW14">PRODUCT(1+預測IC!$C14:CW14)-1</f>
        <v>4.2031808307716032</v>
      </c>
      <c r="CX14" s="13">
        <f t="array" ref="CX14">PRODUCT(1+預測IC!$C14:CX14)-1</f>
        <v>4.392053219267229</v>
      </c>
      <c r="CY14" s="13">
        <f t="array" ref="CY14">PRODUCT(1+預測IC!$C14:CY14)-1</f>
        <v>4.2369825121162918</v>
      </c>
      <c r="CZ14" s="13">
        <f t="array" ref="CZ14">PRODUCT(1+預測IC!$C14:CZ14)-1</f>
        <v>4.5724822730461039</v>
      </c>
      <c r="DA14" s="13">
        <f t="array" ref="DA14">PRODUCT(1+預測IC!$C14:DA14)-1</f>
        <v>4.4370470524840355</v>
      </c>
      <c r="DB14" s="13">
        <f t="array" ref="DB14">PRODUCT(1+預測IC!$C14:DB14)-1</f>
        <v>4.3089443889528214</v>
      </c>
      <c r="DC14" s="13">
        <f t="array" ref="DC14">PRODUCT(1+預測IC!$C14:DC14)-1</f>
        <v>4.434408596987212</v>
      </c>
      <c r="DD14" s="13">
        <f t="array" ref="DD14">PRODUCT(1+預測IC!$C14:DD14)-1</f>
        <v>4.343335789922266</v>
      </c>
      <c r="DE14" s="13">
        <f t="array" ref="DE14">PRODUCT(1+預測IC!$C14:DE14)-1</f>
        <v>4.3721059107200979</v>
      </c>
      <c r="DF14" s="13">
        <f t="array" ref="DF14">PRODUCT(1+預測IC!$C14:DF14)-1</f>
        <v>4.1794802937659954</v>
      </c>
      <c r="DG14" s="13">
        <f t="array" ref="DG14">PRODUCT(1+預測IC!$C14:DG14)-1</f>
        <v>4.2387675070366635</v>
      </c>
      <c r="DH14" s="13">
        <f t="array" ref="DH14">PRODUCT(1+預測IC!$C14:DH14)-1</f>
        <v>4.2637817692362168</v>
      </c>
      <c r="DI14" s="13">
        <f t="array" ref="DI14">PRODUCT(1+預測IC!$C14:DI14)-1</f>
        <v>3.9553356341354284</v>
      </c>
      <c r="DJ14" s="13">
        <f t="array" ref="DJ14">PRODUCT(1+預測IC!$C14:DJ14)-1</f>
        <v>3.9604085314766966</v>
      </c>
      <c r="DK14" s="13">
        <f t="array" ref="DK14">PRODUCT(1+預測IC!$C14:DK14)-1</f>
        <v>4.0550087956698473</v>
      </c>
      <c r="DL14" s="13">
        <f t="array" ref="DL14">PRODUCT(1+預測IC!$C14:DL14)-1</f>
        <v>3.978348770622131</v>
      </c>
      <c r="DM14" s="13">
        <f t="array" ref="DM14">PRODUCT(1+預測IC!$C14:DM14)-1</f>
        <v>4.0057509418976789</v>
      </c>
      <c r="DN14" s="13">
        <f t="array" ref="DN14">PRODUCT(1+預測IC!$C14:DN14)-1</f>
        <v>4.219308770899092</v>
      </c>
      <c r="DO14" s="13">
        <f t="array" ref="DO14">PRODUCT(1+預測IC!$C14:DO14)-1</f>
        <v>4.4352610385988891</v>
      </c>
      <c r="DP14" s="13">
        <f t="array" ref="DP14">PRODUCT(1+預測IC!$C14:DP14)-1</f>
        <v>4.6719107625492819</v>
      </c>
      <c r="DQ14" s="13">
        <f t="array" ref="DQ14">PRODUCT(1+預測IC!$C14:DQ14)-1</f>
        <v>4.1650242353578042</v>
      </c>
      <c r="DR14" s="13">
        <f t="array" ref="DR14">PRODUCT(1+預測IC!$C14:DR14)-1</f>
        <v>4.4368208236891249</v>
      </c>
      <c r="DS14" s="13">
        <f t="array" ref="DS14">PRODUCT(1+預測IC!$C14:DS14)-1</f>
        <v>4.2462879475111706</v>
      </c>
      <c r="DT14" s="13">
        <f t="array" ref="DT14">PRODUCT(1+預測IC!$C14:DT14)-1</f>
        <v>4.012739190392927</v>
      </c>
      <c r="DU14" s="13">
        <f t="array" ref="DU14">PRODUCT(1+預測IC!$C14:DU14)-1</f>
        <v>3.7875922672160716</v>
      </c>
      <c r="DV14" s="13">
        <f t="array" ref="DV14">PRODUCT(1+預測IC!$C14:DV14)-1</f>
        <v>4.3059082785950187</v>
      </c>
      <c r="DW14" s="13">
        <f t="array" ref="DW14">PRODUCT(1+預測IC!$C14:DW14)-1</f>
        <v>4.827714469707832</v>
      </c>
      <c r="DX14" s="13">
        <f t="array" ref="DX14">PRODUCT(1+預測IC!$C14:DX14)-1</f>
        <v>4.2336867598808832</v>
      </c>
      <c r="DY14" s="13">
        <f t="array" ref="DY14">PRODUCT(1+預測IC!$C14:DY14)-1</f>
        <v>4.4325515741128401</v>
      </c>
      <c r="DZ14" s="13">
        <f t="array" ref="DZ14">PRODUCT(1+預測IC!$C14:DZ14)-1</f>
        <v>4.3136787985375618</v>
      </c>
      <c r="EA14" s="13">
        <f t="array" ref="EA14">PRODUCT(1+預測IC!$C14:EA14)-1</f>
        <v>4.7287050939404276</v>
      </c>
      <c r="EB14" s="13">
        <f t="array" ref="EB14">PRODUCT(1+預測IC!$C14:EB14)-1</f>
        <v>4.9187682511458855</v>
      </c>
      <c r="EC14" s="13">
        <f t="array" ref="EC14">PRODUCT(1+預測IC!$C14:EC14)-1</f>
        <v>4.9547507051908388</v>
      </c>
      <c r="ED14" s="13">
        <f t="array" ref="ED14">PRODUCT(1+預測IC!$C14:ED14)-1</f>
        <v>4.3436163720408612</v>
      </c>
      <c r="EE14" s="13">
        <f t="array" ref="EE14">PRODUCT(1+預測IC!$C14:EE14)-1</f>
        <v>4.4444352202510924</v>
      </c>
      <c r="EF14" s="13">
        <f t="array" ref="EF14">PRODUCT(1+預測IC!$C14:EF14)-1</f>
        <v>4.825308419896138</v>
      </c>
    </row>
    <row r="15" spans="1:136">
      <c r="A15" s="17">
        <v>10</v>
      </c>
      <c r="B15" s="17" t="s">
        <v>187</v>
      </c>
      <c r="C15" s="13">
        <f t="array" ref="C15">PRODUCT(1+預測IC!$C15:C15)-1</f>
        <v>-9.650314199451604E-2</v>
      </c>
      <c r="D15" s="13">
        <f t="array" ref="D15">PRODUCT(1+預測IC!$C15:D15)-1</f>
        <v>0.24023890090365052</v>
      </c>
      <c r="E15" s="13">
        <f t="array" ref="E15">PRODUCT(1+預測IC!$C15:E15)-1</f>
        <v>0.22759041591301465</v>
      </c>
      <c r="F15" s="13">
        <f t="array" ref="F15">PRODUCT(1+預測IC!$C15:F15)-1</f>
        <v>0.33844747738587322</v>
      </c>
      <c r="G15" s="13">
        <f t="array" ref="G15">PRODUCT(1+預測IC!$C15:G15)-1</f>
        <v>0.2572881331690311</v>
      </c>
      <c r="H15" s="13">
        <f t="array" ref="H15">PRODUCT(1+預測IC!$C15:H15)-1</f>
        <v>0.40670978698262461</v>
      </c>
      <c r="I15" s="13">
        <f t="array" ref="I15">PRODUCT(1+預測IC!$C15:I15)-1</f>
        <v>0.58498057090616706</v>
      </c>
      <c r="J15" s="13">
        <f t="array" ref="J15">PRODUCT(1+預測IC!$C15:J15)-1</f>
        <v>0.48271096755290333</v>
      </c>
      <c r="K15" s="13">
        <f t="array" ref="K15">PRODUCT(1+預測IC!$C15:K15)-1</f>
        <v>5.7773969766444999E-2</v>
      </c>
      <c r="L15" s="13">
        <f t="array" ref="L15">PRODUCT(1+預測IC!$C15:L15)-1</f>
        <v>9.2213509016221495E-2</v>
      </c>
      <c r="M15" s="13">
        <f t="array" ref="M15">PRODUCT(1+預測IC!$C15:M15)-1</f>
        <v>-0.11365934439715875</v>
      </c>
      <c r="N15" s="13">
        <f t="array" ref="N15">PRODUCT(1+預測IC!$C15:N15)-1</f>
        <v>0.17910748301875357</v>
      </c>
      <c r="O15" s="13">
        <f t="array" ref="O15">PRODUCT(1+預測IC!$C15:O15)-1</f>
        <v>0.23346846486210882</v>
      </c>
      <c r="P15" s="13">
        <f t="array" ref="P15">PRODUCT(1+預測IC!$C15:P15)-1</f>
        <v>0.29882181792328399</v>
      </c>
      <c r="Q15" s="13">
        <f t="array" ref="Q15">PRODUCT(1+預測IC!$C15:Q15)-1</f>
        <v>0.42919339577660587</v>
      </c>
      <c r="R15" s="13">
        <f t="array" ref="R15">PRODUCT(1+預測IC!$C15:R15)-1</f>
        <v>0.45313981696152195</v>
      </c>
      <c r="S15" s="13">
        <f t="array" ref="S15">PRODUCT(1+預測IC!$C15:S15)-1</f>
        <v>0.39060597933432661</v>
      </c>
      <c r="T15" s="13">
        <f t="array" ref="T15">PRODUCT(1+預測IC!$C15:T15)-1</f>
        <v>0.32199389749576479</v>
      </c>
      <c r="U15" s="13">
        <f t="array" ref="U15">PRODUCT(1+預測IC!$C15:U15)-1</f>
        <v>0.38384827336752481</v>
      </c>
      <c r="V15" s="13">
        <f t="array" ref="V15">PRODUCT(1+預測IC!$C15:V15)-1</f>
        <v>0.26527959976608595</v>
      </c>
      <c r="W15" s="13">
        <f t="array" ref="W15">PRODUCT(1+預測IC!$C15:W15)-1</f>
        <v>0.40058176765523235</v>
      </c>
      <c r="X15" s="13">
        <f t="array" ref="X15">PRODUCT(1+預測IC!$C15:X15)-1</f>
        <v>0.51043849947392195</v>
      </c>
      <c r="Y15" s="13">
        <f t="array" ref="Y15">PRODUCT(1+預測IC!$C15:Y15)-1</f>
        <v>0.47390144530319755</v>
      </c>
      <c r="Z15" s="13">
        <f t="array" ref="Z15">PRODUCT(1+預測IC!$C15:Z15)-1</f>
        <v>0.43903453793281599</v>
      </c>
      <c r="AA15" s="13">
        <f t="array" ref="AA15">PRODUCT(1+預測IC!$C15:AA15)-1</f>
        <v>0.36120989950845295</v>
      </c>
      <c r="AB15" s="13">
        <f t="array" ref="AB15">PRODUCT(1+預測IC!$C15:AB15)-1</f>
        <v>0.26048662851036508</v>
      </c>
      <c r="AC15" s="13">
        <f t="array" ref="AC15">PRODUCT(1+預測IC!$C15:AC15)-1</f>
        <v>0.20999808870270797</v>
      </c>
      <c r="AD15" s="13">
        <f t="array" ref="AD15">PRODUCT(1+預測IC!$C15:AD15)-1</f>
        <v>0.18708522242828418</v>
      </c>
      <c r="AE15" s="13">
        <f t="array" ref="AE15">PRODUCT(1+預測IC!$C15:AE15)-1</f>
        <v>0.24321725942193906</v>
      </c>
      <c r="AF15" s="13">
        <f t="array" ref="AF15">PRODUCT(1+預測IC!$C15:AF15)-1</f>
        <v>0.16138918115715528</v>
      </c>
      <c r="AG15" s="13">
        <f t="array" ref="AG15">PRODUCT(1+預測IC!$C15:AG15)-1</f>
        <v>0.15007144358677871</v>
      </c>
      <c r="AH15" s="13">
        <f t="array" ref="AH15">PRODUCT(1+預測IC!$C15:AH15)-1</f>
        <v>0.1887188737650709</v>
      </c>
      <c r="AI15" s="13">
        <f t="array" ref="AI15">PRODUCT(1+預測IC!$C15:AI15)-1</f>
        <v>0.27701382103926853</v>
      </c>
      <c r="AJ15" s="13">
        <f t="array" ref="AJ15">PRODUCT(1+預測IC!$C15:AJ15)-1</f>
        <v>0.28235608065820417</v>
      </c>
      <c r="AK15" s="13">
        <f t="array" ref="AK15">PRODUCT(1+預測IC!$C15:AK15)-1</f>
        <v>0.23491134215040388</v>
      </c>
      <c r="AL15" s="13">
        <f t="array" ref="AL15">PRODUCT(1+預測IC!$C15:AL15)-1</f>
        <v>0.28978050611708395</v>
      </c>
      <c r="AM15" s="13">
        <f t="array" ref="AM15">PRODUCT(1+預測IC!$C15:AM15)-1</f>
        <v>0.360876589592384</v>
      </c>
      <c r="AN15" s="13">
        <f t="array" ref="AN15">PRODUCT(1+預測IC!$C15:AN15)-1</f>
        <v>0.49926236889449127</v>
      </c>
      <c r="AO15" s="13">
        <f t="array" ref="AO15">PRODUCT(1+預測IC!$C15:AO15)-1</f>
        <v>0.59427034404486867</v>
      </c>
      <c r="AP15" s="13">
        <f t="array" ref="AP15">PRODUCT(1+預測IC!$C15:AP15)-1</f>
        <v>0.61432977236770991</v>
      </c>
      <c r="AQ15" s="13">
        <f t="array" ref="AQ15">PRODUCT(1+預測IC!$C15:AQ15)-1</f>
        <v>0.55400690707289146</v>
      </c>
      <c r="AR15" s="13">
        <f t="array" ref="AR15">PRODUCT(1+預測IC!$C15:AR15)-1</f>
        <v>0.69432418214870739</v>
      </c>
      <c r="AS15" s="13">
        <f t="array" ref="AS15">PRODUCT(1+預測IC!$C15:AS15)-1</f>
        <v>0.78551470730304462</v>
      </c>
      <c r="AT15" s="13">
        <f t="array" ref="AT15">PRODUCT(1+預測IC!$C15:AT15)-1</f>
        <v>0.90202845283787836</v>
      </c>
      <c r="AU15" s="13">
        <f t="array" ref="AU15">PRODUCT(1+預測IC!$C15:AU15)-1</f>
        <v>0.97800167192917553</v>
      </c>
      <c r="AV15" s="13">
        <f t="array" ref="AV15">PRODUCT(1+預測IC!$C15:AV15)-1</f>
        <v>0.88458694631760593</v>
      </c>
      <c r="AW15" s="13">
        <f t="array" ref="AW15">PRODUCT(1+預測IC!$C15:AW15)-1</f>
        <v>0.91409946341691573</v>
      </c>
      <c r="AX15" s="13">
        <f t="array" ref="AX15">PRODUCT(1+預測IC!$C15:AX15)-1</f>
        <v>0.92206594538365683</v>
      </c>
      <c r="AY15" s="13">
        <f t="array" ref="AY15">PRODUCT(1+預測IC!$C15:AY15)-1</f>
        <v>0.97591659019918198</v>
      </c>
      <c r="AZ15" s="13">
        <f t="array" ref="AZ15">PRODUCT(1+預測IC!$C15:AZ15)-1</f>
        <v>0.79546940604041949</v>
      </c>
      <c r="BA15" s="13">
        <f t="array" ref="BA15">PRODUCT(1+預測IC!$C15:BA15)-1</f>
        <v>0.81452564716811726</v>
      </c>
      <c r="BB15" s="13">
        <f t="array" ref="BB15">PRODUCT(1+預測IC!$C15:BB15)-1</f>
        <v>1.019067807741715</v>
      </c>
      <c r="BC15" s="13">
        <f t="array" ref="BC15">PRODUCT(1+預測IC!$C15:BC15)-1</f>
        <v>1.1445632574069924</v>
      </c>
      <c r="BD15" s="13">
        <f t="array" ref="BD15">PRODUCT(1+預測IC!$C15:BD15)-1</f>
        <v>1.2583179136757932</v>
      </c>
      <c r="BE15" s="13">
        <f t="array" ref="BE15">PRODUCT(1+預測IC!$C15:BE15)-1</f>
        <v>1.3677169783371808</v>
      </c>
      <c r="BF15" s="13">
        <f t="array" ref="BF15">PRODUCT(1+預測IC!$C15:BF15)-1</f>
        <v>1.4805694240350693</v>
      </c>
      <c r="BG15" s="13">
        <f t="array" ref="BG15">PRODUCT(1+預測IC!$C15:BG15)-1</f>
        <v>1.4867448976999826</v>
      </c>
      <c r="BH15" s="13">
        <f t="array" ref="BH15">PRODUCT(1+預測IC!$C15:BH15)-1</f>
        <v>1.572392981218945</v>
      </c>
      <c r="BI15" s="13">
        <f t="array" ref="BI15">PRODUCT(1+預測IC!$C15:BI15)-1</f>
        <v>1.748824821731549</v>
      </c>
      <c r="BJ15" s="13">
        <f t="array" ref="BJ15">PRODUCT(1+預測IC!$C15:BJ15)-1</f>
        <v>1.7178592356561011</v>
      </c>
      <c r="BK15" s="13">
        <f t="array" ref="BK15">PRODUCT(1+預測IC!$C15:BK15)-1</f>
        <v>1.7200980783650506</v>
      </c>
      <c r="BL15" s="13">
        <f t="array" ref="BL15">PRODUCT(1+預測IC!$C15:BL15)-1</f>
        <v>1.8816824346480971</v>
      </c>
      <c r="BM15" s="13">
        <f t="array" ref="BM15">PRODUCT(1+預測IC!$C15:BM15)-1</f>
        <v>2.0742503485790977</v>
      </c>
      <c r="BN15" s="13">
        <f t="array" ref="BN15">PRODUCT(1+預測IC!$C15:BN15)-1</f>
        <v>2.1976586575742174</v>
      </c>
      <c r="BO15" s="13">
        <f t="array" ref="BO15">PRODUCT(1+預測IC!$C15:BO15)-1</f>
        <v>2.2863440447247863</v>
      </c>
      <c r="BP15" s="13">
        <f t="array" ref="BP15">PRODUCT(1+預測IC!$C15:BP15)-1</f>
        <v>2.3329582739769421</v>
      </c>
      <c r="BQ15" s="13">
        <f t="array" ref="BQ15">PRODUCT(1+預測IC!$C15:BQ15)-1</f>
        <v>2.375629909752198</v>
      </c>
      <c r="BR15" s="13">
        <f t="array" ref="BR15">PRODUCT(1+預測IC!$C15:BR15)-1</f>
        <v>2.2063169918114975</v>
      </c>
      <c r="BS15" s="13">
        <f t="array" ref="BS15">PRODUCT(1+預測IC!$C15:BS15)-1</f>
        <v>2.1523746283061893</v>
      </c>
      <c r="BT15" s="13">
        <f t="array" ref="BT15">PRODUCT(1+預測IC!$C15:BT15)-1</f>
        <v>2.4331257612453769</v>
      </c>
      <c r="BU15" s="13">
        <f t="array" ref="BU15">PRODUCT(1+預測IC!$C15:BU15)-1</f>
        <v>2.4999907597831452</v>
      </c>
      <c r="BV15" s="13">
        <f t="array" ref="BV15">PRODUCT(1+預測IC!$C15:BV15)-1</f>
        <v>2.7061926025299874</v>
      </c>
      <c r="BW15" s="13">
        <f t="array" ref="BW15">PRODUCT(1+預測IC!$C15:BW15)-1</f>
        <v>2.5729702104410355</v>
      </c>
      <c r="BX15" s="13">
        <f t="array" ref="BX15">PRODUCT(1+預測IC!$C15:BX15)-1</f>
        <v>2.6752854104602095</v>
      </c>
      <c r="BY15" s="13">
        <f t="array" ref="BY15">PRODUCT(1+預測IC!$C15:BY15)-1</f>
        <v>2.4485420161356237</v>
      </c>
      <c r="BZ15" s="13">
        <f t="array" ref="BZ15">PRODUCT(1+預測IC!$C15:BZ15)-1</f>
        <v>2.8034192981361632</v>
      </c>
      <c r="CA15" s="13">
        <f t="array" ref="CA15">PRODUCT(1+預測IC!$C15:CA15)-1</f>
        <v>2.9173807702242867</v>
      </c>
      <c r="CB15" s="13">
        <f t="array" ref="CB15">PRODUCT(1+預測IC!$C15:CB15)-1</f>
        <v>2.9763643572855134</v>
      </c>
      <c r="CC15" s="13">
        <f t="array" ref="CC15">PRODUCT(1+預測IC!$C15:CC15)-1</f>
        <v>2.3706914371605783</v>
      </c>
      <c r="CD15" s="13">
        <f t="array" ref="CD15">PRODUCT(1+預測IC!$C15:CD15)-1</f>
        <v>2.7756870377319456</v>
      </c>
      <c r="CE15" s="13">
        <f t="array" ref="CE15">PRODUCT(1+預測IC!$C15:CE15)-1</f>
        <v>2.3357569382128922</v>
      </c>
      <c r="CF15" s="13">
        <f t="array" ref="CF15">PRODUCT(1+預測IC!$C15:CF15)-1</f>
        <v>2.6505077894292715</v>
      </c>
      <c r="CG15" s="13">
        <f t="array" ref="CG15">PRODUCT(1+預測IC!$C15:CG15)-1</f>
        <v>2.6348146972290496</v>
      </c>
      <c r="CH15" s="13">
        <f t="array" ref="CH15">PRODUCT(1+預測IC!$C15:CH15)-1</f>
        <v>2.86339350264798</v>
      </c>
      <c r="CI15" s="13">
        <f t="array" ref="CI15">PRODUCT(1+預測IC!$C15:CI15)-1</f>
        <v>2.7134999586296704</v>
      </c>
      <c r="CJ15" s="13">
        <f t="array" ref="CJ15">PRODUCT(1+預測IC!$C15:CJ15)-1</f>
        <v>2.3902607459546856</v>
      </c>
      <c r="CK15" s="13">
        <f t="array" ref="CK15">PRODUCT(1+預測IC!$C15:CK15)-1</f>
        <v>2.582395792285229</v>
      </c>
      <c r="CL15" s="13">
        <f t="array" ref="CL15">PRODUCT(1+預測IC!$C15:CL15)-1</f>
        <v>2.6949617432863331</v>
      </c>
      <c r="CM15" s="13">
        <f t="array" ref="CM15">PRODUCT(1+預測IC!$C15:CM15)-1</f>
        <v>2.9707208622397299</v>
      </c>
      <c r="CN15" s="13">
        <f t="array" ref="CN15">PRODUCT(1+預測IC!$C15:CN15)-1</f>
        <v>2.8014326891928594</v>
      </c>
      <c r="CO15" s="13">
        <f t="array" ref="CO15">PRODUCT(1+預測IC!$C15:CO15)-1</f>
        <v>2.309340934422127</v>
      </c>
      <c r="CP15" s="13">
        <f t="array" ref="CP15">PRODUCT(1+預測IC!$C15:CP15)-1</f>
        <v>2.7314004952261111</v>
      </c>
      <c r="CQ15" s="13">
        <f t="array" ref="CQ15">PRODUCT(1+預測IC!$C15:CQ15)-1</f>
        <v>2.8708728231056799</v>
      </c>
      <c r="CR15" s="13">
        <f t="array" ref="CR15">PRODUCT(1+預測IC!$C15:CR15)-1</f>
        <v>3.0575923875503737</v>
      </c>
      <c r="CS15" s="13">
        <f t="array" ref="CS15">PRODUCT(1+預測IC!$C15:CS15)-1</f>
        <v>3.3017992851820619</v>
      </c>
      <c r="CT15" s="13">
        <f t="array" ref="CT15">PRODUCT(1+預測IC!$C15:CT15)-1</f>
        <v>3.3336092625256981</v>
      </c>
      <c r="CU15" s="13">
        <f t="array" ref="CU15">PRODUCT(1+預測IC!$C15:CU15)-1</f>
        <v>3.0598176367250778</v>
      </c>
      <c r="CV15" s="13">
        <f t="array" ref="CV15">PRODUCT(1+預測IC!$C15:CV15)-1</f>
        <v>3.0348828583388689</v>
      </c>
      <c r="CW15" s="13">
        <f t="array" ref="CW15">PRODUCT(1+預測IC!$C15:CW15)-1</f>
        <v>2.9845087169846249</v>
      </c>
      <c r="CX15" s="13">
        <f t="array" ref="CX15">PRODUCT(1+預測IC!$C15:CX15)-1</f>
        <v>3.0802947408415067</v>
      </c>
      <c r="CY15" s="13">
        <f t="array" ref="CY15">PRODUCT(1+預測IC!$C15:CY15)-1</f>
        <v>2.907001876842314</v>
      </c>
      <c r="CZ15" s="13">
        <f t="array" ref="CZ15">PRODUCT(1+預測IC!$C15:CZ15)-1</f>
        <v>3.2191203323960638</v>
      </c>
      <c r="DA15" s="13">
        <f t="array" ref="DA15">PRODUCT(1+預測IC!$C15:DA15)-1</f>
        <v>3.1078375087993102</v>
      </c>
      <c r="DB15" s="13">
        <f t="array" ref="DB15">PRODUCT(1+預測IC!$C15:DB15)-1</f>
        <v>2.9836714727351765</v>
      </c>
      <c r="DC15" s="13">
        <f t="array" ref="DC15">PRODUCT(1+預測IC!$C15:DC15)-1</f>
        <v>3.1233993470908272</v>
      </c>
      <c r="DD15" s="13">
        <f t="array" ref="DD15">PRODUCT(1+預測IC!$C15:DD15)-1</f>
        <v>2.9197294359331964</v>
      </c>
      <c r="DE15" s="13">
        <f t="array" ref="DE15">PRODUCT(1+預測IC!$C15:DE15)-1</f>
        <v>3.0175216475080413</v>
      </c>
      <c r="DF15" s="13">
        <f t="array" ref="DF15">PRODUCT(1+預測IC!$C15:DF15)-1</f>
        <v>2.8472136563823263</v>
      </c>
      <c r="DG15" s="13">
        <f t="array" ref="DG15">PRODUCT(1+預測IC!$C15:DG15)-1</f>
        <v>2.9095259434527834</v>
      </c>
      <c r="DH15" s="13">
        <f t="array" ref="DH15">PRODUCT(1+預測IC!$C15:DH15)-1</f>
        <v>2.8363825794003423</v>
      </c>
      <c r="DI15" s="13">
        <f t="array" ref="DI15">PRODUCT(1+預測IC!$C15:DI15)-1</f>
        <v>2.7914261257628676</v>
      </c>
      <c r="DJ15" s="13">
        <f t="array" ref="DJ15">PRODUCT(1+預測IC!$C15:DJ15)-1</f>
        <v>2.5948260724192633</v>
      </c>
      <c r="DK15" s="13">
        <f t="array" ref="DK15">PRODUCT(1+預測IC!$C15:DK15)-1</f>
        <v>2.9606888993836242</v>
      </c>
      <c r="DL15" s="13">
        <f t="array" ref="DL15">PRODUCT(1+預測IC!$C15:DL15)-1</f>
        <v>3.2087686055271094</v>
      </c>
      <c r="DM15" s="13">
        <f t="array" ref="DM15">PRODUCT(1+預測IC!$C15:DM15)-1</f>
        <v>3.1085639409272448</v>
      </c>
      <c r="DN15" s="13">
        <f t="array" ref="DN15">PRODUCT(1+預測IC!$C15:DN15)-1</f>
        <v>3.2893263637690264</v>
      </c>
      <c r="DO15" s="13">
        <f t="array" ref="DO15">PRODUCT(1+預測IC!$C15:DO15)-1</f>
        <v>3.4879081364491915</v>
      </c>
      <c r="DP15" s="13">
        <f t="array" ref="DP15">PRODUCT(1+預測IC!$C15:DP15)-1</f>
        <v>3.5944313378194446</v>
      </c>
      <c r="DQ15" s="13">
        <f t="array" ref="DQ15">PRODUCT(1+預測IC!$C15:DQ15)-1</f>
        <v>3.1577724142130483</v>
      </c>
      <c r="DR15" s="13">
        <f t="array" ref="DR15">PRODUCT(1+預測IC!$C15:DR15)-1</f>
        <v>3.4488604168005379</v>
      </c>
      <c r="DS15" s="13">
        <f t="array" ref="DS15">PRODUCT(1+預測IC!$C15:DS15)-1</f>
        <v>3.1096708083659621</v>
      </c>
      <c r="DT15" s="13">
        <f t="array" ref="DT15">PRODUCT(1+預測IC!$C15:DT15)-1</f>
        <v>2.8131020376681555</v>
      </c>
      <c r="DU15" s="13">
        <f t="array" ref="DU15">PRODUCT(1+預測IC!$C15:DU15)-1</f>
        <v>2.638573577836945</v>
      </c>
      <c r="DV15" s="13">
        <f t="array" ref="DV15">PRODUCT(1+預測IC!$C15:DV15)-1</f>
        <v>3.1471310284196825</v>
      </c>
      <c r="DW15" s="13">
        <f t="array" ref="DW15">PRODUCT(1+預測IC!$C15:DW15)-1</f>
        <v>3.2530430614835533</v>
      </c>
      <c r="DX15" s="13">
        <f t="array" ref="DX15">PRODUCT(1+預測IC!$C15:DX15)-1</f>
        <v>2.7485630396774345</v>
      </c>
      <c r="DY15" s="13">
        <f t="array" ref="DY15">PRODUCT(1+預測IC!$C15:DY15)-1</f>
        <v>3.1479318218760159</v>
      </c>
      <c r="DZ15" s="13">
        <f t="array" ref="DZ15">PRODUCT(1+預測IC!$C15:DZ15)-1</f>
        <v>3.0694519394229554</v>
      </c>
      <c r="EA15" s="13">
        <f t="array" ref="EA15">PRODUCT(1+預測IC!$C15:EA15)-1</f>
        <v>3.1807055718189403</v>
      </c>
      <c r="EB15" s="13">
        <f t="array" ref="EB15">PRODUCT(1+預測IC!$C15:EB15)-1</f>
        <v>3.3835474408454411</v>
      </c>
      <c r="EC15" s="13">
        <f t="array" ref="EC15">PRODUCT(1+預測IC!$C15:EC15)-1</f>
        <v>3.6732203918107329</v>
      </c>
      <c r="ED15" s="13">
        <f t="array" ref="ED15">PRODUCT(1+預測IC!$C15:ED15)-1</f>
        <v>3.1434778864582054</v>
      </c>
      <c r="EE15" s="13">
        <f t="array" ref="EE15">PRODUCT(1+預測IC!$C15:EE15)-1</f>
        <v>3.0761653705715766</v>
      </c>
      <c r="EF15" s="13">
        <f t="array" ref="EF15">PRODUCT(1+預測IC!$C15:EF15)-1</f>
        <v>3.3439734754639554</v>
      </c>
    </row>
    <row r="16" spans="1:136">
      <c r="A16" s="17">
        <v>9</v>
      </c>
      <c r="B16" s="17" t="s">
        <v>188</v>
      </c>
      <c r="C16" s="13">
        <f t="array" ref="C16">PRODUCT(1+預測IC!$C16:C16)-1</f>
        <v>-2.738364461037901E-2</v>
      </c>
      <c r="D16" s="13">
        <f t="array" ref="D16">PRODUCT(1+預測IC!$C16:D16)-1</f>
        <v>0.36963392085182312</v>
      </c>
      <c r="E16" s="13">
        <f t="array" ref="E16">PRODUCT(1+預測IC!$C16:E16)-1</f>
        <v>0.36575761496464887</v>
      </c>
      <c r="F16" s="13">
        <f t="array" ref="F16">PRODUCT(1+預測IC!$C16:F16)-1</f>
        <v>0.53546756670523288</v>
      </c>
      <c r="G16" s="13">
        <f t="array" ref="G16">PRODUCT(1+預測IC!$C16:G16)-1</f>
        <v>0.42230934181553148</v>
      </c>
      <c r="H16" s="13">
        <f t="array" ref="H16">PRODUCT(1+預測IC!$C16:H16)-1</f>
        <v>0.52592283898870851</v>
      </c>
      <c r="I16" s="13">
        <f t="array" ref="I16">PRODUCT(1+預測IC!$C16:I16)-1</f>
        <v>0.69650880500493395</v>
      </c>
      <c r="J16" s="13">
        <f t="array" ref="J16">PRODUCT(1+預測IC!$C16:J16)-1</f>
        <v>0.57996977165881658</v>
      </c>
      <c r="K16" s="13">
        <f t="array" ref="K16">PRODUCT(1+預測IC!$C16:K16)-1</f>
        <v>0.13019890741941298</v>
      </c>
      <c r="L16" s="13">
        <f t="array" ref="L16">PRODUCT(1+預測IC!$C16:L16)-1</f>
        <v>0.1413726580087864</v>
      </c>
      <c r="M16" s="13">
        <f t="array" ref="M16">PRODUCT(1+預測IC!$C16:M16)-1</f>
        <v>-8.1053226454965377E-2</v>
      </c>
      <c r="N16" s="13">
        <f t="array" ref="N16">PRODUCT(1+預測IC!$C16:N16)-1</f>
        <v>0.25618910996958277</v>
      </c>
      <c r="O16" s="13">
        <f t="array" ref="O16">PRODUCT(1+預測IC!$C16:O16)-1</f>
        <v>0.27581217963298532</v>
      </c>
      <c r="P16" s="13">
        <f t="array" ref="P16">PRODUCT(1+預測IC!$C16:P16)-1</f>
        <v>0.35488673501281998</v>
      </c>
      <c r="Q16" s="13">
        <f t="array" ref="Q16">PRODUCT(1+預測IC!$C16:Q16)-1</f>
        <v>0.48579574080678811</v>
      </c>
      <c r="R16" s="13">
        <f t="array" ref="R16">PRODUCT(1+預測IC!$C16:R16)-1</f>
        <v>0.51429693506060636</v>
      </c>
      <c r="S16" s="13">
        <f t="array" ref="S16">PRODUCT(1+預測IC!$C16:S16)-1</f>
        <v>0.45006786230479578</v>
      </c>
      <c r="T16" s="13">
        <f t="array" ref="T16">PRODUCT(1+預測IC!$C16:T16)-1</f>
        <v>0.41638649159243668</v>
      </c>
      <c r="U16" s="13">
        <f t="array" ref="U16">PRODUCT(1+預測IC!$C16:U16)-1</f>
        <v>0.48529322227957827</v>
      </c>
      <c r="V16" s="13">
        <f t="array" ref="V16">PRODUCT(1+預測IC!$C16:V16)-1</f>
        <v>0.3303545297323236</v>
      </c>
      <c r="W16" s="13">
        <f t="array" ref="W16">PRODUCT(1+預測IC!$C16:W16)-1</f>
        <v>0.4346189965597147</v>
      </c>
      <c r="X16" s="13">
        <f t="array" ref="X16">PRODUCT(1+預測IC!$C16:X16)-1</f>
        <v>0.54031933319457348</v>
      </c>
      <c r="Y16" s="13">
        <f t="array" ref="Y16">PRODUCT(1+預測IC!$C16:Y16)-1</f>
        <v>0.53371358816087233</v>
      </c>
      <c r="Z16" s="13">
        <f t="array" ref="Z16">PRODUCT(1+預測IC!$C16:Z16)-1</f>
        <v>0.50292309499019638</v>
      </c>
      <c r="AA16" s="13">
        <f t="array" ref="AA16">PRODUCT(1+預測IC!$C16:AA16)-1</f>
        <v>0.43756452274576052</v>
      </c>
      <c r="AB16" s="13">
        <f t="array" ref="AB16">PRODUCT(1+預測IC!$C16:AB16)-1</f>
        <v>0.33547444059844755</v>
      </c>
      <c r="AC16" s="13">
        <f t="array" ref="AC16">PRODUCT(1+預測IC!$C16:AC16)-1</f>
        <v>0.28066642117023832</v>
      </c>
      <c r="AD16" s="13">
        <f t="array" ref="AD16">PRODUCT(1+預測IC!$C16:AD16)-1</f>
        <v>0.2792294803416413</v>
      </c>
      <c r="AE16" s="13">
        <f t="array" ref="AE16">PRODUCT(1+預測IC!$C16:AE16)-1</f>
        <v>0.34515329238156744</v>
      </c>
      <c r="AF16" s="13">
        <f t="array" ref="AF16">PRODUCT(1+預測IC!$C16:AF16)-1</f>
        <v>0.2594860715548486</v>
      </c>
      <c r="AG16" s="13">
        <f t="array" ref="AG16">PRODUCT(1+預測IC!$C16:AG16)-1</f>
        <v>0.24903037796038752</v>
      </c>
      <c r="AH16" s="13">
        <f t="array" ref="AH16">PRODUCT(1+預測IC!$C16:AH16)-1</f>
        <v>0.28870632808981522</v>
      </c>
      <c r="AI16" s="13">
        <f t="array" ref="AI16">PRODUCT(1+預測IC!$C16:AI16)-1</f>
        <v>0.40536403421708167</v>
      </c>
      <c r="AJ16" s="13">
        <f t="array" ref="AJ16">PRODUCT(1+預測IC!$C16:AJ16)-1</f>
        <v>0.38058746629383444</v>
      </c>
      <c r="AK16" s="13">
        <f t="array" ref="AK16">PRODUCT(1+預測IC!$C16:AK16)-1</f>
        <v>0.36956163459218971</v>
      </c>
      <c r="AL16" s="13">
        <f t="array" ref="AL16">PRODUCT(1+預測IC!$C16:AL16)-1</f>
        <v>0.43624412940137036</v>
      </c>
      <c r="AM16" s="13">
        <f t="array" ref="AM16">PRODUCT(1+預測IC!$C16:AM16)-1</f>
        <v>0.53114644581823867</v>
      </c>
      <c r="AN16" s="13">
        <f t="array" ref="AN16">PRODUCT(1+預測IC!$C16:AN16)-1</f>
        <v>0.69414647822086062</v>
      </c>
      <c r="AO16" s="13">
        <f t="array" ref="AO16">PRODUCT(1+預測IC!$C16:AO16)-1</f>
        <v>0.79820886967060223</v>
      </c>
      <c r="AP16" s="13">
        <f t="array" ref="AP16">PRODUCT(1+預測IC!$C16:AP16)-1</f>
        <v>0.8076322833516183</v>
      </c>
      <c r="AQ16" s="13">
        <f t="array" ref="AQ16">PRODUCT(1+預測IC!$C16:AQ16)-1</f>
        <v>0.73809953814971996</v>
      </c>
      <c r="AR16" s="13">
        <f t="array" ref="AR16">PRODUCT(1+預測IC!$C16:AR16)-1</f>
        <v>0.91762988876970186</v>
      </c>
      <c r="AS16" s="13">
        <f t="array" ref="AS16">PRODUCT(1+預測IC!$C16:AS16)-1</f>
        <v>1.0424066627477915</v>
      </c>
      <c r="AT16" s="13">
        <f t="array" ref="AT16">PRODUCT(1+預測IC!$C16:AT16)-1</f>
        <v>1.1436021028902301</v>
      </c>
      <c r="AU16" s="13">
        <f t="array" ref="AU16">PRODUCT(1+預測IC!$C16:AU16)-1</f>
        <v>1.2332622013306729</v>
      </c>
      <c r="AV16" s="13">
        <f t="array" ref="AV16">PRODUCT(1+預測IC!$C16:AV16)-1</f>
        <v>1.2130009148675409</v>
      </c>
      <c r="AW16" s="13">
        <f t="array" ref="AW16">PRODUCT(1+預測IC!$C16:AW16)-1</f>
        <v>1.2998676850339743</v>
      </c>
      <c r="AX16" s="13">
        <f t="array" ref="AX16">PRODUCT(1+預測IC!$C16:AX16)-1</f>
        <v>1.2841008143487969</v>
      </c>
      <c r="AY16" s="13">
        <f t="array" ref="AY16">PRODUCT(1+預測IC!$C16:AY16)-1</f>
        <v>1.3613321783475092</v>
      </c>
      <c r="AZ16" s="13">
        <f t="array" ref="AZ16">PRODUCT(1+預測IC!$C16:AZ16)-1</f>
        <v>1.1136056809813182</v>
      </c>
      <c r="BA16" s="13">
        <f t="array" ref="BA16">PRODUCT(1+預測IC!$C16:BA16)-1</f>
        <v>1.1451472406089129</v>
      </c>
      <c r="BB16" s="13">
        <f t="array" ref="BB16">PRODUCT(1+預測IC!$C16:BB16)-1</f>
        <v>1.3769066406335151</v>
      </c>
      <c r="BC16" s="13">
        <f t="array" ref="BC16">PRODUCT(1+預測IC!$C16:BC16)-1</f>
        <v>1.5364480991539451</v>
      </c>
      <c r="BD16" s="13">
        <f t="array" ref="BD16">PRODUCT(1+預測IC!$C16:BD16)-1</f>
        <v>1.6275997028443969</v>
      </c>
      <c r="BE16" s="13">
        <f t="array" ref="BE16">PRODUCT(1+預測IC!$C16:BE16)-1</f>
        <v>1.7626872164382541</v>
      </c>
      <c r="BF16" s="13">
        <f t="array" ref="BF16">PRODUCT(1+預測IC!$C16:BF16)-1</f>
        <v>1.940239748532699</v>
      </c>
      <c r="BG16" s="13">
        <f t="array" ref="BG16">PRODUCT(1+預測IC!$C16:BG16)-1</f>
        <v>1.9798544279532932</v>
      </c>
      <c r="BH16" s="13">
        <f t="array" ref="BH16">PRODUCT(1+預測IC!$C16:BH16)-1</f>
        <v>1.9388051021354822</v>
      </c>
      <c r="BI16" s="13">
        <f t="array" ref="BI16">PRODUCT(1+預測IC!$C16:BI16)-1</f>
        <v>2.0606003758420783</v>
      </c>
      <c r="BJ16" s="13">
        <f t="array" ref="BJ16">PRODUCT(1+預測IC!$C16:BJ16)-1</f>
        <v>1.9978463880194961</v>
      </c>
      <c r="BK16" s="13">
        <f t="array" ref="BK16">PRODUCT(1+預測IC!$C16:BK16)-1</f>
        <v>2.0067559583911816</v>
      </c>
      <c r="BL16" s="13">
        <f t="array" ref="BL16">PRODUCT(1+預測IC!$C16:BL16)-1</f>
        <v>2.2191037853851081</v>
      </c>
      <c r="BM16" s="13">
        <f t="array" ref="BM16">PRODUCT(1+預測IC!$C16:BM16)-1</f>
        <v>2.4815376001319605</v>
      </c>
      <c r="BN16" s="13">
        <f t="array" ref="BN16">PRODUCT(1+預測IC!$C16:BN16)-1</f>
        <v>2.6483235576085087</v>
      </c>
      <c r="BO16" s="13">
        <f t="array" ref="BO16">PRODUCT(1+預測IC!$C16:BO16)-1</f>
        <v>2.728186673511968</v>
      </c>
      <c r="BP16" s="13">
        <f t="array" ref="BP16">PRODUCT(1+預測IC!$C16:BP16)-1</f>
        <v>2.8058939526476219</v>
      </c>
      <c r="BQ16" s="13">
        <f t="array" ref="BQ16">PRODUCT(1+預測IC!$C16:BQ16)-1</f>
        <v>2.8686075350638833</v>
      </c>
      <c r="BR16" s="13">
        <f t="array" ref="BR16">PRODUCT(1+預測IC!$C16:BR16)-1</f>
        <v>2.7668753506596939</v>
      </c>
      <c r="BS16" s="13">
        <f t="array" ref="BS16">PRODUCT(1+預測IC!$C16:BS16)-1</f>
        <v>2.7171843389340866</v>
      </c>
      <c r="BT16" s="13">
        <f t="array" ref="BT16">PRODUCT(1+預測IC!$C16:BT16)-1</f>
        <v>3.0349411187568585</v>
      </c>
      <c r="BU16" s="13">
        <f t="array" ref="BU16">PRODUCT(1+預測IC!$C16:BU16)-1</f>
        <v>3.2680199370710303</v>
      </c>
      <c r="BV16" s="13">
        <f t="array" ref="BV16">PRODUCT(1+預測IC!$C16:BV16)-1</f>
        <v>3.5271367174344395</v>
      </c>
      <c r="BW16" s="13">
        <f t="array" ref="BW16">PRODUCT(1+預測IC!$C16:BW16)-1</f>
        <v>3.229518551043582</v>
      </c>
      <c r="BX16" s="13">
        <f t="array" ref="BX16">PRODUCT(1+預測IC!$C16:BX16)-1</f>
        <v>3.3629989315959961</v>
      </c>
      <c r="BY16" s="13">
        <f t="array" ref="BY16">PRODUCT(1+預測IC!$C16:BY16)-1</f>
        <v>3.14238941920597</v>
      </c>
      <c r="BZ16" s="13">
        <f t="array" ref="BZ16">PRODUCT(1+預測IC!$C16:BZ16)-1</f>
        <v>3.6043729140071701</v>
      </c>
      <c r="CA16" s="13">
        <f t="array" ref="CA16">PRODUCT(1+預測IC!$C16:CA16)-1</f>
        <v>3.7306754674113005</v>
      </c>
      <c r="CB16" s="13">
        <f t="array" ref="CB16">PRODUCT(1+預測IC!$C16:CB16)-1</f>
        <v>3.7239198500144504</v>
      </c>
      <c r="CC16" s="13">
        <f t="array" ref="CC16">PRODUCT(1+預測IC!$C16:CC16)-1</f>
        <v>2.9724740412520814</v>
      </c>
      <c r="CD16" s="13">
        <f t="array" ref="CD16">PRODUCT(1+預測IC!$C16:CD16)-1</f>
        <v>3.5884906423317542</v>
      </c>
      <c r="CE16" s="13">
        <f t="array" ref="CE16">PRODUCT(1+預測IC!$C16:CE16)-1</f>
        <v>2.9800794466613172</v>
      </c>
      <c r="CF16" s="13">
        <f t="array" ref="CF16">PRODUCT(1+預測IC!$C16:CF16)-1</f>
        <v>3.3987888353093183</v>
      </c>
      <c r="CG16" s="13">
        <f t="array" ref="CG16">PRODUCT(1+預測IC!$C16:CG16)-1</f>
        <v>3.3751298658438049</v>
      </c>
      <c r="CH16" s="13">
        <f t="array" ref="CH16">PRODUCT(1+預測IC!$C16:CH16)-1</f>
        <v>3.5575614702394933</v>
      </c>
      <c r="CI16" s="13">
        <f t="array" ref="CI16">PRODUCT(1+預測IC!$C16:CI16)-1</f>
        <v>3.3811388043003179</v>
      </c>
      <c r="CJ16" s="13">
        <f t="array" ref="CJ16">PRODUCT(1+預測IC!$C16:CJ16)-1</f>
        <v>3.1816938094349352</v>
      </c>
      <c r="CK16" s="13">
        <f t="array" ref="CK16">PRODUCT(1+預測IC!$C16:CK16)-1</f>
        <v>3.5014804120362193</v>
      </c>
      <c r="CL16" s="13">
        <f t="array" ref="CL16">PRODUCT(1+預測IC!$C16:CL16)-1</f>
        <v>3.5729579895348582</v>
      </c>
      <c r="CM16" s="13">
        <f t="array" ref="CM16">PRODUCT(1+預測IC!$C16:CM16)-1</f>
        <v>3.9798992476089134</v>
      </c>
      <c r="CN16" s="13">
        <f t="array" ref="CN16">PRODUCT(1+預測IC!$C16:CN16)-1</f>
        <v>3.815276152830676</v>
      </c>
      <c r="CO16" s="13">
        <f t="array" ref="CO16">PRODUCT(1+預測IC!$C16:CO16)-1</f>
        <v>2.9367196070976891</v>
      </c>
      <c r="CP16" s="13">
        <f t="array" ref="CP16">PRODUCT(1+預測IC!$C16:CP16)-1</f>
        <v>3.4746002580327211</v>
      </c>
      <c r="CQ16" s="13">
        <f t="array" ref="CQ16">PRODUCT(1+預測IC!$C16:CQ16)-1</f>
        <v>3.6600080298080613</v>
      </c>
      <c r="CR16" s="13">
        <f t="array" ref="CR16">PRODUCT(1+預測IC!$C16:CR16)-1</f>
        <v>3.8850853303901722</v>
      </c>
      <c r="CS16" s="13">
        <f t="array" ref="CS16">PRODUCT(1+預測IC!$C16:CS16)-1</f>
        <v>4.2102325058941039</v>
      </c>
      <c r="CT16" s="13">
        <f t="array" ref="CT16">PRODUCT(1+預測IC!$C16:CT16)-1</f>
        <v>4.2366348719653644</v>
      </c>
      <c r="CU16" s="13">
        <f t="array" ref="CU16">PRODUCT(1+預測IC!$C16:CU16)-1</f>
        <v>3.9044507488580882</v>
      </c>
      <c r="CV16" s="13">
        <f t="array" ref="CV16">PRODUCT(1+預測IC!$C16:CV16)-1</f>
        <v>3.8222958819942114</v>
      </c>
      <c r="CW16" s="13">
        <f t="array" ref="CW16">PRODUCT(1+預測IC!$C16:CW16)-1</f>
        <v>3.777958924341652</v>
      </c>
      <c r="CX16" s="13">
        <f t="array" ref="CX16">PRODUCT(1+預測IC!$C16:CX16)-1</f>
        <v>3.8364425021197039</v>
      </c>
      <c r="CY16" s="13">
        <f t="array" ref="CY16">PRODUCT(1+預測IC!$C16:CY16)-1</f>
        <v>3.5988907181933554</v>
      </c>
      <c r="CZ16" s="13">
        <f t="array" ref="CZ16">PRODUCT(1+預測IC!$C16:CZ16)-1</f>
        <v>4.0708898612056021</v>
      </c>
      <c r="DA16" s="13">
        <f t="array" ref="DA16">PRODUCT(1+預測IC!$C16:DA16)-1</f>
        <v>3.9197530336618254</v>
      </c>
      <c r="DB16" s="13">
        <f t="array" ref="DB16">PRODUCT(1+預測IC!$C16:DB16)-1</f>
        <v>3.7096197068112788</v>
      </c>
      <c r="DC16" s="13">
        <f t="array" ref="DC16">PRODUCT(1+預測IC!$C16:DC16)-1</f>
        <v>3.9118619026529373</v>
      </c>
      <c r="DD16" s="13">
        <f t="array" ref="DD16">PRODUCT(1+預測IC!$C16:DD16)-1</f>
        <v>3.5676831462614338</v>
      </c>
      <c r="DE16" s="13">
        <f t="array" ref="DE16">PRODUCT(1+預測IC!$C16:DE16)-1</f>
        <v>3.7250141252880171</v>
      </c>
      <c r="DF16" s="13">
        <f t="array" ref="DF16">PRODUCT(1+預測IC!$C16:DF16)-1</f>
        <v>3.6156469013472146</v>
      </c>
      <c r="DG16" s="13">
        <f t="array" ref="DG16">PRODUCT(1+預測IC!$C16:DG16)-1</f>
        <v>3.6823566042975973</v>
      </c>
      <c r="DH16" s="13">
        <f t="array" ref="DH16">PRODUCT(1+預測IC!$C16:DH16)-1</f>
        <v>3.592786196808583</v>
      </c>
      <c r="DI16" s="13">
        <f t="array" ref="DI16">PRODUCT(1+預測IC!$C16:DI16)-1</f>
        <v>3.5320079018596191</v>
      </c>
      <c r="DJ16" s="13">
        <f t="array" ref="DJ16">PRODUCT(1+預測IC!$C16:DJ16)-1</f>
        <v>3.3999388192309059</v>
      </c>
      <c r="DK16" s="13">
        <f t="array" ref="DK16">PRODUCT(1+預測IC!$C16:DK16)-1</f>
        <v>3.9877458149779752</v>
      </c>
      <c r="DL16" s="13">
        <f t="array" ref="DL16">PRODUCT(1+預測IC!$C16:DL16)-1</f>
        <v>4.3125130884291334</v>
      </c>
      <c r="DM16" s="13">
        <f t="array" ref="DM16">PRODUCT(1+預測IC!$C16:DM16)-1</f>
        <v>4.1513795208534603</v>
      </c>
      <c r="DN16" s="13">
        <f t="array" ref="DN16">PRODUCT(1+預測IC!$C16:DN16)-1</f>
        <v>4.369993009558093</v>
      </c>
      <c r="DO16" s="13">
        <f t="array" ref="DO16">PRODUCT(1+預測IC!$C16:DO16)-1</f>
        <v>4.655794281089932</v>
      </c>
      <c r="DP16" s="13">
        <f t="array" ref="DP16">PRODUCT(1+預測IC!$C16:DP16)-1</f>
        <v>4.7680162603899996</v>
      </c>
      <c r="DQ16" s="13">
        <f t="array" ref="DQ16">PRODUCT(1+預測IC!$C16:DQ16)-1</f>
        <v>4.2890767704421044</v>
      </c>
      <c r="DR16" s="13">
        <f t="array" ref="DR16">PRODUCT(1+預測IC!$C16:DR16)-1</f>
        <v>4.5809875374731801</v>
      </c>
      <c r="DS16" s="13">
        <f t="array" ref="DS16">PRODUCT(1+預測IC!$C16:DS16)-1</f>
        <v>4.057758431152986</v>
      </c>
      <c r="DT16" s="13">
        <f t="array" ref="DT16">PRODUCT(1+預測IC!$C16:DT16)-1</f>
        <v>3.5492810985301828</v>
      </c>
      <c r="DU16" s="13">
        <f t="array" ref="DU16">PRODUCT(1+預測IC!$C16:DU16)-1</f>
        <v>3.2559719601407533</v>
      </c>
      <c r="DV16" s="13">
        <f t="array" ref="DV16">PRODUCT(1+預測IC!$C16:DV16)-1</f>
        <v>3.8388432034451139</v>
      </c>
      <c r="DW16" s="13">
        <f t="array" ref="DW16">PRODUCT(1+預測IC!$C16:DW16)-1</f>
        <v>4.0368376817028668</v>
      </c>
      <c r="DX16" s="13">
        <f t="array" ref="DX16">PRODUCT(1+預測IC!$C16:DX16)-1</f>
        <v>3.4057989519491798</v>
      </c>
      <c r="DY16" s="13">
        <f t="array" ref="DY16">PRODUCT(1+預測IC!$C16:DY16)-1</f>
        <v>3.9184327587519139</v>
      </c>
      <c r="DZ16" s="13">
        <f t="array" ref="DZ16">PRODUCT(1+預測IC!$C16:DZ16)-1</f>
        <v>3.7645985447441266</v>
      </c>
      <c r="EA16" s="13">
        <f t="array" ref="EA16">PRODUCT(1+預測IC!$C16:EA16)-1</f>
        <v>3.9869212477543083</v>
      </c>
      <c r="EB16" s="13">
        <f t="array" ref="EB16">PRODUCT(1+預測IC!$C16:EB16)-1</f>
        <v>4.378946312401979</v>
      </c>
      <c r="EC16" s="13">
        <f t="array" ref="EC16">PRODUCT(1+預測IC!$C16:EC16)-1</f>
        <v>4.7206818879452745</v>
      </c>
      <c r="ED16" s="13">
        <f t="array" ref="ED16">PRODUCT(1+預測IC!$C16:ED16)-1</f>
        <v>4.060419390962644</v>
      </c>
      <c r="EE16" s="13">
        <f t="array" ref="EE16">PRODUCT(1+預測IC!$C16:EE16)-1</f>
        <v>3.943570706612376</v>
      </c>
      <c r="EF16" s="13">
        <f t="array" ref="EF16">PRODUCT(1+預測IC!$C16:EF16)-1</f>
        <v>4.1535459136185482</v>
      </c>
    </row>
    <row r="17" spans="1:136">
      <c r="A17" s="17">
        <v>8</v>
      </c>
      <c r="B17" s="17" t="s">
        <v>189</v>
      </c>
      <c r="C17" s="13">
        <f t="array" ref="C17">PRODUCT(1+預測IC!$C17:C17)-1</f>
        <v>-4.1028984252961864E-2</v>
      </c>
      <c r="D17" s="13">
        <f t="array" ref="D17">PRODUCT(1+預測IC!$C17:D17)-1</f>
        <v>0.38052352623137797</v>
      </c>
      <c r="E17" s="13">
        <f t="array" ref="E17">PRODUCT(1+預測IC!$C17:E17)-1</f>
        <v>0.39071041139573781</v>
      </c>
      <c r="F17" s="13">
        <f t="array" ref="F17">PRODUCT(1+預測IC!$C17:F17)-1</f>
        <v>0.59482775989711301</v>
      </c>
      <c r="G17" s="13">
        <f t="array" ref="G17">PRODUCT(1+預測IC!$C17:G17)-1</f>
        <v>0.48123971414310818</v>
      </c>
      <c r="H17" s="13">
        <f t="array" ref="H17">PRODUCT(1+預測IC!$C17:H17)-1</f>
        <v>0.63676210761963525</v>
      </c>
      <c r="I17" s="13">
        <f t="array" ref="I17">PRODUCT(1+預測IC!$C17:I17)-1</f>
        <v>0.7472259546913036</v>
      </c>
      <c r="J17" s="13">
        <f t="array" ref="J17">PRODUCT(1+預測IC!$C17:J17)-1</f>
        <v>0.54577364135757267</v>
      </c>
      <c r="K17" s="13">
        <f t="array" ref="K17">PRODUCT(1+預測IC!$C17:K17)-1</f>
        <v>8.6946982611246781E-2</v>
      </c>
      <c r="L17" s="13">
        <f t="array" ref="L17">PRODUCT(1+預測IC!$C17:L17)-1</f>
        <v>9.7502204660610214E-2</v>
      </c>
      <c r="M17" s="13">
        <f t="array" ref="M17">PRODUCT(1+預測IC!$C17:M17)-1</f>
        <v>-0.15156480847729314</v>
      </c>
      <c r="N17" s="13">
        <f t="array" ref="N17">PRODUCT(1+預測IC!$C17:N17)-1</f>
        <v>0.19214328719888552</v>
      </c>
      <c r="O17" s="13">
        <f t="array" ref="O17">PRODUCT(1+預測IC!$C17:O17)-1</f>
        <v>0.22150830966707913</v>
      </c>
      <c r="P17" s="13">
        <f t="array" ref="P17">PRODUCT(1+預測IC!$C17:P17)-1</f>
        <v>0.31546138474781604</v>
      </c>
      <c r="Q17" s="13">
        <f t="array" ref="Q17">PRODUCT(1+預測IC!$C17:Q17)-1</f>
        <v>0.45546906414731492</v>
      </c>
      <c r="R17" s="13">
        <f t="array" ref="R17">PRODUCT(1+預測IC!$C17:R17)-1</f>
        <v>0.45834361554900593</v>
      </c>
      <c r="S17" s="13">
        <f t="array" ref="S17">PRODUCT(1+預測IC!$C17:S17)-1</f>
        <v>0.37794257992246205</v>
      </c>
      <c r="T17" s="13">
        <f t="array" ref="T17">PRODUCT(1+預測IC!$C17:T17)-1</f>
        <v>0.34554938902517729</v>
      </c>
      <c r="U17" s="13">
        <f t="array" ref="U17">PRODUCT(1+預測IC!$C17:U17)-1</f>
        <v>0.41590598005954682</v>
      </c>
      <c r="V17" s="13">
        <f t="array" ref="V17">PRODUCT(1+預測IC!$C17:V17)-1</f>
        <v>0.25115806276147068</v>
      </c>
      <c r="W17" s="13">
        <f t="array" ref="W17">PRODUCT(1+預測IC!$C17:W17)-1</f>
        <v>0.35017737055929676</v>
      </c>
      <c r="X17" s="13">
        <f t="array" ref="X17">PRODUCT(1+預測IC!$C17:X17)-1</f>
        <v>0.48544674692266443</v>
      </c>
      <c r="Y17" s="13">
        <f t="array" ref="Y17">PRODUCT(1+預測IC!$C17:Y17)-1</f>
        <v>0.48767361727714498</v>
      </c>
      <c r="Z17" s="13">
        <f t="array" ref="Z17">PRODUCT(1+預測IC!$C17:Z17)-1</f>
        <v>0.45552722191821182</v>
      </c>
      <c r="AA17" s="13">
        <f t="array" ref="AA17">PRODUCT(1+預測IC!$C17:AA17)-1</f>
        <v>0.40427841470330872</v>
      </c>
      <c r="AB17" s="13">
        <f t="array" ref="AB17">PRODUCT(1+預測IC!$C17:AB17)-1</f>
        <v>0.32236071105560038</v>
      </c>
      <c r="AC17" s="13">
        <f t="array" ref="AC17">PRODUCT(1+預測IC!$C17:AC17)-1</f>
        <v>0.26840955111015408</v>
      </c>
      <c r="AD17" s="13">
        <f t="array" ref="AD17">PRODUCT(1+預測IC!$C17:AD17)-1</f>
        <v>0.24061509026831995</v>
      </c>
      <c r="AE17" s="13">
        <f t="array" ref="AE17">PRODUCT(1+預測IC!$C17:AE17)-1</f>
        <v>0.31436128323291213</v>
      </c>
      <c r="AF17" s="13">
        <f t="array" ref="AF17">PRODUCT(1+預測IC!$C17:AF17)-1</f>
        <v>0.23362097635292645</v>
      </c>
      <c r="AG17" s="13">
        <f t="array" ref="AG17">PRODUCT(1+預測IC!$C17:AG17)-1</f>
        <v>0.23195404600862957</v>
      </c>
      <c r="AH17" s="13">
        <f t="array" ref="AH17">PRODUCT(1+預測IC!$C17:AH17)-1</f>
        <v>0.27565468272119342</v>
      </c>
      <c r="AI17" s="13">
        <f t="array" ref="AI17">PRODUCT(1+預測IC!$C17:AI17)-1</f>
        <v>0.42218291730879853</v>
      </c>
      <c r="AJ17" s="13">
        <f t="array" ref="AJ17">PRODUCT(1+預測IC!$C17:AJ17)-1</f>
        <v>0.39059872353547531</v>
      </c>
      <c r="AK17" s="13">
        <f t="array" ref="AK17">PRODUCT(1+預測IC!$C17:AK17)-1</f>
        <v>0.37206951701888635</v>
      </c>
      <c r="AL17" s="13">
        <f t="array" ref="AL17">PRODUCT(1+預測IC!$C17:AL17)-1</f>
        <v>0.44166692791537843</v>
      </c>
      <c r="AM17" s="13">
        <f t="array" ref="AM17">PRODUCT(1+預測IC!$C17:AM17)-1</f>
        <v>0.55032445254440088</v>
      </c>
      <c r="AN17" s="13">
        <f t="array" ref="AN17">PRODUCT(1+預測IC!$C17:AN17)-1</f>
        <v>0.72595624537501746</v>
      </c>
      <c r="AO17" s="13">
        <f t="array" ref="AO17">PRODUCT(1+預測IC!$C17:AO17)-1</f>
        <v>0.74775910216417452</v>
      </c>
      <c r="AP17" s="13">
        <f t="array" ref="AP17">PRODUCT(1+預測IC!$C17:AP17)-1</f>
        <v>0.75432936556898533</v>
      </c>
      <c r="AQ17" s="13">
        <f t="array" ref="AQ17">PRODUCT(1+預測IC!$C17:AQ17)-1</f>
        <v>0.64814483101170661</v>
      </c>
      <c r="AR17" s="13">
        <f t="array" ref="AR17">PRODUCT(1+預測IC!$C17:AR17)-1</f>
        <v>0.83591914161834402</v>
      </c>
      <c r="AS17" s="13">
        <f t="array" ref="AS17">PRODUCT(1+預測IC!$C17:AS17)-1</f>
        <v>0.93932464728156639</v>
      </c>
      <c r="AT17" s="13">
        <f t="array" ref="AT17">PRODUCT(1+預測IC!$C17:AT17)-1</f>
        <v>1.0406888925888551</v>
      </c>
      <c r="AU17" s="13">
        <f t="array" ref="AU17">PRODUCT(1+預測IC!$C17:AU17)-1</f>
        <v>1.1520197103383496</v>
      </c>
      <c r="AV17" s="13">
        <f t="array" ref="AV17">PRODUCT(1+預測IC!$C17:AV17)-1</f>
        <v>1.106384189575389</v>
      </c>
      <c r="AW17" s="13">
        <f t="array" ref="AW17">PRODUCT(1+預測IC!$C17:AW17)-1</f>
        <v>1.124123921393088</v>
      </c>
      <c r="AX17" s="13">
        <f t="array" ref="AX17">PRODUCT(1+預測IC!$C17:AX17)-1</f>
        <v>1.1466234385149545</v>
      </c>
      <c r="AY17" s="13">
        <f t="array" ref="AY17">PRODUCT(1+預測IC!$C17:AY17)-1</f>
        <v>1.2054917886017233</v>
      </c>
      <c r="AZ17" s="13">
        <f t="array" ref="AZ17">PRODUCT(1+預測IC!$C17:AZ17)-1</f>
        <v>0.92945772453579134</v>
      </c>
      <c r="BA17" s="13">
        <f t="array" ref="BA17">PRODUCT(1+預測IC!$C17:BA17)-1</f>
        <v>0.94841499225895798</v>
      </c>
      <c r="BB17" s="13">
        <f t="array" ref="BB17">PRODUCT(1+預測IC!$C17:BB17)-1</f>
        <v>1.189558748332856</v>
      </c>
      <c r="BC17" s="13">
        <f t="array" ref="BC17">PRODUCT(1+預測IC!$C17:BC17)-1</f>
        <v>1.3731821409975837</v>
      </c>
      <c r="BD17" s="13">
        <f t="array" ref="BD17">PRODUCT(1+預測IC!$C17:BD17)-1</f>
        <v>1.4262381453998065</v>
      </c>
      <c r="BE17" s="13">
        <f t="array" ref="BE17">PRODUCT(1+預測IC!$C17:BE17)-1</f>
        <v>1.6139082536737037</v>
      </c>
      <c r="BF17" s="13">
        <f t="array" ref="BF17">PRODUCT(1+預測IC!$C17:BF17)-1</f>
        <v>1.7581894456419742</v>
      </c>
      <c r="BG17" s="13">
        <f t="array" ref="BG17">PRODUCT(1+預測IC!$C17:BG17)-1</f>
        <v>1.6605654372273895</v>
      </c>
      <c r="BH17" s="13">
        <f t="array" ref="BH17">PRODUCT(1+預測IC!$C17:BH17)-1</f>
        <v>1.6965348474995126</v>
      </c>
      <c r="BI17" s="13">
        <f t="array" ref="BI17">PRODUCT(1+預測IC!$C17:BI17)-1</f>
        <v>1.9314352440118063</v>
      </c>
      <c r="BJ17" s="13">
        <f t="array" ref="BJ17">PRODUCT(1+預測IC!$C17:BJ17)-1</f>
        <v>1.9025369669635075</v>
      </c>
      <c r="BK17" s="13">
        <f t="array" ref="BK17">PRODUCT(1+預測IC!$C17:BK17)-1</f>
        <v>1.8624153375874615</v>
      </c>
      <c r="BL17" s="13">
        <f t="array" ref="BL17">PRODUCT(1+預測IC!$C17:BL17)-1</f>
        <v>2.0842037701574072</v>
      </c>
      <c r="BM17" s="13">
        <f t="array" ref="BM17">PRODUCT(1+預測IC!$C17:BM17)-1</f>
        <v>2.3185963802900855</v>
      </c>
      <c r="BN17" s="13">
        <f t="array" ref="BN17">PRODUCT(1+預測IC!$C17:BN17)-1</f>
        <v>2.4742900737053359</v>
      </c>
      <c r="BO17" s="13">
        <f t="array" ref="BO17">PRODUCT(1+預測IC!$C17:BO17)-1</f>
        <v>2.5965142623444302</v>
      </c>
      <c r="BP17" s="13">
        <f t="array" ref="BP17">PRODUCT(1+預測IC!$C17:BP17)-1</f>
        <v>2.7259743165588306</v>
      </c>
      <c r="BQ17" s="13">
        <f t="array" ref="BQ17">PRODUCT(1+預測IC!$C17:BQ17)-1</f>
        <v>2.7683629022943723</v>
      </c>
      <c r="BR17" s="13">
        <f t="array" ref="BR17">PRODUCT(1+預測IC!$C17:BR17)-1</f>
        <v>2.7320118601326495</v>
      </c>
      <c r="BS17" s="13">
        <f t="array" ref="BS17">PRODUCT(1+預測IC!$C17:BS17)-1</f>
        <v>2.7166976647441778</v>
      </c>
      <c r="BT17" s="13">
        <f t="array" ref="BT17">PRODUCT(1+預測IC!$C17:BT17)-1</f>
        <v>3.1233652645766439</v>
      </c>
      <c r="BU17" s="13">
        <f t="array" ref="BU17">PRODUCT(1+預測IC!$C17:BU17)-1</f>
        <v>3.4166512417585997</v>
      </c>
      <c r="BV17" s="13">
        <f t="array" ref="BV17">PRODUCT(1+預測IC!$C17:BV17)-1</f>
        <v>3.7267456637744889</v>
      </c>
      <c r="BW17" s="13">
        <f t="array" ref="BW17">PRODUCT(1+預測IC!$C17:BW17)-1</f>
        <v>3.3465654150159523</v>
      </c>
      <c r="BX17" s="13">
        <f t="array" ref="BX17">PRODUCT(1+預測IC!$C17:BX17)-1</f>
        <v>3.4718463161900504</v>
      </c>
      <c r="BY17" s="13">
        <f t="array" ref="BY17">PRODUCT(1+預測IC!$C17:BY17)-1</f>
        <v>3.0951135321189653</v>
      </c>
      <c r="BZ17" s="13">
        <f t="array" ref="BZ17">PRODUCT(1+預測IC!$C17:BZ17)-1</f>
        <v>3.5888947699455471</v>
      </c>
      <c r="CA17" s="13">
        <f t="array" ref="CA17">PRODUCT(1+預測IC!$C17:CA17)-1</f>
        <v>3.7136949257208318</v>
      </c>
      <c r="CB17" s="13">
        <f t="array" ref="CB17">PRODUCT(1+預測IC!$C17:CB17)-1</f>
        <v>3.6643062090826399</v>
      </c>
      <c r="CC17" s="13">
        <f t="array" ref="CC17">PRODUCT(1+預測IC!$C17:CC17)-1</f>
        <v>2.8482486446740523</v>
      </c>
      <c r="CD17" s="13">
        <f t="array" ref="CD17">PRODUCT(1+預測IC!$C17:CD17)-1</f>
        <v>3.5138407344038161</v>
      </c>
      <c r="CE17" s="13">
        <f t="array" ref="CE17">PRODUCT(1+預測IC!$C17:CE17)-1</f>
        <v>2.7233938921827416</v>
      </c>
      <c r="CF17" s="13">
        <f t="array" ref="CF17">PRODUCT(1+預測IC!$C17:CF17)-1</f>
        <v>3.0910648805557202</v>
      </c>
      <c r="CG17" s="13">
        <f t="array" ref="CG17">PRODUCT(1+預測IC!$C17:CG17)-1</f>
        <v>3.0275424862863733</v>
      </c>
      <c r="CH17" s="13">
        <f t="array" ref="CH17">PRODUCT(1+預測IC!$C17:CH17)-1</f>
        <v>3.2637032662411292</v>
      </c>
      <c r="CI17" s="13">
        <f t="array" ref="CI17">PRODUCT(1+預測IC!$C17:CI17)-1</f>
        <v>3.2017466053386663</v>
      </c>
      <c r="CJ17" s="13">
        <f t="array" ref="CJ17">PRODUCT(1+預測IC!$C17:CJ17)-1</f>
        <v>2.9885402282944087</v>
      </c>
      <c r="CK17" s="13">
        <f t="array" ref="CK17">PRODUCT(1+預測IC!$C17:CK17)-1</f>
        <v>3.3544432158268043</v>
      </c>
      <c r="CL17" s="13">
        <f t="array" ref="CL17">PRODUCT(1+預測IC!$C17:CL17)-1</f>
        <v>3.3133967327972513</v>
      </c>
      <c r="CM17" s="13">
        <f t="array" ref="CM17">PRODUCT(1+預測IC!$C17:CM17)-1</f>
        <v>3.8938477034030718</v>
      </c>
      <c r="CN17" s="13">
        <f t="array" ref="CN17">PRODUCT(1+預測IC!$C17:CN17)-1</f>
        <v>3.7630935811999313</v>
      </c>
      <c r="CO17" s="13">
        <f t="array" ref="CO17">PRODUCT(1+預測IC!$C17:CO17)-1</f>
        <v>2.7983831457385411</v>
      </c>
      <c r="CP17" s="13">
        <f t="array" ref="CP17">PRODUCT(1+預測IC!$C17:CP17)-1</f>
        <v>3.3611488167426709</v>
      </c>
      <c r="CQ17" s="13">
        <f t="array" ref="CQ17">PRODUCT(1+預測IC!$C17:CQ17)-1</f>
        <v>3.5403394079278723</v>
      </c>
      <c r="CR17" s="13">
        <f t="array" ref="CR17">PRODUCT(1+預測IC!$C17:CR17)-1</f>
        <v>3.7704278757186671</v>
      </c>
      <c r="CS17" s="13">
        <f t="array" ref="CS17">PRODUCT(1+預測IC!$C17:CS17)-1</f>
        <v>4.2324038932002033</v>
      </c>
      <c r="CT17" s="13">
        <f t="array" ref="CT17">PRODUCT(1+預測IC!$C17:CT17)-1</f>
        <v>4.4901524040302796</v>
      </c>
      <c r="CU17" s="13">
        <f t="array" ref="CU17">PRODUCT(1+預測IC!$C17:CU17)-1</f>
        <v>4.0816394552722537</v>
      </c>
      <c r="CV17" s="13">
        <f t="array" ref="CV17">PRODUCT(1+預測IC!$C17:CV17)-1</f>
        <v>4.1013542240507768</v>
      </c>
      <c r="CW17" s="13">
        <f t="array" ref="CW17">PRODUCT(1+預測IC!$C17:CW17)-1</f>
        <v>4.0005420071352251</v>
      </c>
      <c r="CX17" s="13">
        <f t="array" ref="CX17">PRODUCT(1+預測IC!$C17:CX17)-1</f>
        <v>4.0544098184696589</v>
      </c>
      <c r="CY17" s="13">
        <f t="array" ref="CY17">PRODUCT(1+預測IC!$C17:CY17)-1</f>
        <v>3.8048063885706336</v>
      </c>
      <c r="CZ17" s="13">
        <f t="array" ref="CZ17">PRODUCT(1+預測IC!$C17:CZ17)-1</f>
        <v>4.4017979984333575</v>
      </c>
      <c r="DA17" s="13">
        <f t="array" ref="DA17">PRODUCT(1+預測IC!$C17:DA17)-1</f>
        <v>4.1646814343636596</v>
      </c>
      <c r="DB17" s="13">
        <f t="array" ref="DB17">PRODUCT(1+預測IC!$C17:DB17)-1</f>
        <v>3.9845217961490933</v>
      </c>
      <c r="DC17" s="13">
        <f t="array" ref="DC17">PRODUCT(1+預測IC!$C17:DC17)-1</f>
        <v>4.200667952424074</v>
      </c>
      <c r="DD17" s="13">
        <f t="array" ref="DD17">PRODUCT(1+預測IC!$C17:DD17)-1</f>
        <v>3.7579146349694987</v>
      </c>
      <c r="DE17" s="13">
        <f t="array" ref="DE17">PRODUCT(1+預測IC!$C17:DE17)-1</f>
        <v>3.965946914815734</v>
      </c>
      <c r="DF17" s="13">
        <f t="array" ref="DF17">PRODUCT(1+預測IC!$C17:DF17)-1</f>
        <v>3.9101725259929072</v>
      </c>
      <c r="DG17" s="13">
        <f t="array" ref="DG17">PRODUCT(1+預測IC!$C17:DG17)-1</f>
        <v>3.9011413343980257</v>
      </c>
      <c r="DH17" s="13">
        <f t="array" ref="DH17">PRODUCT(1+預測IC!$C17:DH17)-1</f>
        <v>3.7113365447429274</v>
      </c>
      <c r="DI17" s="13">
        <f t="array" ref="DI17">PRODUCT(1+預測IC!$C17:DI17)-1</f>
        <v>3.6863982893200387</v>
      </c>
      <c r="DJ17" s="13">
        <f t="array" ref="DJ17">PRODUCT(1+預測IC!$C17:DJ17)-1</f>
        <v>3.4739349981763965</v>
      </c>
      <c r="DK17" s="13">
        <f t="array" ref="DK17">PRODUCT(1+預測IC!$C17:DK17)-1</f>
        <v>4.1720318349174486</v>
      </c>
      <c r="DL17" s="13">
        <f t="array" ref="DL17">PRODUCT(1+預測IC!$C17:DL17)-1</f>
        <v>4.5522568633275844</v>
      </c>
      <c r="DM17" s="13">
        <f t="array" ref="DM17">PRODUCT(1+預測IC!$C17:DM17)-1</f>
        <v>4.2621352819180771</v>
      </c>
      <c r="DN17" s="13">
        <f t="array" ref="DN17">PRODUCT(1+預測IC!$C17:DN17)-1</f>
        <v>4.4488833730853443</v>
      </c>
      <c r="DO17" s="13">
        <f t="array" ref="DO17">PRODUCT(1+預測IC!$C17:DO17)-1</f>
        <v>4.7401336561990703</v>
      </c>
      <c r="DP17" s="13">
        <f t="array" ref="DP17">PRODUCT(1+預測IC!$C17:DP17)-1</f>
        <v>4.6453152110050233</v>
      </c>
      <c r="DQ17" s="13">
        <f t="array" ref="DQ17">PRODUCT(1+預測IC!$C17:DQ17)-1</f>
        <v>4.0373008256446097</v>
      </c>
      <c r="DR17" s="13">
        <f t="array" ref="DR17">PRODUCT(1+預測IC!$C17:DR17)-1</f>
        <v>4.3188094497621341</v>
      </c>
      <c r="DS17" s="13">
        <f t="array" ref="DS17">PRODUCT(1+預測IC!$C17:DS17)-1</f>
        <v>3.6575954842341662</v>
      </c>
      <c r="DT17" s="13">
        <f t="array" ref="DT17">PRODUCT(1+預測IC!$C17:DT17)-1</f>
        <v>3.223791932774291</v>
      </c>
      <c r="DU17" s="13">
        <f t="array" ref="DU17">PRODUCT(1+預測IC!$C17:DU17)-1</f>
        <v>2.9208163552259623</v>
      </c>
      <c r="DV17" s="13">
        <f t="array" ref="DV17">PRODUCT(1+預測IC!$C17:DV17)-1</f>
        <v>3.3825528542190888</v>
      </c>
      <c r="DW17" s="13">
        <f t="array" ref="DW17">PRODUCT(1+預測IC!$C17:DW17)-1</f>
        <v>3.5959020283033922</v>
      </c>
      <c r="DX17" s="13">
        <f t="array" ref="DX17">PRODUCT(1+預測IC!$C17:DX17)-1</f>
        <v>3.0005535554438998</v>
      </c>
      <c r="DY17" s="13">
        <f t="array" ref="DY17">PRODUCT(1+預測IC!$C17:DY17)-1</f>
        <v>3.4491694495203244</v>
      </c>
      <c r="DZ17" s="13">
        <f t="array" ref="DZ17">PRODUCT(1+預測IC!$C17:DZ17)-1</f>
        <v>3.3075605163552959</v>
      </c>
      <c r="EA17" s="13">
        <f t="array" ref="EA17">PRODUCT(1+預測IC!$C17:EA17)-1</f>
        <v>3.3584669385845327</v>
      </c>
      <c r="EB17" s="13">
        <f t="array" ref="EB17">PRODUCT(1+預測IC!$C17:EB17)-1</f>
        <v>3.7380909308889718</v>
      </c>
      <c r="EC17" s="13">
        <f t="array" ref="EC17">PRODUCT(1+預測IC!$C17:EC17)-1</f>
        <v>3.8159151036182699</v>
      </c>
      <c r="ED17" s="13">
        <f t="array" ref="ED17">PRODUCT(1+預測IC!$C17:ED17)-1</f>
        <v>3.1979154759376032</v>
      </c>
      <c r="EE17" s="13">
        <f t="array" ref="EE17">PRODUCT(1+預測IC!$C17:EE17)-1</f>
        <v>3.0912323373965336</v>
      </c>
      <c r="EF17" s="13">
        <f t="array" ref="EF17">PRODUCT(1+預測IC!$C17:EF17)-1</f>
        <v>3.2864240789968937</v>
      </c>
    </row>
    <row r="18" spans="1:136">
      <c r="A18" s="17">
        <v>7</v>
      </c>
      <c r="B18" s="17" t="s">
        <v>190</v>
      </c>
      <c r="C18" s="13">
        <f t="array" ref="C18">PRODUCT(1+預測IC!$C18:C18)-1</f>
        <v>-5.3942228163147199E-2</v>
      </c>
      <c r="D18" s="13">
        <f t="array" ref="D18">PRODUCT(1+預測IC!$C18:D18)-1</f>
        <v>0.32626325341373463</v>
      </c>
      <c r="E18" s="13">
        <f t="array" ref="E18">PRODUCT(1+預測IC!$C18:E18)-1</f>
        <v>0.24801284997711748</v>
      </c>
      <c r="F18" s="13">
        <f t="array" ref="F18">PRODUCT(1+預測IC!$C18:F18)-1</f>
        <v>0.51270496505406427</v>
      </c>
      <c r="G18" s="13">
        <f t="array" ref="G18">PRODUCT(1+預測IC!$C18:G18)-1</f>
        <v>0.39048710643780504</v>
      </c>
      <c r="H18" s="13">
        <f t="array" ref="H18">PRODUCT(1+預測IC!$C18:H18)-1</f>
        <v>0.56922031909932058</v>
      </c>
      <c r="I18" s="13">
        <f t="array" ref="I18">PRODUCT(1+預測IC!$C18:I18)-1</f>
        <v>0.65545301077179174</v>
      </c>
      <c r="J18" s="13">
        <f t="array" ref="J18">PRODUCT(1+預測IC!$C18:J18)-1</f>
        <v>0.44825509298387067</v>
      </c>
      <c r="K18" s="13">
        <f t="array" ref="K18">PRODUCT(1+預測IC!$C18:K18)-1</f>
        <v>-7.1208082942337603E-2</v>
      </c>
      <c r="L18" s="13">
        <f t="array" ref="L18">PRODUCT(1+預測IC!$C18:L18)-1</f>
        <v>-5.9150054095553628E-2</v>
      </c>
      <c r="M18" s="13">
        <f t="array" ref="M18">PRODUCT(1+預測IC!$C18:M18)-1</f>
        <v>-0.29766761202449243</v>
      </c>
      <c r="N18" s="13">
        <f t="array" ref="N18">PRODUCT(1+預測IC!$C18:N18)-1</f>
        <v>2.6683832389951201E-2</v>
      </c>
      <c r="O18" s="13">
        <f t="array" ref="O18">PRODUCT(1+預測IC!$C18:O18)-1</f>
        <v>5.1657036598123263E-2</v>
      </c>
      <c r="P18" s="13">
        <f t="array" ref="P18">PRODUCT(1+預測IC!$C18:P18)-1</f>
        <v>0.10904566061184373</v>
      </c>
      <c r="Q18" s="13">
        <f t="array" ref="Q18">PRODUCT(1+預測IC!$C18:Q18)-1</f>
        <v>0.24405945341888025</v>
      </c>
      <c r="R18" s="13">
        <f t="array" ref="R18">PRODUCT(1+預測IC!$C18:R18)-1</f>
        <v>0.26810285730676986</v>
      </c>
      <c r="S18" s="13">
        <f t="array" ref="S18">PRODUCT(1+預測IC!$C18:S18)-1</f>
        <v>0.18058691250035563</v>
      </c>
      <c r="T18" s="13">
        <f t="array" ref="T18">PRODUCT(1+預測IC!$C18:T18)-1</f>
        <v>0.17464906629629851</v>
      </c>
      <c r="U18" s="13">
        <f t="array" ref="U18">PRODUCT(1+預測IC!$C18:U18)-1</f>
        <v>0.20769613970645029</v>
      </c>
      <c r="V18" s="13">
        <f t="array" ref="V18">PRODUCT(1+預測IC!$C18:V18)-1</f>
        <v>4.9182398281559569E-2</v>
      </c>
      <c r="W18" s="13">
        <f t="array" ref="W18">PRODUCT(1+預測IC!$C18:W18)-1</f>
        <v>0.13028105012152924</v>
      </c>
      <c r="X18" s="13">
        <f t="array" ref="X18">PRODUCT(1+預測IC!$C18:X18)-1</f>
        <v>0.27396609099357128</v>
      </c>
      <c r="Y18" s="13">
        <f t="array" ref="Y18">PRODUCT(1+預測IC!$C18:Y18)-1</f>
        <v>0.30481117599355168</v>
      </c>
      <c r="Z18" s="13">
        <f t="array" ref="Z18">PRODUCT(1+預測IC!$C18:Z18)-1</f>
        <v>0.28275259745699444</v>
      </c>
      <c r="AA18" s="13">
        <f t="array" ref="AA18">PRODUCT(1+預測IC!$C18:AA18)-1</f>
        <v>0.2292550858712743</v>
      </c>
      <c r="AB18" s="13">
        <f t="array" ref="AB18">PRODUCT(1+預測IC!$C18:AB18)-1</f>
        <v>0.15339283750181432</v>
      </c>
      <c r="AC18" s="13">
        <f t="array" ref="AC18">PRODUCT(1+預測IC!$C18:AC18)-1</f>
        <v>6.7211489454084061E-2</v>
      </c>
      <c r="AD18" s="13">
        <f t="array" ref="AD18">PRODUCT(1+預測IC!$C18:AD18)-1</f>
        <v>3.8828369832715204E-2</v>
      </c>
      <c r="AE18" s="13">
        <f t="array" ref="AE18">PRODUCT(1+預測IC!$C18:AE18)-1</f>
        <v>0.11902695881217062</v>
      </c>
      <c r="AF18" s="13">
        <f t="array" ref="AF18">PRODUCT(1+預測IC!$C18:AF18)-1</f>
        <v>8.3359744620937093E-2</v>
      </c>
      <c r="AG18" s="13">
        <f t="array" ref="AG18">PRODUCT(1+預測IC!$C18:AG18)-1</f>
        <v>7.4023505107471577E-2</v>
      </c>
      <c r="AH18" s="13">
        <f t="array" ref="AH18">PRODUCT(1+預測IC!$C18:AH18)-1</f>
        <v>0.11719652303329653</v>
      </c>
      <c r="AI18" s="13">
        <f t="array" ref="AI18">PRODUCT(1+預測IC!$C18:AI18)-1</f>
        <v>0.24912227045071633</v>
      </c>
      <c r="AJ18" s="13">
        <f t="array" ref="AJ18">PRODUCT(1+預測IC!$C18:AJ18)-1</f>
        <v>0.23996852400681479</v>
      </c>
      <c r="AK18" s="13">
        <f t="array" ref="AK18">PRODUCT(1+預測IC!$C18:AK18)-1</f>
        <v>0.27380885927220588</v>
      </c>
      <c r="AL18" s="13">
        <f t="array" ref="AL18">PRODUCT(1+預測IC!$C18:AL18)-1</f>
        <v>0.33435014564837107</v>
      </c>
      <c r="AM18" s="13">
        <f t="array" ref="AM18">PRODUCT(1+預測IC!$C18:AM18)-1</f>
        <v>0.42327578338341776</v>
      </c>
      <c r="AN18" s="13">
        <f t="array" ref="AN18">PRODUCT(1+預測IC!$C18:AN18)-1</f>
        <v>0.53613392418376349</v>
      </c>
      <c r="AO18" s="13">
        <f t="array" ref="AO18">PRODUCT(1+預測IC!$C18:AO18)-1</f>
        <v>0.54447134477233017</v>
      </c>
      <c r="AP18" s="13">
        <f t="array" ref="AP18">PRODUCT(1+預測IC!$C18:AP18)-1</f>
        <v>0.54758455772586401</v>
      </c>
      <c r="AQ18" s="13">
        <f t="array" ref="AQ18">PRODUCT(1+預測IC!$C18:AQ18)-1</f>
        <v>0.42961087867626113</v>
      </c>
      <c r="AR18" s="13">
        <f t="array" ref="AR18">PRODUCT(1+預測IC!$C18:AR18)-1</f>
        <v>0.60766248946296963</v>
      </c>
      <c r="AS18" s="13">
        <f t="array" ref="AS18">PRODUCT(1+預測IC!$C18:AS18)-1</f>
        <v>0.74564261699624557</v>
      </c>
      <c r="AT18" s="13">
        <f t="array" ref="AT18">PRODUCT(1+預測IC!$C18:AT18)-1</f>
        <v>0.82127371773210345</v>
      </c>
      <c r="AU18" s="13">
        <f t="array" ref="AU18">PRODUCT(1+預測IC!$C18:AU18)-1</f>
        <v>0.9388836410998862</v>
      </c>
      <c r="AV18" s="13">
        <f t="array" ref="AV18">PRODUCT(1+預測IC!$C18:AV18)-1</f>
        <v>0.88310437094602845</v>
      </c>
      <c r="AW18" s="13">
        <f t="array" ref="AW18">PRODUCT(1+預測IC!$C18:AW18)-1</f>
        <v>0.9293120504798813</v>
      </c>
      <c r="AX18" s="13">
        <f t="array" ref="AX18">PRODUCT(1+預測IC!$C18:AX18)-1</f>
        <v>0.99414520385622174</v>
      </c>
      <c r="AY18" s="13">
        <f t="array" ref="AY18">PRODUCT(1+預測IC!$C18:AY18)-1</f>
        <v>1.0635081121328618</v>
      </c>
      <c r="AZ18" s="13">
        <f t="array" ref="AZ18">PRODUCT(1+預測IC!$C18:AZ18)-1</f>
        <v>0.75726476670917431</v>
      </c>
      <c r="BA18" s="13">
        <f t="array" ref="BA18">PRODUCT(1+預測IC!$C18:BA18)-1</f>
        <v>0.75837590441872949</v>
      </c>
      <c r="BB18" s="13">
        <f t="array" ref="BB18">PRODUCT(1+預測IC!$C18:BB18)-1</f>
        <v>1.0004269720458399</v>
      </c>
      <c r="BC18" s="13">
        <f t="array" ref="BC18">PRODUCT(1+預測IC!$C18:BC18)-1</f>
        <v>1.1668656419781485</v>
      </c>
      <c r="BD18" s="13">
        <f t="array" ref="BD18">PRODUCT(1+預測IC!$C18:BD18)-1</f>
        <v>1.1148256080105243</v>
      </c>
      <c r="BE18" s="13">
        <f t="array" ref="BE18">PRODUCT(1+預測IC!$C18:BE18)-1</f>
        <v>1.2593976523612591</v>
      </c>
      <c r="BF18" s="13">
        <f t="array" ref="BF18">PRODUCT(1+預測IC!$C18:BF18)-1</f>
        <v>1.3630690659562124</v>
      </c>
      <c r="BG18" s="13">
        <f t="array" ref="BG18">PRODUCT(1+預測IC!$C18:BG18)-1</f>
        <v>1.3233547571995712</v>
      </c>
      <c r="BH18" s="13">
        <f t="array" ref="BH18">PRODUCT(1+預測IC!$C18:BH18)-1</f>
        <v>1.3709924817562849</v>
      </c>
      <c r="BI18" s="13">
        <f t="array" ref="BI18">PRODUCT(1+預測IC!$C18:BI18)-1</f>
        <v>1.6294306786718242</v>
      </c>
      <c r="BJ18" s="13">
        <f t="array" ref="BJ18">PRODUCT(1+預測IC!$C18:BJ18)-1</f>
        <v>1.6450917362102366</v>
      </c>
      <c r="BK18" s="13">
        <f t="array" ref="BK18">PRODUCT(1+預測IC!$C18:BK18)-1</f>
        <v>1.4916678343822491</v>
      </c>
      <c r="BL18" s="13">
        <f t="array" ref="BL18">PRODUCT(1+預測IC!$C18:BL18)-1</f>
        <v>1.6938857997533376</v>
      </c>
      <c r="BM18" s="13">
        <f t="array" ref="BM18">PRODUCT(1+預測IC!$C18:BM18)-1</f>
        <v>1.9707470547810528</v>
      </c>
      <c r="BN18" s="13">
        <f t="array" ref="BN18">PRODUCT(1+預測IC!$C18:BN18)-1</f>
        <v>2.1275264173239141</v>
      </c>
      <c r="BO18" s="13">
        <f t="array" ref="BO18">PRODUCT(1+預測IC!$C18:BO18)-1</f>
        <v>2.1907884457529176</v>
      </c>
      <c r="BP18" s="13">
        <f t="array" ref="BP18">PRODUCT(1+預測IC!$C18:BP18)-1</f>
        <v>2.3403009440492224</v>
      </c>
      <c r="BQ18" s="13">
        <f t="array" ref="BQ18">PRODUCT(1+預測IC!$C18:BQ18)-1</f>
        <v>2.3467035798208897</v>
      </c>
      <c r="BR18" s="13">
        <f t="array" ref="BR18">PRODUCT(1+預測IC!$C18:BR18)-1</f>
        <v>2.3274660797759648</v>
      </c>
      <c r="BS18" s="13">
        <f t="array" ref="BS18">PRODUCT(1+預測IC!$C18:BS18)-1</f>
        <v>2.3142107023907563</v>
      </c>
      <c r="BT18" s="13">
        <f t="array" ref="BT18">PRODUCT(1+預測IC!$C18:BT18)-1</f>
        <v>2.6961295660399989</v>
      </c>
      <c r="BU18" s="13">
        <f t="array" ref="BU18">PRODUCT(1+預測IC!$C18:BU18)-1</f>
        <v>2.9943238522689315</v>
      </c>
      <c r="BV18" s="13">
        <f t="array" ref="BV18">PRODUCT(1+預測IC!$C18:BV18)-1</f>
        <v>3.3175581002306087</v>
      </c>
      <c r="BW18" s="13">
        <f t="array" ref="BW18">PRODUCT(1+預測IC!$C18:BW18)-1</f>
        <v>2.9492225258027132</v>
      </c>
      <c r="BX18" s="13">
        <f t="array" ref="BX18">PRODUCT(1+預測IC!$C18:BX18)-1</f>
        <v>3.0243307145576903</v>
      </c>
      <c r="BY18" s="13">
        <f t="array" ref="BY18">PRODUCT(1+預測IC!$C18:BY18)-1</f>
        <v>2.5290363091556221</v>
      </c>
      <c r="BZ18" s="13">
        <f t="array" ref="BZ18">PRODUCT(1+預測IC!$C18:BZ18)-1</f>
        <v>3.0701081130302876</v>
      </c>
      <c r="CA18" s="13">
        <f t="array" ref="CA18">PRODUCT(1+預測IC!$C18:CA18)-1</f>
        <v>3.2055851502365975</v>
      </c>
      <c r="CB18" s="13">
        <f t="array" ref="CB18">PRODUCT(1+預測IC!$C18:CB18)-1</f>
        <v>3.1022229842352154</v>
      </c>
      <c r="CC18" s="13">
        <f t="array" ref="CC18">PRODUCT(1+預測IC!$C18:CC18)-1</f>
        <v>2.9866492346337679</v>
      </c>
      <c r="CD18" s="13">
        <f t="array" ref="CD18">PRODUCT(1+預測IC!$C18:CD18)-1</f>
        <v>3.7589302414278443</v>
      </c>
      <c r="CE18" s="13">
        <f t="array" ref="CE18">PRODUCT(1+預測IC!$C18:CE18)-1</f>
        <v>2.9121911236424616</v>
      </c>
      <c r="CF18" s="13">
        <f t="array" ref="CF18">PRODUCT(1+預測IC!$C18:CF18)-1</f>
        <v>3.1931552684140438</v>
      </c>
      <c r="CG18" s="13">
        <f t="array" ref="CG18">PRODUCT(1+預測IC!$C18:CG18)-1</f>
        <v>3.1814087354185148</v>
      </c>
      <c r="CH18" s="13">
        <f t="array" ref="CH18">PRODUCT(1+預測IC!$C18:CH18)-1</f>
        <v>3.8615443313138886</v>
      </c>
      <c r="CI18" s="13">
        <f t="array" ref="CI18">PRODUCT(1+預測IC!$C18:CI18)-1</f>
        <v>3.6725802846784603</v>
      </c>
      <c r="CJ18" s="13">
        <f t="array" ref="CJ18">PRODUCT(1+預測IC!$C18:CJ18)-1</f>
        <v>3.3814146222079815</v>
      </c>
      <c r="CK18" s="13">
        <f t="array" ref="CK18">PRODUCT(1+預測IC!$C18:CK18)-1</f>
        <v>3.7786677780693934</v>
      </c>
      <c r="CL18" s="13">
        <f t="array" ref="CL18">PRODUCT(1+預測IC!$C18:CL18)-1</f>
        <v>3.6305790376427769</v>
      </c>
      <c r="CM18" s="13">
        <f t="array" ref="CM18">PRODUCT(1+預測IC!$C18:CM18)-1</f>
        <v>4.2957549704077422</v>
      </c>
      <c r="CN18" s="13">
        <f t="array" ref="CN18">PRODUCT(1+預測IC!$C18:CN18)-1</f>
        <v>4.1099467665098244</v>
      </c>
      <c r="CO18" s="13">
        <f t="array" ref="CO18">PRODUCT(1+預測IC!$C18:CO18)-1</f>
        <v>2.9266165746080297</v>
      </c>
      <c r="CP18" s="13">
        <f t="array" ref="CP18">PRODUCT(1+預測IC!$C18:CP18)-1</f>
        <v>3.5660233187976917</v>
      </c>
      <c r="CQ18" s="13">
        <f t="array" ref="CQ18">PRODUCT(1+預測IC!$C18:CQ18)-1</f>
        <v>3.7850853027929885</v>
      </c>
      <c r="CR18" s="13">
        <f t="array" ref="CR18">PRODUCT(1+預測IC!$C18:CR18)-1</f>
        <v>4.0490120836737109</v>
      </c>
      <c r="CS18" s="13">
        <f t="array" ref="CS18">PRODUCT(1+預測IC!$C18:CS18)-1</f>
        <v>4.4429725952792243</v>
      </c>
      <c r="CT18" s="13">
        <f t="array" ref="CT18">PRODUCT(1+預測IC!$C18:CT18)-1</f>
        <v>4.9356455947884097</v>
      </c>
      <c r="CU18" s="13">
        <f t="array" ref="CU18">PRODUCT(1+預測IC!$C18:CU18)-1</f>
        <v>4.5103643564644438</v>
      </c>
      <c r="CV18" s="13">
        <f t="array" ref="CV18">PRODUCT(1+預測IC!$C18:CV18)-1</f>
        <v>5.01202948266869</v>
      </c>
      <c r="CW18" s="13">
        <f t="array" ref="CW18">PRODUCT(1+預測IC!$C18:CW18)-1</f>
        <v>4.9611912469467914</v>
      </c>
      <c r="CX18" s="13">
        <f t="array" ref="CX18">PRODUCT(1+預測IC!$C18:CX18)-1</f>
        <v>5.3281632878995264</v>
      </c>
      <c r="CY18" s="13">
        <f t="array" ref="CY18">PRODUCT(1+預測IC!$C18:CY18)-1</f>
        <v>5.0031651874884844</v>
      </c>
      <c r="CZ18" s="13">
        <f t="array" ref="CZ18">PRODUCT(1+預測IC!$C18:CZ18)-1</f>
        <v>5.8006428398679697</v>
      </c>
      <c r="DA18" s="13">
        <f t="array" ref="DA18">PRODUCT(1+預測IC!$C18:DA18)-1</f>
        <v>5.4784219927839484</v>
      </c>
      <c r="DB18" s="13">
        <f t="array" ref="DB18">PRODUCT(1+預測IC!$C18:DB18)-1</f>
        <v>5.1821300110349107</v>
      </c>
      <c r="DC18" s="13">
        <f t="array" ref="DC18">PRODUCT(1+預測IC!$C18:DC18)-1</f>
        <v>5.4072138317834924</v>
      </c>
      <c r="DD18" s="13">
        <f t="array" ref="DD18">PRODUCT(1+預測IC!$C18:DD18)-1</f>
        <v>4.8788598998662547</v>
      </c>
      <c r="DE18" s="13">
        <f t="array" ref="DE18">PRODUCT(1+預測IC!$C18:DE18)-1</f>
        <v>5.1679436931780058</v>
      </c>
      <c r="DF18" s="13">
        <f t="array" ref="DF18">PRODUCT(1+預測IC!$C18:DF18)-1</f>
        <v>4.9518018067958529</v>
      </c>
      <c r="DG18" s="13">
        <f t="array" ref="DG18">PRODUCT(1+預測IC!$C18:DG18)-1</f>
        <v>4.9064522126894516</v>
      </c>
      <c r="DH18" s="13">
        <f t="array" ref="DH18">PRODUCT(1+預測IC!$C18:DH18)-1</f>
        <v>4.7408470272975523</v>
      </c>
      <c r="DI18" s="13">
        <f t="array" ref="DI18">PRODUCT(1+預測IC!$C18:DI18)-1</f>
        <v>4.6483354059404238</v>
      </c>
      <c r="DJ18" s="13">
        <f t="array" ref="DJ18">PRODUCT(1+預測IC!$C18:DJ18)-1</f>
        <v>4.3930078275296331</v>
      </c>
      <c r="DK18" s="13">
        <f t="array" ref="DK18">PRODUCT(1+預測IC!$C18:DK18)-1</f>
        <v>5.2478730592092075</v>
      </c>
      <c r="DL18" s="13">
        <f t="array" ref="DL18">PRODUCT(1+預測IC!$C18:DL18)-1</f>
        <v>5.7564358242560276</v>
      </c>
      <c r="DM18" s="13">
        <f t="array" ref="DM18">PRODUCT(1+預測IC!$C18:DM18)-1</f>
        <v>5.3070778396094234</v>
      </c>
      <c r="DN18" s="13">
        <f t="array" ref="DN18">PRODUCT(1+預測IC!$C18:DN18)-1</f>
        <v>5.201610479830407</v>
      </c>
      <c r="DO18" s="13">
        <f t="array" ref="DO18">PRODUCT(1+預測IC!$C18:DO18)-1</f>
        <v>5.4627287157486881</v>
      </c>
      <c r="DP18" s="13">
        <f t="array" ref="DP18">PRODUCT(1+預測IC!$C18:DP18)-1</f>
        <v>5.3295662168402762</v>
      </c>
      <c r="DQ18" s="13">
        <f t="array" ref="DQ18">PRODUCT(1+預測IC!$C18:DQ18)-1</f>
        <v>4.692006238961417</v>
      </c>
      <c r="DR18" s="13">
        <f t="array" ref="DR18">PRODUCT(1+預測IC!$C18:DR18)-1</f>
        <v>5.1293837253293004</v>
      </c>
      <c r="DS18" s="13">
        <f t="array" ref="DS18">PRODUCT(1+預測IC!$C18:DS18)-1</f>
        <v>4.2239389121461297</v>
      </c>
      <c r="DT18" s="13">
        <f t="array" ref="DT18">PRODUCT(1+預測IC!$C18:DT18)-1</f>
        <v>3.6178711534597587</v>
      </c>
      <c r="DU18" s="13">
        <f t="array" ref="DU18">PRODUCT(1+預測IC!$C18:DU18)-1</f>
        <v>3.1704216687661049</v>
      </c>
      <c r="DV18" s="13">
        <f t="array" ref="DV18">PRODUCT(1+預測IC!$C18:DV18)-1</f>
        <v>3.6109875528075266</v>
      </c>
      <c r="DW18" s="13">
        <f t="array" ref="DW18">PRODUCT(1+預測IC!$C18:DW18)-1</f>
        <v>3.9886675133975134</v>
      </c>
      <c r="DX18" s="13">
        <f t="array" ref="DX18">PRODUCT(1+預測IC!$C18:DX18)-1</f>
        <v>3.2223933297692993</v>
      </c>
      <c r="DY18" s="13">
        <f t="array" ref="DY18">PRODUCT(1+預測IC!$C18:DY18)-1</f>
        <v>3.6337728232290658</v>
      </c>
      <c r="DZ18" s="13">
        <f t="array" ref="DZ18">PRODUCT(1+預測IC!$C18:DZ18)-1</f>
        <v>3.2838471698123648</v>
      </c>
      <c r="EA18" s="13">
        <f t="array" ref="EA18">PRODUCT(1+預測IC!$C18:EA18)-1</f>
        <v>3.256595207255975</v>
      </c>
      <c r="EB18" s="13">
        <f t="array" ref="EB18">PRODUCT(1+預測IC!$C18:EB18)-1</f>
        <v>3.6816008212203624</v>
      </c>
      <c r="EC18" s="13">
        <f t="array" ref="EC18">PRODUCT(1+預測IC!$C18:EC18)-1</f>
        <v>3.6945413062657293</v>
      </c>
      <c r="ED18" s="13">
        <f t="array" ref="ED18">PRODUCT(1+預測IC!$C18:ED18)-1</f>
        <v>3.1758976691823646</v>
      </c>
      <c r="EE18" s="13">
        <f t="array" ref="EE18">PRODUCT(1+預測IC!$C18:EE18)-1</f>
        <v>3.1180458102507949</v>
      </c>
      <c r="EF18" s="13">
        <f t="array" ref="EF18">PRODUCT(1+預測IC!$C18:EF18)-1</f>
        <v>3.3196448133531016</v>
      </c>
    </row>
    <row r="19" spans="1:136">
      <c r="A19" s="17">
        <v>6</v>
      </c>
      <c r="B19" s="17" t="s">
        <v>191</v>
      </c>
      <c r="C19" s="13">
        <f t="array" ref="C19">PRODUCT(1+預測IC!$C19:C19)-1</f>
        <v>-7.7959416087486244E-2</v>
      </c>
      <c r="D19" s="13">
        <f t="array" ref="D19">PRODUCT(1+預測IC!$C19:D19)-1</f>
        <v>0.29779179205598671</v>
      </c>
      <c r="E19" s="13">
        <f t="array" ref="E19">PRODUCT(1+預測IC!$C19:E19)-1</f>
        <v>0.22654549656511924</v>
      </c>
      <c r="F19" s="13">
        <f t="array" ref="F19">PRODUCT(1+預測IC!$C19:F19)-1</f>
        <v>0.5162197686101504</v>
      </c>
      <c r="G19" s="13">
        <f t="array" ref="G19">PRODUCT(1+預測IC!$C19:G19)-1</f>
        <v>0.36837000922214891</v>
      </c>
      <c r="H19" s="13">
        <f t="array" ref="H19">PRODUCT(1+預測IC!$C19:H19)-1</f>
        <v>0.61140643462176314</v>
      </c>
      <c r="I19" s="13">
        <f t="array" ref="I19">PRODUCT(1+預測IC!$C19:I19)-1</f>
        <v>0.68788915536369433</v>
      </c>
      <c r="J19" s="13">
        <f t="array" ref="J19">PRODUCT(1+預測IC!$C19:J19)-1</f>
        <v>0.4241916391955205</v>
      </c>
      <c r="K19" s="13">
        <f t="array" ref="K19">PRODUCT(1+預測IC!$C19:K19)-1</f>
        <v>-0.17160163051445432</v>
      </c>
      <c r="L19" s="13">
        <f t="array" ref="L19">PRODUCT(1+預測IC!$C19:L19)-1</f>
        <v>-0.13593994420143041</v>
      </c>
      <c r="M19" s="13">
        <f t="array" ref="M19">PRODUCT(1+預測IC!$C19:M19)-1</f>
        <v>-0.36192765129508131</v>
      </c>
      <c r="N19" s="13">
        <f t="array" ref="N19">PRODUCT(1+預測IC!$C19:N19)-1</f>
        <v>-2.2234203689474596E-2</v>
      </c>
      <c r="O19" s="13">
        <f t="array" ref="O19">PRODUCT(1+預測IC!$C19:O19)-1</f>
        <v>-4.1591033159034008E-2</v>
      </c>
      <c r="P19" s="13">
        <f t="array" ref="P19">PRODUCT(1+預測IC!$C19:P19)-1</f>
        <v>-1.9753365379907128E-2</v>
      </c>
      <c r="Q19" s="13">
        <f t="array" ref="Q19">PRODUCT(1+預測IC!$C19:Q19)-1</f>
        <v>0.14734372369285054</v>
      </c>
      <c r="R19" s="13">
        <f t="array" ref="R19">PRODUCT(1+預測IC!$C19:R19)-1</f>
        <v>0.19546676149569975</v>
      </c>
      <c r="S19" s="13">
        <f t="array" ref="S19">PRODUCT(1+預測IC!$C19:S19)-1</f>
        <v>0.10138810998857384</v>
      </c>
      <c r="T19" s="13">
        <f t="array" ref="T19">PRODUCT(1+預測IC!$C19:T19)-1</f>
        <v>-1.9243441969459596E-2</v>
      </c>
      <c r="U19" s="13">
        <f t="array" ref="U19">PRODUCT(1+預測IC!$C19:U19)-1</f>
        <v>2.4090469249988145E-2</v>
      </c>
      <c r="V19" s="13">
        <f t="array" ref="V19">PRODUCT(1+預測IC!$C19:V19)-1</f>
        <v>-9.7452171957242761E-2</v>
      </c>
      <c r="W19" s="13">
        <f t="array" ref="W19">PRODUCT(1+預測IC!$C19:W19)-1</f>
        <v>-3.2093418866336432E-2</v>
      </c>
      <c r="X19" s="13">
        <f t="array" ref="X19">PRODUCT(1+預測IC!$C19:X19)-1</f>
        <v>8.6885207077410875E-2</v>
      </c>
      <c r="Y19" s="13">
        <f t="array" ref="Y19">PRODUCT(1+預測IC!$C19:Y19)-1</f>
        <v>0.11303802007764219</v>
      </c>
      <c r="Z19" s="13">
        <f t="array" ref="Z19">PRODUCT(1+預測IC!$C19:Z19)-1</f>
        <v>8.8302976157456747E-2</v>
      </c>
      <c r="AA19" s="13">
        <f t="array" ref="AA19">PRODUCT(1+預測IC!$C19:AA19)-1</f>
        <v>4.3062020605167062E-2</v>
      </c>
      <c r="AB19" s="13">
        <f t="array" ref="AB19">PRODUCT(1+預測IC!$C19:AB19)-1</f>
        <v>-2.0317035421854479E-2</v>
      </c>
      <c r="AC19" s="13">
        <f t="array" ref="AC19">PRODUCT(1+預測IC!$C19:AC19)-1</f>
        <v>-0.10213313556217507</v>
      </c>
      <c r="AD19" s="13">
        <f t="array" ref="AD19">PRODUCT(1+預測IC!$C19:AD19)-1</f>
        <v>-0.13363832184992075</v>
      </c>
      <c r="AE19" s="13">
        <f t="array" ref="AE19">PRODUCT(1+預測IC!$C19:AE19)-1</f>
        <v>-3.3806454921396001E-2</v>
      </c>
      <c r="AF19" s="13">
        <f t="array" ref="AF19">PRODUCT(1+預測IC!$C19:AF19)-1</f>
        <v>-7.1280915833724423E-2</v>
      </c>
      <c r="AG19" s="13">
        <f t="array" ref="AG19">PRODUCT(1+預測IC!$C19:AG19)-1</f>
        <v>-5.3358030587941419E-2</v>
      </c>
      <c r="AH19" s="13">
        <f t="array" ref="AH19">PRODUCT(1+預測IC!$C19:AH19)-1</f>
        <v>1.818763349783481E-4</v>
      </c>
      <c r="AI19" s="13">
        <f t="array" ref="AI19">PRODUCT(1+預測IC!$C19:AI19)-1</f>
        <v>9.1747860325527952E-2</v>
      </c>
      <c r="AJ19" s="13">
        <f t="array" ref="AJ19">PRODUCT(1+預測IC!$C19:AJ19)-1</f>
        <v>0.10503042871020174</v>
      </c>
      <c r="AK19" s="13">
        <f t="array" ref="AK19">PRODUCT(1+預測IC!$C19:AK19)-1</f>
        <v>0.15924395822967674</v>
      </c>
      <c r="AL19" s="13">
        <f t="array" ref="AL19">PRODUCT(1+預測IC!$C19:AL19)-1</f>
        <v>0.24070512743764394</v>
      </c>
      <c r="AM19" s="13">
        <f t="array" ref="AM19">PRODUCT(1+預測IC!$C19:AM19)-1</f>
        <v>0.29418697731544174</v>
      </c>
      <c r="AN19" s="13">
        <f t="array" ref="AN19">PRODUCT(1+預測IC!$C19:AN19)-1</f>
        <v>0.40233997559997103</v>
      </c>
      <c r="AO19" s="13">
        <f t="array" ref="AO19">PRODUCT(1+預測IC!$C19:AO19)-1</f>
        <v>0.4386506286248899</v>
      </c>
      <c r="AP19" s="13">
        <f t="array" ref="AP19">PRODUCT(1+預測IC!$C19:AP19)-1</f>
        <v>0.45262424218072361</v>
      </c>
      <c r="AQ19" s="13">
        <f t="array" ref="AQ19">PRODUCT(1+預測IC!$C19:AQ19)-1</f>
        <v>0.32442614783513646</v>
      </c>
      <c r="AR19" s="13">
        <f t="array" ref="AR19">PRODUCT(1+預測IC!$C19:AR19)-1</f>
        <v>0.52774882151419478</v>
      </c>
      <c r="AS19" s="13">
        <f t="array" ref="AS19">PRODUCT(1+預測IC!$C19:AS19)-1</f>
        <v>0.67715800467303855</v>
      </c>
      <c r="AT19" s="13">
        <f t="array" ref="AT19">PRODUCT(1+預測IC!$C19:AT19)-1</f>
        <v>0.75983347793159606</v>
      </c>
      <c r="AU19" s="13">
        <f t="array" ref="AU19">PRODUCT(1+預測IC!$C19:AU19)-1</f>
        <v>0.89433529051980121</v>
      </c>
      <c r="AV19" s="13">
        <f t="array" ref="AV19">PRODUCT(1+預測IC!$C19:AV19)-1</f>
        <v>0.79955597372220844</v>
      </c>
      <c r="AW19" s="13">
        <f t="array" ref="AW19">PRODUCT(1+預測IC!$C19:AW19)-1</f>
        <v>0.83978714967352275</v>
      </c>
      <c r="AX19" s="13">
        <f t="array" ref="AX19">PRODUCT(1+預測IC!$C19:AX19)-1</f>
        <v>0.95765311341735715</v>
      </c>
      <c r="AY19" s="13">
        <f t="array" ref="AY19">PRODUCT(1+預測IC!$C19:AY19)-1</f>
        <v>1.0154605942439661</v>
      </c>
      <c r="AZ19" s="13">
        <f t="array" ref="AZ19">PRODUCT(1+預測IC!$C19:AZ19)-1</f>
        <v>0.63881208795865185</v>
      </c>
      <c r="BA19" s="13">
        <f t="array" ref="BA19">PRODUCT(1+預測IC!$C19:BA19)-1</f>
        <v>0.58249613954550861</v>
      </c>
      <c r="BB19" s="13">
        <f t="array" ref="BB19">PRODUCT(1+預測IC!$C19:BB19)-1</f>
        <v>0.83529388288469986</v>
      </c>
      <c r="BC19" s="13">
        <f t="array" ref="BC19">PRODUCT(1+預測IC!$C19:BC19)-1</f>
        <v>0.95285452514105895</v>
      </c>
      <c r="BD19" s="13">
        <f t="array" ref="BD19">PRODUCT(1+預測IC!$C19:BD19)-1</f>
        <v>0.94653822685734745</v>
      </c>
      <c r="BE19" s="13">
        <f t="array" ref="BE19">PRODUCT(1+預測IC!$C19:BE19)-1</f>
        <v>1.0460683741384762</v>
      </c>
      <c r="BF19" s="13">
        <f t="array" ref="BF19">PRODUCT(1+預測IC!$C19:BF19)-1</f>
        <v>1.0738355151512793</v>
      </c>
      <c r="BG19" s="13">
        <f t="array" ref="BG19">PRODUCT(1+預測IC!$C19:BG19)-1</f>
        <v>1.0399414560531333</v>
      </c>
      <c r="BH19" s="13">
        <f t="array" ref="BH19">PRODUCT(1+預測IC!$C19:BH19)-1</f>
        <v>1.0440584693705595</v>
      </c>
      <c r="BI19" s="13">
        <f t="array" ref="BI19">PRODUCT(1+預測IC!$C19:BI19)-1</f>
        <v>1.3052863389824281</v>
      </c>
      <c r="BJ19" s="13">
        <f t="array" ref="BJ19">PRODUCT(1+預測IC!$C19:BJ19)-1</f>
        <v>1.3553278846754866</v>
      </c>
      <c r="BK19" s="13">
        <f t="array" ref="BK19">PRODUCT(1+預測IC!$C19:BK19)-1</f>
        <v>1.2334407828522753</v>
      </c>
      <c r="BL19" s="13">
        <f t="array" ref="BL19">PRODUCT(1+預測IC!$C19:BL19)-1</f>
        <v>1.4120371115435155</v>
      </c>
      <c r="BM19" s="13">
        <f t="array" ref="BM19">PRODUCT(1+預測IC!$C19:BM19)-1</f>
        <v>1.6876137993836124</v>
      </c>
      <c r="BN19" s="13">
        <f t="array" ref="BN19">PRODUCT(1+預測IC!$C19:BN19)-1</f>
        <v>1.868362942761733</v>
      </c>
      <c r="BO19" s="13">
        <f t="array" ref="BO19">PRODUCT(1+預測IC!$C19:BO19)-1</f>
        <v>1.9421629418103423</v>
      </c>
      <c r="BP19" s="13">
        <f t="array" ref="BP19">PRODUCT(1+預測IC!$C19:BP19)-1</f>
        <v>2.1269861093859821</v>
      </c>
      <c r="BQ19" s="13">
        <f t="array" ref="BQ19">PRODUCT(1+預測IC!$C19:BQ19)-1</f>
        <v>2.1580497284046731</v>
      </c>
      <c r="BR19" s="13">
        <f t="array" ref="BR19">PRODUCT(1+預測IC!$C19:BR19)-1</f>
        <v>2.1791304872962849</v>
      </c>
      <c r="BS19" s="13">
        <f t="array" ref="BS19">PRODUCT(1+預測IC!$C19:BS19)-1</f>
        <v>2.102016421283516</v>
      </c>
      <c r="BT19" s="13">
        <f t="array" ref="BT19">PRODUCT(1+預測IC!$C19:BT19)-1</f>
        <v>2.5413633199796917</v>
      </c>
      <c r="BU19" s="13">
        <f t="array" ref="BU19">PRODUCT(1+預測IC!$C19:BU19)-1</f>
        <v>2.8102811747573848</v>
      </c>
      <c r="BV19" s="13">
        <f t="array" ref="BV19">PRODUCT(1+預測IC!$C19:BV19)-1</f>
        <v>3.1671339770413436</v>
      </c>
      <c r="BW19" s="13">
        <f t="array" ref="BW19">PRODUCT(1+預測IC!$C19:BW19)-1</f>
        <v>2.7130540498846045</v>
      </c>
      <c r="BX19" s="13">
        <f t="array" ref="BX19">PRODUCT(1+預測IC!$C19:BX19)-1</f>
        <v>2.8396238390398745</v>
      </c>
      <c r="BY19" s="13">
        <f t="array" ref="BY19">PRODUCT(1+預測IC!$C19:BY19)-1</f>
        <v>2.4262893442944451</v>
      </c>
      <c r="BZ19" s="13">
        <f t="array" ref="BZ19">PRODUCT(1+預測IC!$C19:BZ19)-1</f>
        <v>2.6616827025026351</v>
      </c>
      <c r="CA19" s="13">
        <f t="array" ref="CA19">PRODUCT(1+預測IC!$C19:CA19)-1</f>
        <v>2.792075833819204</v>
      </c>
      <c r="CB19" s="13">
        <f t="array" ref="CB19">PRODUCT(1+預測IC!$C19:CB19)-1</f>
        <v>2.6099000796906529</v>
      </c>
      <c r="CC19" s="13">
        <f t="array" ref="CC19">PRODUCT(1+預測IC!$C19:CC19)-1</f>
        <v>2.5206516075610801</v>
      </c>
      <c r="CD19" s="13">
        <f t="array" ref="CD19">PRODUCT(1+預測IC!$C19:CD19)-1</f>
        <v>3.2797716839507594</v>
      </c>
      <c r="CE19" s="13">
        <f t="array" ref="CE19">PRODUCT(1+預測IC!$C19:CE19)-1</f>
        <v>2.4312392023441909</v>
      </c>
      <c r="CF19" s="13">
        <f t="array" ref="CF19">PRODUCT(1+預測IC!$C19:CF19)-1</f>
        <v>2.7054103024772691</v>
      </c>
      <c r="CG19" s="13">
        <f t="array" ref="CG19">PRODUCT(1+預測IC!$C19:CG19)-1</f>
        <v>2.5177922987101797</v>
      </c>
      <c r="CH19" s="13">
        <f t="array" ref="CH19">PRODUCT(1+預測IC!$C19:CH19)-1</f>
        <v>3.0556270955692337</v>
      </c>
      <c r="CI19" s="13">
        <f t="array" ref="CI19">PRODUCT(1+預測IC!$C19:CI19)-1</f>
        <v>2.9052973843719401</v>
      </c>
      <c r="CJ19" s="13">
        <f t="array" ref="CJ19">PRODUCT(1+預測IC!$C19:CJ19)-1</f>
        <v>2.6634013118678888</v>
      </c>
      <c r="CK19" s="13">
        <f t="array" ref="CK19">PRODUCT(1+預測IC!$C19:CK19)-1</f>
        <v>3.0442767857109567</v>
      </c>
      <c r="CL19" s="13">
        <f t="array" ref="CL19">PRODUCT(1+預測IC!$C19:CL19)-1</f>
        <v>2.8694011252012714</v>
      </c>
      <c r="CM19" s="13">
        <f t="array" ref="CM19">PRODUCT(1+預測IC!$C19:CM19)-1</f>
        <v>3.5478914868389486</v>
      </c>
      <c r="CN19" s="13">
        <f t="array" ref="CN19">PRODUCT(1+預測IC!$C19:CN19)-1</f>
        <v>3.1980101216175987</v>
      </c>
      <c r="CO19" s="13">
        <f t="array" ref="CO19">PRODUCT(1+預測IC!$C19:CO19)-1</f>
        <v>2.054243773307832</v>
      </c>
      <c r="CP19" s="13">
        <f t="array" ref="CP19">PRODUCT(1+預測IC!$C19:CP19)-1</f>
        <v>2.539968098502583</v>
      </c>
      <c r="CQ19" s="13">
        <f t="array" ref="CQ19">PRODUCT(1+預測IC!$C19:CQ19)-1</f>
        <v>2.5303043107235914</v>
      </c>
      <c r="CR19" s="13">
        <f t="array" ref="CR19">PRODUCT(1+預測IC!$C19:CR19)-1</f>
        <v>2.7057399223183536</v>
      </c>
      <c r="CS19" s="13">
        <f t="array" ref="CS19">PRODUCT(1+預測IC!$C19:CS19)-1</f>
        <v>2.9306814888117598</v>
      </c>
      <c r="CT19" s="13">
        <f t="array" ref="CT19">PRODUCT(1+預測IC!$C19:CT19)-1</f>
        <v>3.4126633299166222</v>
      </c>
      <c r="CU19" s="13">
        <f t="array" ref="CU19">PRODUCT(1+預測IC!$C19:CU19)-1</f>
        <v>3.0444865999917861</v>
      </c>
      <c r="CV19" s="13">
        <f t="array" ref="CV19">PRODUCT(1+預測IC!$C19:CV19)-1</f>
        <v>3.4569427833638988</v>
      </c>
      <c r="CW19" s="13">
        <f t="array" ref="CW19">PRODUCT(1+預測IC!$C19:CW19)-1</f>
        <v>3.3593276792277429</v>
      </c>
      <c r="CX19" s="13">
        <f t="array" ref="CX19">PRODUCT(1+預測IC!$C19:CX19)-1</f>
        <v>3.6105763371692881</v>
      </c>
      <c r="CY19" s="13">
        <f t="array" ref="CY19">PRODUCT(1+預測IC!$C19:CY19)-1</f>
        <v>3.2835856435679993</v>
      </c>
      <c r="CZ19" s="13">
        <f t="array" ref="CZ19">PRODUCT(1+預測IC!$C19:CZ19)-1</f>
        <v>3.7669961165869701</v>
      </c>
      <c r="DA19" s="13">
        <f t="array" ref="DA19">PRODUCT(1+預測IC!$C19:DA19)-1</f>
        <v>3.4894431224500018</v>
      </c>
      <c r="DB19" s="13">
        <f t="array" ref="DB19">PRODUCT(1+預測IC!$C19:DB19)-1</f>
        <v>3.3290761779935165</v>
      </c>
      <c r="DC19" s="13">
        <f t="array" ref="DC19">PRODUCT(1+預測IC!$C19:DC19)-1</f>
        <v>3.1767818759212538</v>
      </c>
      <c r="DD19" s="13">
        <f t="array" ref="DD19">PRODUCT(1+預測IC!$C19:DD19)-1</f>
        <v>2.7329681609215664</v>
      </c>
      <c r="DE19" s="13">
        <f t="array" ref="DE19">PRODUCT(1+預測IC!$C19:DE19)-1</f>
        <v>2.9346415992600559</v>
      </c>
      <c r="DF19" s="13">
        <f t="array" ref="DF19">PRODUCT(1+預測IC!$C19:DF19)-1</f>
        <v>2.6604244377755868</v>
      </c>
      <c r="DG19" s="13">
        <f t="array" ref="DG19">PRODUCT(1+預測IC!$C19:DG19)-1</f>
        <v>2.6137669295171535</v>
      </c>
      <c r="DH19" s="13">
        <f t="array" ref="DH19">PRODUCT(1+預測IC!$C19:DH19)-1</f>
        <v>2.6131996290756185</v>
      </c>
      <c r="DI19" s="13">
        <f t="array" ref="DI19">PRODUCT(1+預測IC!$C19:DI19)-1</f>
        <v>2.6264471525110085</v>
      </c>
      <c r="DJ19" s="13">
        <f t="array" ref="DJ19">PRODUCT(1+預測IC!$C19:DJ19)-1</f>
        <v>2.4505124234757494</v>
      </c>
      <c r="DK19" s="13">
        <f t="array" ref="DK19">PRODUCT(1+預測IC!$C19:DK19)-1</f>
        <v>2.8788748659324335</v>
      </c>
      <c r="DL19" s="13">
        <f t="array" ref="DL19">PRODUCT(1+預測IC!$C19:DL19)-1</f>
        <v>3.1510454604549789</v>
      </c>
      <c r="DM19" s="13">
        <f t="array" ref="DM19">PRODUCT(1+預測IC!$C19:DM19)-1</f>
        <v>2.8108579242220677</v>
      </c>
      <c r="DN19" s="13">
        <f t="array" ref="DN19">PRODUCT(1+預測IC!$C19:DN19)-1</f>
        <v>2.8202902666921288</v>
      </c>
      <c r="DO19" s="13">
        <f t="array" ref="DO19">PRODUCT(1+預測IC!$C19:DO19)-1</f>
        <v>3.0308897402851205</v>
      </c>
      <c r="DP19" s="13">
        <f t="array" ref="DP19">PRODUCT(1+預測IC!$C19:DP19)-1</f>
        <v>3.1431017072545284</v>
      </c>
      <c r="DQ19" s="13">
        <f t="array" ref="DQ19">PRODUCT(1+預測IC!$C19:DQ19)-1</f>
        <v>2.6439019539194422</v>
      </c>
      <c r="DR19" s="13">
        <f t="array" ref="DR19">PRODUCT(1+預測IC!$C19:DR19)-1</f>
        <v>2.9207013216249043</v>
      </c>
      <c r="DS19" s="13">
        <f t="array" ref="DS19">PRODUCT(1+預測IC!$C19:DS19)-1</f>
        <v>2.2228339454391253</v>
      </c>
      <c r="DT19" s="13">
        <f t="array" ref="DT19">PRODUCT(1+預測IC!$C19:DT19)-1</f>
        <v>1.7937828945376721</v>
      </c>
      <c r="DU19" s="13">
        <f t="array" ref="DU19">PRODUCT(1+預測IC!$C19:DU19)-1</f>
        <v>1.394744933498302</v>
      </c>
      <c r="DV19" s="13">
        <f t="array" ref="DV19">PRODUCT(1+預測IC!$C19:DV19)-1</f>
        <v>1.6618181592068249</v>
      </c>
      <c r="DW19" s="13">
        <f t="array" ref="DW19">PRODUCT(1+預測IC!$C19:DW19)-1</f>
        <v>1.823148666917755</v>
      </c>
      <c r="DX19" s="13">
        <f t="array" ref="DX19">PRODUCT(1+預測IC!$C19:DX19)-1</f>
        <v>1.4325233226453471</v>
      </c>
      <c r="DY19" s="13">
        <f t="array" ref="DY19">PRODUCT(1+預測IC!$C19:DY19)-1</f>
        <v>1.6030665055120359</v>
      </c>
      <c r="DZ19" s="13">
        <f t="array" ref="DZ19">PRODUCT(1+預測IC!$C19:DZ19)-1</f>
        <v>1.3117291446270305</v>
      </c>
      <c r="EA19" s="13">
        <f t="array" ref="EA19">PRODUCT(1+預測IC!$C19:EA19)-1</f>
        <v>1.2468172848350458</v>
      </c>
      <c r="EB19" s="13">
        <f t="array" ref="EB19">PRODUCT(1+預測IC!$C19:EB19)-1</f>
        <v>1.2957367208384949</v>
      </c>
      <c r="EC19" s="13">
        <f t="array" ref="EC19">PRODUCT(1+預測IC!$C19:EC19)-1</f>
        <v>1.2677515909812334</v>
      </c>
      <c r="ED19" s="13">
        <f t="array" ref="ED19">PRODUCT(1+預測IC!$C19:ED19)-1</f>
        <v>0.92546778574154831</v>
      </c>
      <c r="EE19" s="13">
        <f t="array" ref="EE19">PRODUCT(1+預測IC!$C19:EE19)-1</f>
        <v>0.94979422842700689</v>
      </c>
      <c r="EF19" s="13">
        <f t="array" ref="EF19">PRODUCT(1+預測IC!$C19:EF19)-1</f>
        <v>0.98289774685232567</v>
      </c>
    </row>
    <row r="20" spans="1:136">
      <c r="A20" s="17">
        <v>5</v>
      </c>
      <c r="B20" s="17" t="s">
        <v>192</v>
      </c>
      <c r="C20" s="13">
        <f t="array" ref="C20">PRODUCT(1+預測IC!$C20:C20)-1</f>
        <v>-0.13932460396499158</v>
      </c>
      <c r="D20" s="13">
        <f t="array" ref="D20">PRODUCT(1+預測IC!$C20:D20)-1</f>
        <v>0.18947560274559949</v>
      </c>
      <c r="E20" s="13">
        <f t="array" ref="E20">PRODUCT(1+預測IC!$C20:E20)-1</f>
        <v>0.20791246048613088</v>
      </c>
      <c r="F20" s="13">
        <f t="array" ref="F20">PRODUCT(1+預測IC!$C20:F20)-1</f>
        <v>0.42825888519804245</v>
      </c>
      <c r="G20" s="13">
        <f t="array" ref="G20">PRODUCT(1+預測IC!$C20:G20)-1</f>
        <v>0.28491037972892097</v>
      </c>
      <c r="H20" s="13">
        <f t="array" ref="H20">PRODUCT(1+預測IC!$C20:H20)-1</f>
        <v>0.46985035748614012</v>
      </c>
      <c r="I20" s="13">
        <f t="array" ref="I20">PRODUCT(1+預測IC!$C20:I20)-1</f>
        <v>0.5109123910429445</v>
      </c>
      <c r="J20" s="13">
        <f t="array" ref="J20">PRODUCT(1+預測IC!$C20:J20)-1</f>
        <v>0.30964949289919974</v>
      </c>
      <c r="K20" s="13">
        <f t="array" ref="K20">PRODUCT(1+預測IC!$C20:K20)-1</f>
        <v>0.19163873972161038</v>
      </c>
      <c r="L20" s="13">
        <f t="array" ref="L20">PRODUCT(1+預測IC!$C20:L20)-1</f>
        <v>0.30568885751471031</v>
      </c>
      <c r="M20" s="13">
        <f t="array" ref="M20">PRODUCT(1+預測IC!$C20:M20)-1</f>
        <v>-4.5141904366347241E-2</v>
      </c>
      <c r="N20" s="13">
        <f t="array" ref="N20">PRODUCT(1+預測IC!$C20:N20)-1</f>
        <v>0.43229821980438854</v>
      </c>
      <c r="O20" s="13">
        <f t="array" ref="O20">PRODUCT(1+預測IC!$C20:O20)-1</f>
        <v>0.2745824200884921</v>
      </c>
      <c r="P20" s="13">
        <f t="array" ref="P20">PRODUCT(1+預測IC!$C20:P20)-1</f>
        <v>0.32560267978221447</v>
      </c>
      <c r="Q20" s="13">
        <f t="array" ref="Q20">PRODUCT(1+預測IC!$C20:Q20)-1</f>
        <v>0.62363342322853854</v>
      </c>
      <c r="R20" s="13">
        <f t="array" ref="R20">PRODUCT(1+預測IC!$C20:R20)-1</f>
        <v>0.73155568741717025</v>
      </c>
      <c r="S20" s="13">
        <f t="array" ref="S20">PRODUCT(1+預測IC!$C20:S20)-1</f>
        <v>0.63226586012270736</v>
      </c>
      <c r="T20" s="13">
        <f t="array" ref="T20">PRODUCT(1+預測IC!$C20:T20)-1</f>
        <v>0.46765870364594475</v>
      </c>
      <c r="U20" s="13">
        <f t="array" ref="U20">PRODUCT(1+預測IC!$C20:U20)-1</f>
        <v>0.51496868195797174</v>
      </c>
      <c r="V20" s="13">
        <f t="array" ref="V20">PRODUCT(1+預測IC!$C20:V20)-1</f>
        <v>0.30849632723754739</v>
      </c>
      <c r="W20" s="13">
        <f t="array" ref="W20">PRODUCT(1+預測IC!$C20:W20)-1</f>
        <v>0.42768071520397943</v>
      </c>
      <c r="X20" s="13">
        <f t="array" ref="X20">PRODUCT(1+預測IC!$C20:X20)-1</f>
        <v>0.64189421275532998</v>
      </c>
      <c r="Y20" s="13">
        <f t="array" ref="Y20">PRODUCT(1+預測IC!$C20:Y20)-1</f>
        <v>0.63391789066976445</v>
      </c>
      <c r="Z20" s="13">
        <f t="array" ref="Z20">PRODUCT(1+預測IC!$C20:Z20)-1</f>
        <v>0.68156032209306971</v>
      </c>
      <c r="AA20" s="13">
        <f t="array" ref="AA20">PRODUCT(1+預測IC!$C20:AA20)-1</f>
        <v>0.6452477779436705</v>
      </c>
      <c r="AB20" s="13">
        <f t="array" ref="AB20">PRODUCT(1+預測IC!$C20:AB20)-1</f>
        <v>0.54583697145698018</v>
      </c>
      <c r="AC20" s="13">
        <f t="array" ref="AC20">PRODUCT(1+預測IC!$C20:AC20)-1</f>
        <v>0.39696019524250703</v>
      </c>
      <c r="AD20" s="13">
        <f t="array" ref="AD20">PRODUCT(1+預測IC!$C20:AD20)-1</f>
        <v>0.34882946438774876</v>
      </c>
      <c r="AE20" s="13">
        <f t="array" ref="AE20">PRODUCT(1+預測IC!$C20:AE20)-1</f>
        <v>0.37217797218219362</v>
      </c>
      <c r="AF20" s="13">
        <f t="array" ref="AF20">PRODUCT(1+預測IC!$C20:AF20)-1</f>
        <v>0.31860172456781832</v>
      </c>
      <c r="AG20" s="13">
        <f t="array" ref="AG20">PRODUCT(1+預測IC!$C20:AG20)-1</f>
        <v>0.31037417724720484</v>
      </c>
      <c r="AH20" s="13">
        <f t="array" ref="AH20">PRODUCT(1+預測IC!$C20:AH20)-1</f>
        <v>0.42854136281447142</v>
      </c>
      <c r="AI20" s="13">
        <f t="array" ref="AI20">PRODUCT(1+預測IC!$C20:AI20)-1</f>
        <v>0.59473386504849124</v>
      </c>
      <c r="AJ20" s="13">
        <f t="array" ref="AJ20">PRODUCT(1+預測IC!$C20:AJ20)-1</f>
        <v>0.62222803372224633</v>
      </c>
      <c r="AK20" s="13">
        <f t="array" ref="AK20">PRODUCT(1+預測IC!$C20:AK20)-1</f>
        <v>0.73086637402137811</v>
      </c>
      <c r="AL20" s="13">
        <f t="array" ref="AL20">PRODUCT(1+預測IC!$C20:AL20)-1</f>
        <v>0.85703519903852143</v>
      </c>
      <c r="AM20" s="13">
        <f t="array" ref="AM20">PRODUCT(1+預測IC!$C20:AM20)-1</f>
        <v>0.91849560023574939</v>
      </c>
      <c r="AN20" s="13">
        <f t="array" ref="AN20">PRODUCT(1+預測IC!$C20:AN20)-1</f>
        <v>1.0632848344508883</v>
      </c>
      <c r="AO20" s="13">
        <f t="array" ref="AO20">PRODUCT(1+預測IC!$C20:AO20)-1</f>
        <v>1.1567208572954955</v>
      </c>
      <c r="AP20" s="13">
        <f t="array" ref="AP20">PRODUCT(1+預測IC!$C20:AP20)-1</f>
        <v>1.1839076177342198</v>
      </c>
      <c r="AQ20" s="13">
        <f t="array" ref="AQ20">PRODUCT(1+預測IC!$C20:AQ20)-1</f>
        <v>1.2438613095785884</v>
      </c>
      <c r="AR20" s="13">
        <f t="array" ref="AR20">PRODUCT(1+預測IC!$C20:AR20)-1</f>
        <v>1.6254276919099748</v>
      </c>
      <c r="AS20" s="13">
        <f t="array" ref="AS20">PRODUCT(1+預測IC!$C20:AS20)-1</f>
        <v>1.9197271347983129</v>
      </c>
      <c r="AT20" s="13">
        <f t="array" ref="AT20">PRODUCT(1+預測IC!$C20:AT20)-1</f>
        <v>1.9368331555226304</v>
      </c>
      <c r="AU20" s="13">
        <f t="array" ref="AU20">PRODUCT(1+預測IC!$C20:AU20)-1</f>
        <v>2.1591290669768823</v>
      </c>
      <c r="AV20" s="13">
        <f t="array" ref="AV20">PRODUCT(1+預測IC!$C20:AV20)-1</f>
        <v>1.9865593867622957</v>
      </c>
      <c r="AW20" s="13">
        <f t="array" ref="AW20">PRODUCT(1+預測IC!$C20:AW20)-1</f>
        <v>2.0070629178853796</v>
      </c>
      <c r="AX20" s="13">
        <f t="array" ref="AX20">PRODUCT(1+預測IC!$C20:AX20)-1</f>
        <v>2.2653359434270532</v>
      </c>
      <c r="AY20" s="13">
        <f t="array" ref="AY20">PRODUCT(1+預測IC!$C20:AY20)-1</f>
        <v>2.3916218263538878</v>
      </c>
      <c r="AZ20" s="13">
        <f t="array" ref="AZ20">PRODUCT(1+預測IC!$C20:AZ20)-1</f>
        <v>1.6664848342461487</v>
      </c>
      <c r="BA20" s="13">
        <f t="array" ref="BA20">PRODUCT(1+預測IC!$C20:BA20)-1</f>
        <v>1.5683612191780441</v>
      </c>
      <c r="BB20" s="13">
        <f t="array" ref="BB20">PRODUCT(1+預測IC!$C20:BB20)-1</f>
        <v>1.9989609067633007</v>
      </c>
      <c r="BC20" s="13">
        <f t="array" ref="BC20">PRODUCT(1+預測IC!$C20:BC20)-1</f>
        <v>2.2107042440286739</v>
      </c>
      <c r="BD20" s="13">
        <f t="array" ref="BD20">PRODUCT(1+預測IC!$C20:BD20)-1</f>
        <v>2.0391569159604321</v>
      </c>
      <c r="BE20" s="13">
        <f t="array" ref="BE20">PRODUCT(1+預測IC!$C20:BE20)-1</f>
        <v>2.0210836663068354</v>
      </c>
      <c r="BF20" s="13">
        <f t="array" ref="BF20">PRODUCT(1+預測IC!$C20:BF20)-1</f>
        <v>2.0382693494724542</v>
      </c>
      <c r="BG20" s="13">
        <f t="array" ref="BG20">PRODUCT(1+預測IC!$C20:BG20)-1</f>
        <v>2.0172258623705588</v>
      </c>
      <c r="BH20" s="13">
        <f t="array" ref="BH20">PRODUCT(1+預測IC!$C20:BH20)-1</f>
        <v>1.8011730382253934</v>
      </c>
      <c r="BI20" s="13">
        <f t="array" ref="BI20">PRODUCT(1+預測IC!$C20:BI20)-1</f>
        <v>2.1702143282981887</v>
      </c>
      <c r="BJ20" s="13">
        <f t="array" ref="BJ20">PRODUCT(1+預測IC!$C20:BJ20)-1</f>
        <v>2.2387845166258522</v>
      </c>
      <c r="BK20" s="13">
        <f t="array" ref="BK20">PRODUCT(1+預測IC!$C20:BK20)-1</f>
        <v>2.0469410497458029</v>
      </c>
      <c r="BL20" s="13">
        <f t="array" ref="BL20">PRODUCT(1+預測IC!$C20:BL20)-1</f>
        <v>2.3098683911914972</v>
      </c>
      <c r="BM20" s="13">
        <f t="array" ref="BM20">PRODUCT(1+預測IC!$C20:BM20)-1</f>
        <v>2.763047830618357</v>
      </c>
      <c r="BN20" s="13">
        <f t="array" ref="BN20">PRODUCT(1+預測IC!$C20:BN20)-1</f>
        <v>3.2091844008434594</v>
      </c>
      <c r="BO20" s="13">
        <f t="array" ref="BO20">PRODUCT(1+預測IC!$C20:BO20)-1</f>
        <v>3.047291939445552</v>
      </c>
      <c r="BP20" s="13">
        <f t="array" ref="BP20">PRODUCT(1+預測IC!$C20:BP20)-1</f>
        <v>3.2917788113113495</v>
      </c>
      <c r="BQ20" s="13">
        <f t="array" ref="BQ20">PRODUCT(1+預測IC!$C20:BQ20)-1</f>
        <v>3.3580941198444876</v>
      </c>
      <c r="BR20" s="13">
        <f t="array" ref="BR20">PRODUCT(1+預測IC!$C20:BR20)-1</f>
        <v>3.4107121432942282</v>
      </c>
      <c r="BS20" s="13">
        <f t="array" ref="BS20">PRODUCT(1+預測IC!$C20:BS20)-1</f>
        <v>3.434563096516654</v>
      </c>
      <c r="BT20" s="13">
        <f t="array" ref="BT20">PRODUCT(1+預測IC!$C20:BT20)-1</f>
        <v>4.0900049730039099</v>
      </c>
      <c r="BU20" s="13">
        <f t="array" ref="BU20">PRODUCT(1+預測IC!$C20:BU20)-1</f>
        <v>4.5926681563942866</v>
      </c>
      <c r="BV20" s="13">
        <f t="array" ref="BV20">PRODUCT(1+預測IC!$C20:BV20)-1</f>
        <v>5.240960918069435</v>
      </c>
      <c r="BW20" s="13">
        <f t="array" ref="BW20">PRODUCT(1+預測IC!$C20:BW20)-1</f>
        <v>4.3952904192364501</v>
      </c>
      <c r="BX20" s="13">
        <f t="array" ref="BX20">PRODUCT(1+預測IC!$C20:BX20)-1</f>
        <v>4.5608915031650819</v>
      </c>
      <c r="BY20" s="13">
        <f t="array" ref="BY20">PRODUCT(1+預測IC!$C20:BY20)-1</f>
        <v>3.975696833737663</v>
      </c>
      <c r="BZ20" s="13">
        <f t="array" ref="BZ20">PRODUCT(1+預測IC!$C20:BZ20)-1</f>
        <v>4.4248599740926089</v>
      </c>
      <c r="CA20" s="13">
        <f t="array" ref="CA20">PRODUCT(1+預測IC!$C20:CA20)-1</f>
        <v>4.6972758275236375</v>
      </c>
      <c r="CB20" s="13">
        <f t="array" ref="CB20">PRODUCT(1+預測IC!$C20:CB20)-1</f>
        <v>4.4793439173707359</v>
      </c>
      <c r="CC20" s="13">
        <f t="array" ref="CC20">PRODUCT(1+預測IC!$C20:CC20)-1</f>
        <v>4.3366451786216178</v>
      </c>
      <c r="CD20" s="13">
        <f t="array" ref="CD20">PRODUCT(1+預測IC!$C20:CD20)-1</f>
        <v>5.3027247003027496</v>
      </c>
      <c r="CE20" s="13">
        <f t="array" ref="CE20">PRODUCT(1+預測IC!$C20:CE20)-1</f>
        <v>3.7650880606160548</v>
      </c>
      <c r="CF20" s="13">
        <f t="array" ref="CF20">PRODUCT(1+預測IC!$C20:CF20)-1</f>
        <v>4.1508597605735735</v>
      </c>
      <c r="CG20" s="13">
        <f t="array" ref="CG20">PRODUCT(1+預測IC!$C20:CG20)-1</f>
        <v>3.6406522228753593</v>
      </c>
      <c r="CH20" s="13">
        <f t="array" ref="CH20">PRODUCT(1+預測IC!$C20:CH20)-1</f>
        <v>3.9741481730074915</v>
      </c>
      <c r="CI20" s="13">
        <f t="array" ref="CI20">PRODUCT(1+預測IC!$C20:CI20)-1</f>
        <v>3.8229605620098539</v>
      </c>
      <c r="CJ20" s="13">
        <f t="array" ref="CJ20">PRODUCT(1+預測IC!$C20:CJ20)-1</f>
        <v>3.2276127674312791</v>
      </c>
      <c r="CK20" s="13">
        <f t="array" ref="CK20">PRODUCT(1+預測IC!$C20:CK20)-1</f>
        <v>3.612234199092458</v>
      </c>
      <c r="CL20" s="13">
        <f t="array" ref="CL20">PRODUCT(1+預測IC!$C20:CL20)-1</f>
        <v>3.1870556929842699</v>
      </c>
      <c r="CM20" s="13">
        <f t="array" ref="CM20">PRODUCT(1+預測IC!$C20:CM20)-1</f>
        <v>3.9786234503772278</v>
      </c>
      <c r="CN20" s="13">
        <f t="array" ref="CN20">PRODUCT(1+預測IC!$C20:CN20)-1</f>
        <v>4.0889468154728785</v>
      </c>
      <c r="CO20" s="13">
        <f t="array" ref="CO20">PRODUCT(1+預測IC!$C20:CO20)-1</f>
        <v>1.9720908140365312</v>
      </c>
      <c r="CP20" s="13">
        <f t="array" ref="CP20">PRODUCT(1+預測IC!$C20:CP20)-1</f>
        <v>2.5428249947494366</v>
      </c>
      <c r="CQ20" s="13">
        <f t="array" ref="CQ20">PRODUCT(1+預測IC!$C20:CQ20)-1</f>
        <v>2.564476466372378</v>
      </c>
      <c r="CR20" s="13">
        <f t="array" ref="CR20">PRODUCT(1+預測IC!$C20:CR20)-1</f>
        <v>2.8250975992230103</v>
      </c>
      <c r="CS20" s="13">
        <f t="array" ref="CS20">PRODUCT(1+預測IC!$C20:CS20)-1</f>
        <v>3.1630995830796884</v>
      </c>
      <c r="CT20" s="13">
        <f t="array" ref="CT20">PRODUCT(1+預測IC!$C20:CT20)-1</f>
        <v>3.5397520105185567</v>
      </c>
      <c r="CU20" s="13">
        <f t="array" ref="CU20">PRODUCT(1+預測IC!$C20:CU20)-1</f>
        <v>3.1090763681699691</v>
      </c>
      <c r="CV20" s="13">
        <f t="array" ref="CV20">PRODUCT(1+預測IC!$C20:CV20)-1</f>
        <v>3.4892114431040282</v>
      </c>
      <c r="CW20" s="13">
        <f t="array" ref="CW20">PRODUCT(1+預測IC!$C20:CW20)-1</f>
        <v>3.5338928470641848</v>
      </c>
      <c r="CX20" s="13">
        <f t="array" ref="CX20">PRODUCT(1+預測IC!$C20:CX20)-1</f>
        <v>3.9432968009438039</v>
      </c>
      <c r="CY20" s="13">
        <f t="array" ref="CY20">PRODUCT(1+預測IC!$C20:CY20)-1</f>
        <v>3.8816057783679785</v>
      </c>
      <c r="CZ20" s="13">
        <f t="array" ref="CZ20">PRODUCT(1+預測IC!$C20:CZ20)-1</f>
        <v>4.6390437619093872</v>
      </c>
      <c r="DA20" s="13">
        <f t="array" ref="DA20">PRODUCT(1+預測IC!$C20:DA20)-1</f>
        <v>4.3713476789466545</v>
      </c>
      <c r="DB20" s="13">
        <f t="array" ref="DB20">PRODUCT(1+預測IC!$C20:DB20)-1</f>
        <v>4.0657034409668977</v>
      </c>
      <c r="DC20" s="13">
        <f t="array" ref="DC20">PRODUCT(1+預測IC!$C20:DC20)-1</f>
        <v>3.8143783454234139</v>
      </c>
      <c r="DD20" s="13">
        <f t="array" ref="DD20">PRODUCT(1+預測IC!$C20:DD20)-1</f>
        <v>3.1013264769042497</v>
      </c>
      <c r="DE20" s="13">
        <f t="array" ref="DE20">PRODUCT(1+預測IC!$C20:DE20)-1</f>
        <v>2.9916165517517599</v>
      </c>
      <c r="DF20" s="13">
        <f t="array" ref="DF20">PRODUCT(1+預測IC!$C20:DF20)-1</f>
        <v>2.995045835480536</v>
      </c>
      <c r="DG20" s="13">
        <f t="array" ref="DG20">PRODUCT(1+預測IC!$C20:DG20)-1</f>
        <v>2.9782578114418117</v>
      </c>
      <c r="DH20" s="13">
        <f t="array" ref="DH20">PRODUCT(1+預測IC!$C20:DH20)-1</f>
        <v>2.9345947939433135</v>
      </c>
      <c r="DI20" s="13">
        <f t="array" ref="DI20">PRODUCT(1+預測IC!$C20:DI20)-1</f>
        <v>2.8445841241594088</v>
      </c>
      <c r="DJ20" s="13">
        <f t="array" ref="DJ20">PRODUCT(1+預測IC!$C20:DJ20)-1</f>
        <v>2.6928770411938592</v>
      </c>
      <c r="DK20" s="13">
        <f t="array" ref="DK20">PRODUCT(1+預測IC!$C20:DK20)-1</f>
        <v>3.0066016488340042</v>
      </c>
      <c r="DL20" s="13">
        <f t="array" ref="DL20">PRODUCT(1+預測IC!$C20:DL20)-1</f>
        <v>3.3104087743724886</v>
      </c>
      <c r="DM20" s="13">
        <f t="array" ref="DM20">PRODUCT(1+預測IC!$C20:DM20)-1</f>
        <v>3.3504251019951798</v>
      </c>
      <c r="DN20" s="13">
        <f t="array" ref="DN20">PRODUCT(1+預測IC!$C20:DN20)-1</f>
        <v>3.6028333150214538</v>
      </c>
      <c r="DO20" s="13">
        <f t="array" ref="DO20">PRODUCT(1+預測IC!$C20:DO20)-1</f>
        <v>3.9057724803761147</v>
      </c>
      <c r="DP20" s="13">
        <f t="array" ref="DP20">PRODUCT(1+預測IC!$C20:DP20)-1</f>
        <v>3.9539988307410034</v>
      </c>
      <c r="DQ20" s="13">
        <f t="array" ref="DQ20">PRODUCT(1+預測IC!$C20:DQ20)-1</f>
        <v>3.0265739975779296</v>
      </c>
      <c r="DR20" s="13">
        <f t="array" ref="DR20">PRODUCT(1+預測IC!$C20:DR20)-1</f>
        <v>3.3427110329285208</v>
      </c>
      <c r="DS20" s="13">
        <f t="array" ref="DS20">PRODUCT(1+預測IC!$C20:DS20)-1</f>
        <v>2.4477603767969809</v>
      </c>
      <c r="DT20" s="13">
        <f t="array" ref="DT20">PRODUCT(1+預測IC!$C20:DT20)-1</f>
        <v>1.9877050761778814</v>
      </c>
      <c r="DU20" s="13">
        <f t="array" ref="DU20">PRODUCT(1+預測IC!$C20:DU20)-1</f>
        <v>1.4736133311255091</v>
      </c>
      <c r="DV20" s="13">
        <f t="array" ref="DV20">PRODUCT(1+預測IC!$C20:DV20)-1</f>
        <v>1.793564014586829</v>
      </c>
      <c r="DW20" s="13">
        <f t="array" ref="DW20">PRODUCT(1+預測IC!$C20:DW20)-1</f>
        <v>1.9864881152040357</v>
      </c>
      <c r="DX20" s="13">
        <f t="array" ref="DX20">PRODUCT(1+預測IC!$C20:DX20)-1</f>
        <v>1.5269681505047097</v>
      </c>
      <c r="DY20" s="13">
        <f t="array" ref="DY20">PRODUCT(1+預測IC!$C20:DY20)-1</f>
        <v>1.6624606686106804</v>
      </c>
      <c r="DZ20" s="13">
        <f t="array" ref="DZ20">PRODUCT(1+預測IC!$C20:DZ20)-1</f>
        <v>1.4375504263636523</v>
      </c>
      <c r="EA20" s="13">
        <f t="array" ref="EA20">PRODUCT(1+預測IC!$C20:EA20)-1</f>
        <v>1.4739114280548344</v>
      </c>
      <c r="EB20" s="13">
        <f t="array" ref="EB20">PRODUCT(1+預測IC!$C20:EB20)-1</f>
        <v>1.5705612926688435</v>
      </c>
      <c r="EC20" s="13">
        <f t="array" ref="EC20">PRODUCT(1+預測IC!$C20:EC20)-1</f>
        <v>1.6580878286830991</v>
      </c>
      <c r="ED20" s="13">
        <f t="array" ref="ED20">PRODUCT(1+預測IC!$C20:ED20)-1</f>
        <v>1.1878219574164031</v>
      </c>
      <c r="EE20" s="13">
        <f t="array" ref="EE20">PRODUCT(1+預測IC!$C20:EE20)-1</f>
        <v>1.1930010372176043</v>
      </c>
      <c r="EF20" s="13">
        <f t="array" ref="EF20">PRODUCT(1+預測IC!$C20:EF20)-1</f>
        <v>1.2374782048925312</v>
      </c>
    </row>
    <row r="21" spans="1:136">
      <c r="A21" s="17">
        <v>4</v>
      </c>
      <c r="B21" s="17" t="s">
        <v>193</v>
      </c>
      <c r="C21" s="13">
        <f t="array" ref="C21">PRODUCT(1+預測IC!$C21:C21)-1</f>
        <v>-0.19764916434148616</v>
      </c>
      <c r="D21" s="13">
        <f t="array" ref="D21">PRODUCT(1+預測IC!$C21:D21)-1</f>
        <v>-9.6240844573442175E-2</v>
      </c>
      <c r="E21" s="13">
        <f t="array" ref="E21">PRODUCT(1+預測IC!$C21:E21)-1</f>
        <v>-9.649331174575948E-2</v>
      </c>
      <c r="F21" s="13">
        <f t="array" ref="F21">PRODUCT(1+預測IC!$C21:F21)-1</f>
        <v>8.7291694232100481E-2</v>
      </c>
      <c r="G21" s="13">
        <f t="array" ref="G21">PRODUCT(1+預測IC!$C21:G21)-1</f>
        <v>7.9358663954446573E-2</v>
      </c>
      <c r="H21" s="13">
        <f t="array" ref="H21">PRODUCT(1+預測IC!$C21:H21)-1</f>
        <v>0.25439178233595539</v>
      </c>
      <c r="I21" s="13">
        <f t="array" ref="I21">PRODUCT(1+預測IC!$C21:I21)-1</f>
        <v>0.27209375916828016</v>
      </c>
      <c r="J21" s="13">
        <f t="array" ref="J21">PRODUCT(1+預測IC!$C21:J21)-1</f>
        <v>9.8145750398970888E-2</v>
      </c>
      <c r="K21" s="13">
        <f t="array" ref="K21">PRODUCT(1+預測IC!$C21:K21)-1</f>
        <v>4.4040949147761133E-4</v>
      </c>
      <c r="L21" s="13">
        <f t="array" ref="L21">PRODUCT(1+預測IC!$C21:L21)-1</f>
        <v>0.11016832088585193</v>
      </c>
      <c r="M21" s="13">
        <f t="array" ref="M21">PRODUCT(1+預測IC!$C21:M21)-1</f>
        <v>-0.11173767393441658</v>
      </c>
      <c r="N21" s="13">
        <f t="array" ref="N21">PRODUCT(1+預測IC!$C21:N21)-1</f>
        <v>0.4077985220892455</v>
      </c>
      <c r="O21" s="13">
        <f t="array" ref="O21">PRODUCT(1+預測IC!$C21:O21)-1</f>
        <v>0.21172421537859121</v>
      </c>
      <c r="P21" s="13">
        <f t="array" ref="P21">PRODUCT(1+預測IC!$C21:P21)-1</f>
        <v>0.266770120103756</v>
      </c>
      <c r="Q21" s="13">
        <f t="array" ref="Q21">PRODUCT(1+預測IC!$C21:Q21)-1</f>
        <v>0.61397375854998404</v>
      </c>
      <c r="R21" s="13">
        <f t="array" ref="R21">PRODUCT(1+預測IC!$C21:R21)-1</f>
        <v>0.75100860401311009</v>
      </c>
      <c r="S21" s="13">
        <f t="array" ref="S21">PRODUCT(1+預測IC!$C21:S21)-1</f>
        <v>0.68698866518533386</v>
      </c>
      <c r="T21" s="13">
        <f t="array" ref="T21">PRODUCT(1+預測IC!$C21:T21)-1</f>
        <v>0.46579071140623296</v>
      </c>
      <c r="U21" s="13">
        <f t="array" ref="U21">PRODUCT(1+預測IC!$C21:U21)-1</f>
        <v>0.45138675253292182</v>
      </c>
      <c r="V21" s="13">
        <f t="array" ref="V21">PRODUCT(1+預測IC!$C21:V21)-1</f>
        <v>0.2601661850400212</v>
      </c>
      <c r="W21" s="13">
        <f t="array" ref="W21">PRODUCT(1+預測IC!$C21:W21)-1</f>
        <v>0.41705529986977274</v>
      </c>
      <c r="X21" s="13">
        <f t="array" ref="X21">PRODUCT(1+預測IC!$C21:X21)-1</f>
        <v>0.71152080823801134</v>
      </c>
      <c r="Y21" s="13">
        <f t="array" ref="Y21">PRODUCT(1+預測IC!$C21:Y21)-1</f>
        <v>0.69415315083641627</v>
      </c>
      <c r="Z21" s="13">
        <f t="array" ref="Z21">PRODUCT(1+預測IC!$C21:Z21)-1</f>
        <v>0.76100274001527035</v>
      </c>
      <c r="AA21" s="13">
        <f t="array" ref="AA21">PRODUCT(1+預測IC!$C21:AA21)-1</f>
        <v>0.79532652109513258</v>
      </c>
      <c r="AB21" s="13">
        <f t="array" ref="AB21">PRODUCT(1+預測IC!$C21:AB21)-1</f>
        <v>0.67811503851239463</v>
      </c>
      <c r="AC21" s="13">
        <f t="array" ref="AC21">PRODUCT(1+預測IC!$C21:AC21)-1</f>
        <v>0.41038646762432918</v>
      </c>
      <c r="AD21" s="13">
        <f t="array" ref="AD21">PRODUCT(1+預測IC!$C21:AD21)-1</f>
        <v>0.34452505196222871</v>
      </c>
      <c r="AE21" s="13">
        <f t="array" ref="AE21">PRODUCT(1+預測IC!$C21:AE21)-1</f>
        <v>0.35838811364174816</v>
      </c>
      <c r="AF21" s="13">
        <f t="array" ref="AF21">PRODUCT(1+預測IC!$C21:AF21)-1</f>
        <v>0.28622291664187238</v>
      </c>
      <c r="AG21" s="13">
        <f t="array" ref="AG21">PRODUCT(1+預測IC!$C21:AG21)-1</f>
        <v>0.27263011285880112</v>
      </c>
      <c r="AH21" s="13">
        <f t="array" ref="AH21">PRODUCT(1+預測IC!$C21:AH21)-1</f>
        <v>0.40954139444114412</v>
      </c>
      <c r="AI21" s="13">
        <f t="array" ref="AI21">PRODUCT(1+預測IC!$C21:AI21)-1</f>
        <v>0.55348975219240004</v>
      </c>
      <c r="AJ21" s="13">
        <f t="array" ref="AJ21">PRODUCT(1+預測IC!$C21:AJ21)-1</f>
        <v>0.56154226632288928</v>
      </c>
      <c r="AK21" s="13">
        <f t="array" ref="AK21">PRODUCT(1+預測IC!$C21:AK21)-1</f>
        <v>0.72548936963526267</v>
      </c>
      <c r="AL21" s="13">
        <f t="array" ref="AL21">PRODUCT(1+預測IC!$C21:AL21)-1</f>
        <v>0.83830155874988299</v>
      </c>
      <c r="AM21" s="13">
        <f t="array" ref="AM21">PRODUCT(1+預測IC!$C21:AM21)-1</f>
        <v>0.96429104041104408</v>
      </c>
      <c r="AN21" s="13">
        <f t="array" ref="AN21">PRODUCT(1+預測IC!$C21:AN21)-1</f>
        <v>1.184205318255537</v>
      </c>
      <c r="AO21" s="13">
        <f t="array" ref="AO21">PRODUCT(1+預測IC!$C21:AO21)-1</f>
        <v>1.2884495654417325</v>
      </c>
      <c r="AP21" s="13">
        <f t="array" ref="AP21">PRODUCT(1+預測IC!$C21:AP21)-1</f>
        <v>1.3318013818970695</v>
      </c>
      <c r="AQ21" s="13">
        <f t="array" ref="AQ21">PRODUCT(1+預測IC!$C21:AQ21)-1</f>
        <v>1.5110364773644838</v>
      </c>
      <c r="AR21" s="13">
        <f t="array" ref="AR21">PRODUCT(1+預測IC!$C21:AR21)-1</f>
        <v>2.0262566625099709</v>
      </c>
      <c r="AS21" s="13">
        <f t="array" ref="AS21">PRODUCT(1+預測IC!$C21:AS21)-1</f>
        <v>2.2213166644397009</v>
      </c>
      <c r="AT21" s="13">
        <f t="array" ref="AT21">PRODUCT(1+預測IC!$C21:AT21)-1</f>
        <v>2.2132862077996318</v>
      </c>
      <c r="AU21" s="13">
        <f t="array" ref="AU21">PRODUCT(1+預測IC!$C21:AU21)-1</f>
        <v>2.3669122373273463</v>
      </c>
      <c r="AV21" s="13">
        <f t="array" ref="AV21">PRODUCT(1+預測IC!$C21:AV21)-1</f>
        <v>2.1799786435101884</v>
      </c>
      <c r="AW21" s="13">
        <f t="array" ref="AW21">PRODUCT(1+預測IC!$C21:AW21)-1</f>
        <v>2.2111139096621866</v>
      </c>
      <c r="AX21" s="13">
        <f t="array" ref="AX21">PRODUCT(1+預測IC!$C21:AX21)-1</f>
        <v>2.4230747221681228</v>
      </c>
      <c r="AY21" s="13">
        <f t="array" ref="AY21">PRODUCT(1+預測IC!$C21:AY21)-1</f>
        <v>2.5840321147187568</v>
      </c>
      <c r="AZ21" s="13">
        <f t="array" ref="AZ21">PRODUCT(1+預測IC!$C21:AZ21)-1</f>
        <v>1.6704219370036792</v>
      </c>
      <c r="BA21" s="13">
        <f t="array" ref="BA21">PRODUCT(1+預測IC!$C21:BA21)-1</f>
        <v>1.4807360408974004</v>
      </c>
      <c r="BB21" s="13">
        <f t="array" ref="BB21">PRODUCT(1+預測IC!$C21:BB21)-1</f>
        <v>2.0397603197639382</v>
      </c>
      <c r="BC21" s="13">
        <f t="array" ref="BC21">PRODUCT(1+預測IC!$C21:BC21)-1</f>
        <v>2.1562474240267946</v>
      </c>
      <c r="BD21" s="13">
        <f t="array" ref="BD21">PRODUCT(1+預測IC!$C21:BD21)-1</f>
        <v>2.0875963175428915</v>
      </c>
      <c r="BE21" s="13">
        <f t="array" ref="BE21">PRODUCT(1+預測IC!$C21:BE21)-1</f>
        <v>2.1072042010751413</v>
      </c>
      <c r="BF21" s="13">
        <f t="array" ref="BF21">PRODUCT(1+預測IC!$C21:BF21)-1</f>
        <v>2.1183189817834549</v>
      </c>
      <c r="BG21" s="13">
        <f t="array" ref="BG21">PRODUCT(1+預測IC!$C21:BG21)-1</f>
        <v>2.2325591877194704</v>
      </c>
      <c r="BH21" s="13">
        <f t="array" ref="BH21">PRODUCT(1+預測IC!$C21:BH21)-1</f>
        <v>1.9858458640860128</v>
      </c>
      <c r="BI21" s="13">
        <f t="array" ref="BI21">PRODUCT(1+預測IC!$C21:BI21)-1</f>
        <v>2.4814054963992898</v>
      </c>
      <c r="BJ21" s="13">
        <f t="array" ref="BJ21">PRODUCT(1+預測IC!$C21:BJ21)-1</f>
        <v>2.5634936477480643</v>
      </c>
      <c r="BK21" s="13">
        <f t="array" ref="BK21">PRODUCT(1+預測IC!$C21:BK21)-1</f>
        <v>2.319572933826477</v>
      </c>
      <c r="BL21" s="13">
        <f t="array" ref="BL21">PRODUCT(1+預測IC!$C21:BL21)-1</f>
        <v>2.7933460100614407</v>
      </c>
      <c r="BM21" s="13">
        <f t="array" ref="BM21">PRODUCT(1+預測IC!$C21:BM21)-1</f>
        <v>3.3817698580162601</v>
      </c>
      <c r="BN21" s="13">
        <f t="array" ref="BN21">PRODUCT(1+預測IC!$C21:BN21)-1</f>
        <v>3.6606605180532794</v>
      </c>
      <c r="BO21" s="13">
        <f t="array" ref="BO21">PRODUCT(1+預測IC!$C21:BO21)-1</f>
        <v>3.3630436175080458</v>
      </c>
      <c r="BP21" s="13">
        <f t="array" ref="BP21">PRODUCT(1+預測IC!$C21:BP21)-1</f>
        <v>3.8190215075927432</v>
      </c>
      <c r="BQ21" s="13">
        <f t="array" ref="BQ21">PRODUCT(1+預測IC!$C21:BQ21)-1</f>
        <v>4.0818616910563108</v>
      </c>
      <c r="BR21" s="13">
        <f t="array" ref="BR21">PRODUCT(1+預測IC!$C21:BR21)-1</f>
        <v>4.1444898541743491</v>
      </c>
      <c r="BS21" s="13">
        <f t="array" ref="BS21">PRODUCT(1+預測IC!$C21:BS21)-1</f>
        <v>4.1746374534570618</v>
      </c>
      <c r="BT21" s="13">
        <f t="array" ref="BT21">PRODUCT(1+預測IC!$C21:BT21)-1</f>
        <v>4.8589557999181814</v>
      </c>
      <c r="BU21" s="13">
        <f t="array" ref="BU21">PRODUCT(1+預測IC!$C21:BU21)-1</f>
        <v>5.6528235829848832</v>
      </c>
      <c r="BV21" s="13">
        <f t="array" ref="BV21">PRODUCT(1+預測IC!$C21:BV21)-1</f>
        <v>6.5984758867748914</v>
      </c>
      <c r="BW21" s="13">
        <f t="array" ref="BW21">PRODUCT(1+預測IC!$C21:BW21)-1</f>
        <v>5.4839375457672332</v>
      </c>
      <c r="BX21" s="13">
        <f t="array" ref="BX21">PRODUCT(1+預測IC!$C21:BX21)-1</f>
        <v>5.4645452603164175</v>
      </c>
      <c r="BY21" s="13">
        <f t="array" ref="BY21">PRODUCT(1+預測IC!$C21:BY21)-1</f>
        <v>5.1388624319088958</v>
      </c>
      <c r="BZ21" s="13">
        <f t="array" ref="BZ21">PRODUCT(1+預測IC!$C21:BZ21)-1</f>
        <v>5.431458594427248</v>
      </c>
      <c r="CA21" s="13">
        <f t="array" ref="CA21">PRODUCT(1+預測IC!$C21:CA21)-1</f>
        <v>6.0428330484135016</v>
      </c>
      <c r="CB21" s="13">
        <f t="array" ref="CB21">PRODUCT(1+預測IC!$C21:CB21)-1</f>
        <v>5.5961667785060474</v>
      </c>
      <c r="CC21" s="13">
        <f t="array" ref="CC21">PRODUCT(1+預測IC!$C21:CC21)-1</f>
        <v>5.2881683387283447</v>
      </c>
      <c r="CD21" s="13">
        <f t="array" ref="CD21">PRODUCT(1+預測IC!$C21:CD21)-1</f>
        <v>7.0995133624311428</v>
      </c>
      <c r="CE21" s="13">
        <f t="array" ref="CE21">PRODUCT(1+預測IC!$C21:CE21)-1</f>
        <v>3.8995904872604292</v>
      </c>
      <c r="CF21" s="13">
        <f t="array" ref="CF21">PRODUCT(1+預測IC!$C21:CF21)-1</f>
        <v>4.5427385486187646</v>
      </c>
      <c r="CG21" s="13">
        <f t="array" ref="CG21">PRODUCT(1+預測IC!$C21:CG21)-1</f>
        <v>3.7459632910646716</v>
      </c>
      <c r="CH21" s="13">
        <f t="array" ref="CH21">PRODUCT(1+預測IC!$C21:CH21)-1</f>
        <v>4.1261164744948662</v>
      </c>
      <c r="CI21" s="13">
        <f t="array" ref="CI21">PRODUCT(1+預測IC!$C21:CI21)-1</f>
        <v>3.7134660647225344</v>
      </c>
      <c r="CJ21" s="13">
        <f t="array" ref="CJ21">PRODUCT(1+預測IC!$C21:CJ21)-1</f>
        <v>3.3098625378269437</v>
      </c>
      <c r="CK21" s="13">
        <f t="array" ref="CK21">PRODUCT(1+預測IC!$C21:CK21)-1</f>
        <v>3.8574329295895806</v>
      </c>
      <c r="CL21" s="13">
        <f t="array" ref="CL21">PRODUCT(1+預測IC!$C21:CL21)-1</f>
        <v>3.2070691720692608</v>
      </c>
      <c r="CM21" s="13">
        <f t="array" ref="CM21">PRODUCT(1+預測IC!$C21:CM21)-1</f>
        <v>4.1557758427905762</v>
      </c>
      <c r="CN21" s="13">
        <f t="array" ref="CN21">PRODUCT(1+預測IC!$C21:CN21)-1</f>
        <v>4.313227515168836</v>
      </c>
      <c r="CO21" s="13">
        <f t="array" ref="CO21">PRODUCT(1+預測IC!$C21:CO21)-1</f>
        <v>1.5776313097158638</v>
      </c>
      <c r="CP21" s="13">
        <f t="array" ref="CP21">PRODUCT(1+預測IC!$C21:CP21)-1</f>
        <v>2.1516699593104005</v>
      </c>
      <c r="CQ21" s="13">
        <f t="array" ref="CQ21">PRODUCT(1+預測IC!$C21:CQ21)-1</f>
        <v>2.1620329392238262</v>
      </c>
      <c r="CR21" s="13">
        <f t="array" ref="CR21">PRODUCT(1+預測IC!$C21:CR21)-1</f>
        <v>2.4492222978767946</v>
      </c>
      <c r="CS21" s="13">
        <f t="array" ref="CS21">PRODUCT(1+預測IC!$C21:CS21)-1</f>
        <v>2.689448200433</v>
      </c>
      <c r="CT21" s="13">
        <f t="array" ref="CT21">PRODUCT(1+預測IC!$C21:CT21)-1</f>
        <v>2.9930634920939028</v>
      </c>
      <c r="CU21" s="13">
        <f t="array" ref="CU21">PRODUCT(1+預測IC!$C21:CU21)-1</f>
        <v>2.7428039870615564</v>
      </c>
      <c r="CV21" s="13">
        <f t="array" ref="CV21">PRODUCT(1+預測IC!$C21:CV21)-1</f>
        <v>3.1104432742228454</v>
      </c>
      <c r="CW21" s="13">
        <f t="array" ref="CW21">PRODUCT(1+預測IC!$C21:CW21)-1</f>
        <v>3.3776443544735351</v>
      </c>
      <c r="CX21" s="13">
        <f t="array" ref="CX21">PRODUCT(1+預測IC!$C21:CX21)-1</f>
        <v>3.8246989202067381</v>
      </c>
      <c r="CY21" s="13">
        <f t="array" ref="CY21">PRODUCT(1+預測IC!$C21:CY21)-1</f>
        <v>3.7837762272914883</v>
      </c>
      <c r="CZ21" s="13">
        <f t="array" ref="CZ21">PRODUCT(1+預測IC!$C21:CZ21)-1</f>
        <v>4.91969045018587</v>
      </c>
      <c r="DA21" s="13">
        <f t="array" ref="DA21">PRODUCT(1+預測IC!$C21:DA21)-1</f>
        <v>4.9267482393469573</v>
      </c>
      <c r="DB21" s="13">
        <f t="array" ref="DB21">PRODUCT(1+預測IC!$C21:DB21)-1</f>
        <v>4.6207832179495245</v>
      </c>
      <c r="DC21" s="13">
        <f t="array" ref="DC21">PRODUCT(1+預測IC!$C21:DC21)-1</f>
        <v>4.3675806530576651</v>
      </c>
      <c r="DD21" s="13">
        <f t="array" ref="DD21">PRODUCT(1+預測IC!$C21:DD21)-1</f>
        <v>5.01878997060596</v>
      </c>
      <c r="DE21" s="13">
        <f t="array" ref="DE21">PRODUCT(1+預測IC!$C21:DE21)-1</f>
        <v>5.0924485758365208</v>
      </c>
      <c r="DF21" s="13">
        <f t="array" ref="DF21">PRODUCT(1+預測IC!$C21:DF21)-1</f>
        <v>5.2238071327380693</v>
      </c>
      <c r="DG21" s="13">
        <f t="array" ref="DG21">PRODUCT(1+預測IC!$C21:DG21)-1</f>
        <v>5.2726414769005956</v>
      </c>
      <c r="DH21" s="13">
        <f t="array" ref="DH21">PRODUCT(1+預測IC!$C21:DH21)-1</f>
        <v>5.3609403232281112</v>
      </c>
      <c r="DI21" s="13">
        <f t="array" ref="DI21">PRODUCT(1+預測IC!$C21:DI21)-1</f>
        <v>5.5798042392411009</v>
      </c>
      <c r="DJ21" s="13">
        <f t="array" ref="DJ21">PRODUCT(1+預測IC!$C21:DJ21)-1</f>
        <v>5.3303552199946571</v>
      </c>
      <c r="DK21" s="13">
        <f t="array" ref="DK21">PRODUCT(1+預測IC!$C21:DK21)-1</f>
        <v>6.2134569083090936</v>
      </c>
      <c r="DL21" s="13">
        <f t="array" ref="DL21">PRODUCT(1+預測IC!$C21:DL21)-1</f>
        <v>6.9230081559153964</v>
      </c>
      <c r="DM21" s="13">
        <f t="array" ref="DM21">PRODUCT(1+預測IC!$C21:DM21)-1</f>
        <v>6.6866321826653712</v>
      </c>
      <c r="DN21" s="13">
        <f t="array" ref="DN21">PRODUCT(1+預測IC!$C21:DN21)-1</f>
        <v>7.2339020421906355</v>
      </c>
      <c r="DO21" s="13">
        <f t="array" ref="DO21">PRODUCT(1+預測IC!$C21:DO21)-1</f>
        <v>7.9127526200322453</v>
      </c>
      <c r="DP21" s="13">
        <f t="array" ref="DP21">PRODUCT(1+預測IC!$C21:DP21)-1</f>
        <v>8.1290308574205348</v>
      </c>
      <c r="DQ21" s="13">
        <f t="array" ref="DQ21">PRODUCT(1+預測IC!$C21:DQ21)-1</f>
        <v>6.7163937952448771</v>
      </c>
      <c r="DR21" s="13">
        <f t="array" ref="DR21">PRODUCT(1+預測IC!$C21:DR21)-1</f>
        <v>7.1035319006207107</v>
      </c>
      <c r="DS21" s="13">
        <f t="array" ref="DS21">PRODUCT(1+預測IC!$C21:DS21)-1</f>
        <v>5.4760228174763075</v>
      </c>
      <c r="DT21" s="13">
        <f t="array" ref="DT21">PRODUCT(1+預測IC!$C21:DT21)-1</f>
        <v>4.3714024072900148</v>
      </c>
      <c r="DU21" s="13">
        <f t="array" ref="DU21">PRODUCT(1+預測IC!$C21:DU21)-1</f>
        <v>4.2205181344963822</v>
      </c>
      <c r="DV21" s="13">
        <f t="array" ref="DV21">PRODUCT(1+預測IC!$C21:DV21)-1</f>
        <v>4.9528314155797757</v>
      </c>
      <c r="DW21" s="13">
        <f t="array" ref="DW21">PRODUCT(1+預測IC!$C21:DW21)-1</f>
        <v>5.7162693571447045</v>
      </c>
      <c r="DX21" s="13">
        <f t="array" ref="DX21">PRODUCT(1+預測IC!$C21:DX21)-1</f>
        <v>4.4672701723828538</v>
      </c>
      <c r="DY21" s="13">
        <f t="array" ref="DY21">PRODUCT(1+預測IC!$C21:DY21)-1</f>
        <v>4.6017431251479106</v>
      </c>
      <c r="DZ21" s="13">
        <f t="array" ref="DZ21">PRODUCT(1+預測IC!$C21:DZ21)-1</f>
        <v>4.3057242385889536</v>
      </c>
      <c r="EA21" s="13">
        <f t="array" ref="EA21">PRODUCT(1+預測IC!$C21:EA21)-1</f>
        <v>4.1737946334291509</v>
      </c>
      <c r="EB21" s="13">
        <f t="array" ref="EB21">PRODUCT(1+預測IC!$C21:EB21)-1</f>
        <v>4.2172966549636159</v>
      </c>
      <c r="EC21" s="13">
        <f t="array" ref="EC21">PRODUCT(1+預測IC!$C21:EC21)-1</f>
        <v>4.2905321355721702</v>
      </c>
      <c r="ED21" s="13">
        <f t="array" ref="ED21">PRODUCT(1+預測IC!$C21:ED21)-1</f>
        <v>4.0022041847101892</v>
      </c>
      <c r="EE21" s="13">
        <f t="array" ref="EE21">PRODUCT(1+預測IC!$C21:EE21)-1</f>
        <v>4.0743802491074819</v>
      </c>
      <c r="EF21" s="13">
        <f t="array" ref="EF21">PRODUCT(1+預測IC!$C21:EF21)-1</f>
        <v>3.9791277176013713</v>
      </c>
    </row>
    <row r="22" spans="1:136">
      <c r="A22" s="17">
        <v>3</v>
      </c>
      <c r="B22" s="17" t="s">
        <v>194</v>
      </c>
      <c r="C22" s="13">
        <f t="array" ref="C22">PRODUCT(1+預測IC!$C22:C22)-1</f>
        <v>6.4235717628454703E-2</v>
      </c>
      <c r="D22" s="13">
        <f t="array" ref="D22">PRODUCT(1+預測IC!$C22:D22)-1</f>
        <v>0.21581410139979695</v>
      </c>
      <c r="E22" s="13">
        <f t="array" ref="E22">PRODUCT(1+預測IC!$C22:E22)-1</f>
        <v>0.16593224944781282</v>
      </c>
      <c r="F22" s="13">
        <f t="array" ref="F22">PRODUCT(1+預測IC!$C22:F22)-1</f>
        <v>2.8556375820461E-3</v>
      </c>
      <c r="G22" s="13">
        <f t="array" ref="G22">PRODUCT(1+預測IC!$C22:G22)-1</f>
        <v>-3.0193293702389878E-2</v>
      </c>
      <c r="H22" s="13">
        <f t="array" ref="H22">PRODUCT(1+預測IC!$C22:H22)-1</f>
        <v>9.0235363472234598E-2</v>
      </c>
      <c r="I22" s="13">
        <f t="array" ref="I22">PRODUCT(1+預測IC!$C22:I22)-1</f>
        <v>0.10924834138761486</v>
      </c>
      <c r="J22" s="13">
        <f t="array" ref="J22">PRODUCT(1+預測IC!$C22:J22)-1</f>
        <v>-6.3930166987268278E-3</v>
      </c>
      <c r="K22" s="13">
        <f t="array" ref="K22">PRODUCT(1+預測IC!$C22:K22)-1</f>
        <v>-0.15869982246874803</v>
      </c>
      <c r="L22" s="13">
        <f t="array" ref="L22">PRODUCT(1+預測IC!$C22:L22)-1</f>
        <v>-1.46832317933413E-2</v>
      </c>
      <c r="M22" s="13">
        <f t="array" ref="M22">PRODUCT(1+預測IC!$C22:M22)-1</f>
        <v>-0.19663511059961025</v>
      </c>
      <c r="N22" s="13">
        <f t="array" ref="N22">PRODUCT(1+預測IC!$C22:N22)-1</f>
        <v>0.41082309138967554</v>
      </c>
      <c r="O22" s="13">
        <f t="array" ref="O22">PRODUCT(1+預測IC!$C22:O22)-1</f>
        <v>0.317084713277199</v>
      </c>
      <c r="P22" s="13">
        <f t="array" ref="P22">PRODUCT(1+預測IC!$C22:P22)-1</f>
        <v>0.43645253986974941</v>
      </c>
      <c r="Q22" s="13">
        <f t="array" ref="Q22">PRODUCT(1+預測IC!$C22:Q22)-1</f>
        <v>0.61927655806415838</v>
      </c>
      <c r="R22" s="13">
        <f t="array" ref="R22">PRODUCT(1+預測IC!$C22:R22)-1</f>
        <v>0.72727852617506916</v>
      </c>
      <c r="S22" s="13">
        <f t="array" ref="S22">PRODUCT(1+預測IC!$C22:S22)-1</f>
        <v>0.65951335927666022</v>
      </c>
      <c r="T22" s="13">
        <f t="array" ref="T22">PRODUCT(1+預測IC!$C22:T22)-1</f>
        <v>0.48551670258322077</v>
      </c>
      <c r="U22" s="13">
        <f t="array" ref="U22">PRODUCT(1+預測IC!$C22:U22)-1</f>
        <v>0.56348305637383267</v>
      </c>
      <c r="V22" s="13">
        <f t="array" ref="V22">PRODUCT(1+預測IC!$C22:V22)-1</f>
        <v>0.2888984292422534</v>
      </c>
      <c r="W22" s="13">
        <f t="array" ref="W22">PRODUCT(1+預測IC!$C22:W22)-1</f>
        <v>0.49260624818713294</v>
      </c>
      <c r="X22" s="13">
        <f t="array" ref="X22">PRODUCT(1+預測IC!$C22:X22)-1</f>
        <v>0.87650756043335987</v>
      </c>
      <c r="Y22" s="13">
        <f t="array" ref="Y22">PRODUCT(1+預測IC!$C22:Y22)-1</f>
        <v>0.74541974628164653</v>
      </c>
      <c r="Z22" s="13">
        <f t="array" ref="Z22">PRODUCT(1+預測IC!$C22:Z22)-1</f>
        <v>0.78707942478589676</v>
      </c>
      <c r="AA22" s="13">
        <f t="array" ref="AA22">PRODUCT(1+預測IC!$C22:AA22)-1</f>
        <v>0.79967479074994197</v>
      </c>
      <c r="AB22" s="13">
        <f t="array" ref="AB22">PRODUCT(1+預測IC!$C22:AB22)-1</f>
        <v>0.7307952375919724</v>
      </c>
      <c r="AC22" s="13">
        <f t="array" ref="AC22">PRODUCT(1+預測IC!$C22:AC22)-1</f>
        <v>0.42407870581131557</v>
      </c>
      <c r="AD22" s="13">
        <f t="array" ref="AD22">PRODUCT(1+預測IC!$C22:AD22)-1</f>
        <v>0.40632428555924882</v>
      </c>
      <c r="AE22" s="13">
        <f t="array" ref="AE22">PRODUCT(1+預測IC!$C22:AE22)-1</f>
        <v>0.28657717896816437</v>
      </c>
      <c r="AF22" s="13">
        <f t="array" ref="AF22">PRODUCT(1+預測IC!$C22:AF22)-1</f>
        <v>0.22587348774838967</v>
      </c>
      <c r="AG22" s="13">
        <f t="array" ref="AG22">PRODUCT(1+預測IC!$C22:AG22)-1</f>
        <v>0.16951967489210018</v>
      </c>
      <c r="AH22" s="13">
        <f t="array" ref="AH22">PRODUCT(1+預測IC!$C22:AH22)-1</f>
        <v>0.29333199733567161</v>
      </c>
      <c r="AI22" s="13">
        <f t="array" ref="AI22">PRODUCT(1+預測IC!$C22:AI22)-1</f>
        <v>0.43689788458925194</v>
      </c>
      <c r="AJ22" s="13">
        <f t="array" ref="AJ22">PRODUCT(1+預測IC!$C22:AJ22)-1</f>
        <v>0.45569442478352529</v>
      </c>
      <c r="AK22" s="13">
        <f t="array" ref="AK22">PRODUCT(1+預測IC!$C22:AK22)-1</f>
        <v>0.35631901871830318</v>
      </c>
      <c r="AL22" s="13">
        <f t="array" ref="AL22">PRODUCT(1+預測IC!$C22:AL22)-1</f>
        <v>0.4110342392319859</v>
      </c>
      <c r="AM22" s="13">
        <f t="array" ref="AM22">PRODUCT(1+預測IC!$C22:AM22)-1</f>
        <v>0.52968656116438884</v>
      </c>
      <c r="AN22" s="13">
        <f t="array" ref="AN22">PRODUCT(1+預測IC!$C22:AN22)-1</f>
        <v>0.69968492661117554</v>
      </c>
      <c r="AO22" s="13">
        <f t="array" ref="AO22">PRODUCT(1+預測IC!$C22:AO22)-1</f>
        <v>0.82668091992443604</v>
      </c>
      <c r="AP22" s="13">
        <f t="array" ref="AP22">PRODUCT(1+預測IC!$C22:AP22)-1</f>
        <v>0.86411570091008727</v>
      </c>
      <c r="AQ22" s="13">
        <f t="array" ref="AQ22">PRODUCT(1+預測IC!$C22:AQ22)-1</f>
        <v>1.0121751735642617</v>
      </c>
      <c r="AR22" s="13">
        <f t="array" ref="AR22">PRODUCT(1+預測IC!$C22:AR22)-1</f>
        <v>1.5162908087211244</v>
      </c>
      <c r="AS22" s="13">
        <f t="array" ref="AS22">PRODUCT(1+預測IC!$C22:AS22)-1</f>
        <v>1.7246659549877079</v>
      </c>
      <c r="AT22" s="13">
        <f t="array" ref="AT22">PRODUCT(1+預測IC!$C22:AT22)-1</f>
        <v>1.6561777656499359</v>
      </c>
      <c r="AU22" s="13">
        <f t="array" ref="AU22">PRODUCT(1+預測IC!$C22:AU22)-1</f>
        <v>1.7451609211548136</v>
      </c>
      <c r="AV22" s="13">
        <f t="array" ref="AV22">PRODUCT(1+預測IC!$C22:AV22)-1</f>
        <v>1.5809641259740594</v>
      </c>
      <c r="AW22" s="13">
        <f t="array" ref="AW22">PRODUCT(1+預測IC!$C22:AW22)-1</f>
        <v>1.50314963401074</v>
      </c>
      <c r="AX22" s="13">
        <f t="array" ref="AX22">PRODUCT(1+預測IC!$C22:AX22)-1</f>
        <v>1.2334160701322219</v>
      </c>
      <c r="AY22" s="13">
        <f t="array" ref="AY22">PRODUCT(1+預測IC!$C22:AY22)-1</f>
        <v>1.3936265657026796</v>
      </c>
      <c r="AZ22" s="13">
        <f t="array" ref="AZ22">PRODUCT(1+預測IC!$C22:AZ22)-1</f>
        <v>1.0228447667854512</v>
      </c>
      <c r="BA22" s="13">
        <f t="array" ref="BA22">PRODUCT(1+預測IC!$C22:BA22)-1</f>
        <v>0.93060623106179285</v>
      </c>
      <c r="BB22" s="13">
        <f t="array" ref="BB22">PRODUCT(1+預測IC!$C22:BB22)-1</f>
        <v>1.5135140633356752</v>
      </c>
      <c r="BC22" s="13">
        <f t="array" ref="BC22">PRODUCT(1+預測IC!$C22:BC22)-1</f>
        <v>1.1846535793598481</v>
      </c>
      <c r="BD22" s="13">
        <f t="array" ref="BD22">PRODUCT(1+預測IC!$C22:BD22)-1</f>
        <v>1.1362106744511515</v>
      </c>
      <c r="BE22" s="13">
        <f t="array" ref="BE22">PRODUCT(1+預測IC!$C22:BE22)-1</f>
        <v>1.1836691225640052</v>
      </c>
      <c r="BF22" s="13">
        <f t="array" ref="BF22">PRODUCT(1+預測IC!$C22:BF22)-1</f>
        <v>1.2134517868539842</v>
      </c>
      <c r="BG22" s="13">
        <f t="array" ref="BG22">PRODUCT(1+預測IC!$C22:BG22)-1</f>
        <v>1.315889255757829</v>
      </c>
      <c r="BH22" s="13">
        <f t="array" ref="BH22">PRODUCT(1+預測IC!$C22:BH22)-1</f>
        <v>1.0195468105960046</v>
      </c>
      <c r="BI22" s="13">
        <f t="array" ref="BI22">PRODUCT(1+預測IC!$C22:BI22)-1</f>
        <v>1.2438956795734768</v>
      </c>
      <c r="BJ22" s="13">
        <f t="array" ref="BJ22">PRODUCT(1+預測IC!$C22:BJ22)-1</f>
        <v>1.3673018979222089</v>
      </c>
      <c r="BK22" s="13">
        <f t="array" ref="BK22">PRODUCT(1+預測IC!$C22:BK22)-1</f>
        <v>1.2682548483680693</v>
      </c>
      <c r="BL22" s="13">
        <f t="array" ref="BL22">PRODUCT(1+預測IC!$C22:BL22)-1</f>
        <v>1.6352138868365755</v>
      </c>
      <c r="BM22" s="13">
        <f t="array" ref="BM22">PRODUCT(1+預測IC!$C22:BM22)-1</f>
        <v>2.1406401086652935</v>
      </c>
      <c r="BN22" s="13">
        <f t="array" ref="BN22">PRODUCT(1+預測IC!$C22:BN22)-1</f>
        <v>2.0925017840140732</v>
      </c>
      <c r="BO22" s="13">
        <f t="array" ref="BO22">PRODUCT(1+預測IC!$C22:BO22)-1</f>
        <v>1.9363785969179603</v>
      </c>
      <c r="BP22" s="13">
        <f t="array" ref="BP22">PRODUCT(1+預測IC!$C22:BP22)-1</f>
        <v>2.1561241046819952</v>
      </c>
      <c r="BQ22" s="13">
        <f t="array" ref="BQ22">PRODUCT(1+預測IC!$C22:BQ22)-1</f>
        <v>2.2439593459164571</v>
      </c>
      <c r="BR22" s="13">
        <f t="array" ref="BR22">PRODUCT(1+預測IC!$C22:BR22)-1</f>
        <v>2.3114778488674119</v>
      </c>
      <c r="BS22" s="13">
        <f t="array" ref="BS22">PRODUCT(1+預測IC!$C22:BS22)-1</f>
        <v>2.2572597427023147</v>
      </c>
      <c r="BT22" s="13">
        <f t="array" ref="BT22">PRODUCT(1+預測IC!$C22:BT22)-1</f>
        <v>2.6824321478670652</v>
      </c>
      <c r="BU22" s="13">
        <f t="array" ref="BU22">PRODUCT(1+預測IC!$C22:BU22)-1</f>
        <v>3.4666015301422997</v>
      </c>
      <c r="BV22" s="13">
        <f t="array" ref="BV22">PRODUCT(1+預測IC!$C22:BV22)-1</f>
        <v>4.1747542798482984</v>
      </c>
      <c r="BW22" s="13">
        <f t="array" ref="BW22">PRODUCT(1+預測IC!$C22:BW22)-1</f>
        <v>3.2708877226427386</v>
      </c>
      <c r="BX22" s="13">
        <f t="array" ref="BX22">PRODUCT(1+預測IC!$C22:BX22)-1</f>
        <v>3.427362139637574</v>
      </c>
      <c r="BY22" s="13">
        <f t="array" ref="BY22">PRODUCT(1+預測IC!$C22:BY22)-1</f>
        <v>3.4063463972331602</v>
      </c>
      <c r="BZ22" s="13">
        <f t="array" ref="BZ22">PRODUCT(1+預測IC!$C22:BZ22)-1</f>
        <v>3.6145803513940109</v>
      </c>
      <c r="CA22" s="13">
        <f t="array" ref="CA22">PRODUCT(1+預測IC!$C22:CA22)-1</f>
        <v>4.2794506266163106</v>
      </c>
      <c r="CB22" s="13">
        <f t="array" ref="CB22">PRODUCT(1+預測IC!$C22:CB22)-1</f>
        <v>3.492847970419235</v>
      </c>
      <c r="CC22" s="13">
        <f t="array" ref="CC22">PRODUCT(1+預測IC!$C22:CC22)-1</f>
        <v>3.4255194831418097</v>
      </c>
      <c r="CD22" s="13">
        <f t="array" ref="CD22">PRODUCT(1+預測IC!$C22:CD22)-1</f>
        <v>4.9031032396071019</v>
      </c>
      <c r="CE22" s="13">
        <f t="array" ref="CE22">PRODUCT(1+預測IC!$C22:CE22)-1</f>
        <v>2.5808971637202198</v>
      </c>
      <c r="CF22" s="13">
        <f t="array" ref="CF22">PRODUCT(1+預測IC!$C22:CF22)-1</f>
        <v>3.2569697810601825</v>
      </c>
      <c r="CG22" s="13">
        <f t="array" ref="CG22">PRODUCT(1+預測IC!$C22:CG22)-1</f>
        <v>2.3916849399489197</v>
      </c>
      <c r="CH22" s="13">
        <f t="array" ref="CH22">PRODUCT(1+預測IC!$C22:CH22)-1</f>
        <v>2.7848448907548078</v>
      </c>
      <c r="CI22" s="13">
        <f t="array" ref="CI22">PRODUCT(1+預測IC!$C22:CI22)-1</f>
        <v>2.3390668198187625</v>
      </c>
      <c r="CJ22" s="13">
        <f t="array" ref="CJ22">PRODUCT(1+預測IC!$C22:CJ22)-1</f>
        <v>1.9938757445249187</v>
      </c>
      <c r="CK22" s="13">
        <f t="array" ref="CK22">PRODUCT(1+預測IC!$C22:CK22)-1</f>
        <v>2.1021442987900216</v>
      </c>
      <c r="CL22" s="13">
        <f t="array" ref="CL22">PRODUCT(1+預測IC!$C22:CL22)-1</f>
        <v>1.3556076936917867</v>
      </c>
      <c r="CM22" s="13">
        <f t="array" ref="CM22">PRODUCT(1+預測IC!$C22:CM22)-1</f>
        <v>2.1104197868132348</v>
      </c>
      <c r="CN22" s="13">
        <f t="array" ref="CN22">PRODUCT(1+預測IC!$C22:CN22)-1</f>
        <v>2.0838357386281068</v>
      </c>
      <c r="CO22" s="13">
        <f t="array" ref="CO22">PRODUCT(1+預測IC!$C22:CO22)-1</f>
        <v>7.9476753288856283E-2</v>
      </c>
      <c r="CP22" s="13">
        <f t="array" ref="CP22">PRODUCT(1+預測IC!$C22:CP22)-1</f>
        <v>0.35950226014153408</v>
      </c>
      <c r="CQ22" s="13">
        <f t="array" ref="CQ22">PRODUCT(1+預測IC!$C22:CQ22)-1</f>
        <v>0.34273445927220614</v>
      </c>
      <c r="CR22" s="13">
        <f t="array" ref="CR22">PRODUCT(1+預測IC!$C22:CR22)-1</f>
        <v>0.56005659720130962</v>
      </c>
      <c r="CS22" s="13">
        <f t="array" ref="CS22">PRODUCT(1+預測IC!$C22:CS22)-1</f>
        <v>0.53634033050684904</v>
      </c>
      <c r="CT22" s="13">
        <f t="array" ref="CT22">PRODUCT(1+預測IC!$C22:CT22)-1</f>
        <v>0.62580530161315062</v>
      </c>
      <c r="CU22" s="13">
        <f t="array" ref="CU22">PRODUCT(1+預測IC!$C22:CU22)-1</f>
        <v>0.43033194687989496</v>
      </c>
      <c r="CV22" s="13">
        <f t="array" ref="CV22">PRODUCT(1+預測IC!$C22:CV22)-1</f>
        <v>0.59086338665092542</v>
      </c>
      <c r="CW22" s="13">
        <f t="array" ref="CW22">PRODUCT(1+預測IC!$C22:CW22)-1</f>
        <v>0.64885235096505944</v>
      </c>
      <c r="CX22" s="13">
        <f t="array" ref="CX22">PRODUCT(1+預測IC!$C22:CX22)-1</f>
        <v>0.65503487663991478</v>
      </c>
      <c r="CY22" s="13">
        <f t="array" ref="CY22">PRODUCT(1+預測IC!$C22:CY22)-1</f>
        <v>0.64181309136135734</v>
      </c>
      <c r="CZ22" s="13">
        <f t="array" ref="CZ22">PRODUCT(1+預測IC!$C22:CZ22)-1</f>
        <v>1.0734793849634605</v>
      </c>
      <c r="DA22" s="13">
        <f t="array" ref="DA22">PRODUCT(1+預測IC!$C22:DA22)-1</f>
        <v>1.065202565579443</v>
      </c>
      <c r="DB22" s="13">
        <f t="array" ref="DB22">PRODUCT(1+預測IC!$C22:DB22)-1</f>
        <v>0.94462879748971607</v>
      </c>
      <c r="DC22" s="13">
        <f t="array" ref="DC22">PRODUCT(1+預測IC!$C22:DC22)-1</f>
        <v>0.90432678483784024</v>
      </c>
      <c r="DD22" s="13">
        <f t="array" ref="DD22">PRODUCT(1+預測IC!$C22:DD22)-1</f>
        <v>1.1859654856867849</v>
      </c>
      <c r="DE22" s="13">
        <f t="array" ref="DE22">PRODUCT(1+預測IC!$C22:DE22)-1</f>
        <v>1.1739606922824972</v>
      </c>
      <c r="DF22" s="13">
        <f t="array" ref="DF22">PRODUCT(1+預測IC!$C22:DF22)-1</f>
        <v>1.2109871022469907</v>
      </c>
      <c r="DG22" s="13">
        <f t="array" ref="DG22">PRODUCT(1+預測IC!$C22:DG22)-1</f>
        <v>1.2817056199636476</v>
      </c>
      <c r="DH22" s="13">
        <f t="array" ref="DH22">PRODUCT(1+預測IC!$C22:DH22)-1</f>
        <v>1.3135247947228872</v>
      </c>
      <c r="DI22" s="13">
        <f t="array" ref="DI22">PRODUCT(1+預測IC!$C22:DI22)-1</f>
        <v>1.4605747424934643</v>
      </c>
      <c r="DJ22" s="13">
        <f t="array" ref="DJ22">PRODUCT(1+預測IC!$C22:DJ22)-1</f>
        <v>1.3369406896293694</v>
      </c>
      <c r="DK22" s="13">
        <f t="array" ref="DK22">PRODUCT(1+預測IC!$C22:DK22)-1</f>
        <v>1.7555678912870771</v>
      </c>
      <c r="DL22" s="13">
        <f t="array" ref="DL22">PRODUCT(1+預測IC!$C22:DL22)-1</f>
        <v>2.0998530840767105</v>
      </c>
      <c r="DM22" s="13">
        <f t="array" ref="DM22">PRODUCT(1+預測IC!$C22:DM22)-1</f>
        <v>1.9031176500322924</v>
      </c>
      <c r="DN22" s="13">
        <f t="array" ref="DN22">PRODUCT(1+預測IC!$C22:DN22)-1</f>
        <v>2.0388770935155991</v>
      </c>
      <c r="DO22" s="13">
        <f t="array" ref="DO22">PRODUCT(1+預測IC!$C22:DO22)-1</f>
        <v>2.4139884887323384</v>
      </c>
      <c r="DP22" s="13">
        <f t="array" ref="DP22">PRODUCT(1+預測IC!$C22:DP22)-1</f>
        <v>2.4489042293134498</v>
      </c>
      <c r="DQ22" s="13">
        <f t="array" ref="DQ22">PRODUCT(1+預測IC!$C22:DQ22)-1</f>
        <v>1.9969908460693966</v>
      </c>
      <c r="DR22" s="13">
        <f t="array" ref="DR22">PRODUCT(1+預測IC!$C22:DR22)-1</f>
        <v>1.9787315216520924</v>
      </c>
      <c r="DS22" s="13">
        <f t="array" ref="DS22">PRODUCT(1+預測IC!$C22:DS22)-1</f>
        <v>1.3917697302236989</v>
      </c>
      <c r="DT22" s="13">
        <f t="array" ref="DT22">PRODUCT(1+預測IC!$C22:DT22)-1</f>
        <v>1.2521932025588436</v>
      </c>
      <c r="DU22" s="13">
        <f t="array" ref="DU22">PRODUCT(1+預測IC!$C22:DU22)-1</f>
        <v>1.1227024741376508</v>
      </c>
      <c r="DV22" s="13">
        <f t="array" ref="DV22">PRODUCT(1+預測IC!$C22:DV22)-1</f>
        <v>1.389537038444884</v>
      </c>
      <c r="DW22" s="13">
        <f t="array" ref="DW22">PRODUCT(1+預測IC!$C22:DW22)-1</f>
        <v>1.5768521866762142</v>
      </c>
      <c r="DX22" s="13">
        <f t="array" ref="DX22">PRODUCT(1+預測IC!$C22:DX22)-1</f>
        <v>1.003650464686265</v>
      </c>
      <c r="DY22" s="13">
        <f t="array" ref="DY22">PRODUCT(1+預測IC!$C22:DY22)-1</f>
        <v>0.98732649067364853</v>
      </c>
      <c r="DZ22" s="13">
        <f t="array" ref="DZ22">PRODUCT(1+預測IC!$C22:DZ22)-1</f>
        <v>0.78114537978663701</v>
      </c>
      <c r="EA22" s="13">
        <f t="array" ref="EA22">PRODUCT(1+預測IC!$C22:EA22)-1</f>
        <v>0.6554879798562232</v>
      </c>
      <c r="EB22" s="13">
        <f t="array" ref="EB22">PRODUCT(1+預測IC!$C22:EB22)-1</f>
        <v>0.52206106620575721</v>
      </c>
      <c r="EC22" s="13">
        <f t="array" ref="EC22">PRODUCT(1+預測IC!$C22:EC22)-1</f>
        <v>0.554777923428174</v>
      </c>
      <c r="ED22" s="13">
        <f t="array" ref="ED22">PRODUCT(1+預測IC!$C22:ED22)-1</f>
        <v>0.43441701839317926</v>
      </c>
      <c r="EE22" s="13">
        <f t="array" ref="EE22">PRODUCT(1+預測IC!$C22:EE22)-1</f>
        <v>0.48239296578376689</v>
      </c>
      <c r="EF22" s="13">
        <f t="array" ref="EF22">PRODUCT(1+預測IC!$C22:EF22)-1</f>
        <v>0.43082014928377443</v>
      </c>
    </row>
    <row r="23" spans="1:136">
      <c r="A23" s="17">
        <v>2</v>
      </c>
      <c r="B23" s="17" t="s">
        <v>195</v>
      </c>
      <c r="C23" s="13">
        <f t="array" ref="C23">PRODUCT(1+預測IC!$C23:C23)-1</f>
        <v>-3.4987009286289172E-2</v>
      </c>
      <c r="D23" s="13">
        <f t="array" ref="D23">PRODUCT(1+預測IC!$C23:D23)-1</f>
        <v>0.21021700157612044</v>
      </c>
      <c r="E23" s="13">
        <f t="array" ref="E23">PRODUCT(1+預測IC!$C23:E23)-1</f>
        <v>0.11226061840358614</v>
      </c>
      <c r="F23" s="13">
        <f t="array" ref="F23">PRODUCT(1+預測IC!$C23:F23)-1</f>
        <v>0.10809853916951995</v>
      </c>
      <c r="G23" s="13">
        <f t="array" ref="G23">PRODUCT(1+預測IC!$C23:G23)-1</f>
        <v>5.0229008420880072E-2</v>
      </c>
      <c r="H23" s="13">
        <f t="array" ref="H23">PRODUCT(1+預測IC!$C23:H23)-1</f>
        <v>3.1126918101216816E-2</v>
      </c>
      <c r="I23" s="13">
        <f t="array" ref="I23">PRODUCT(1+預測IC!$C23:I23)-1</f>
        <v>-6.3911503773549372E-3</v>
      </c>
      <c r="J23" s="13">
        <f t="array" ref="J23">PRODUCT(1+預測IC!$C23:J23)-1</f>
        <v>-0.12053246378218108</v>
      </c>
      <c r="K23" s="13">
        <f t="array" ref="K23">PRODUCT(1+預測IC!$C23:K23)-1</f>
        <v>-0.30037431983768803</v>
      </c>
      <c r="L23" s="13">
        <f t="array" ref="L23">PRODUCT(1+預測IC!$C23:L23)-1</f>
        <v>-0.2625640785600627</v>
      </c>
      <c r="M23" s="13">
        <f t="array" ref="M23">PRODUCT(1+預測IC!$C23:M23)-1</f>
        <v>-0.37118064671099027</v>
      </c>
      <c r="N23" s="13">
        <f t="array" ref="N23">PRODUCT(1+預測IC!$C23:N23)-1</f>
        <v>0.24248478898310766</v>
      </c>
      <c r="O23" s="13">
        <f t="array" ref="O23">PRODUCT(1+預測IC!$C23:O23)-1</f>
        <v>8.9783408417083654E-2</v>
      </c>
      <c r="P23" s="13">
        <f t="array" ref="P23">PRODUCT(1+預測IC!$C23:P23)-1</f>
        <v>0.14937439986444256</v>
      </c>
      <c r="Q23" s="13">
        <f t="array" ref="Q23">PRODUCT(1+預測IC!$C23:Q23)-1</f>
        <v>0.48404636418097113</v>
      </c>
      <c r="R23" s="13">
        <f t="array" ref="R23">PRODUCT(1+預測IC!$C23:R23)-1</f>
        <v>0.57727415677881999</v>
      </c>
      <c r="S23" s="13">
        <f t="array" ref="S23">PRODUCT(1+預測IC!$C23:S23)-1</f>
        <v>0.46281058258430274</v>
      </c>
      <c r="T23" s="13">
        <f t="array" ref="T23">PRODUCT(1+預測IC!$C23:T23)-1</f>
        <v>0.33894417088281181</v>
      </c>
      <c r="U23" s="13">
        <f t="array" ref="U23">PRODUCT(1+預測IC!$C23:U23)-1</f>
        <v>0.41825853726131146</v>
      </c>
      <c r="V23" s="13">
        <f t="array" ref="V23">PRODUCT(1+預測IC!$C23:V23)-1</f>
        <v>8.8548174682219427E-2</v>
      </c>
      <c r="W23" s="13">
        <f t="array" ref="W23">PRODUCT(1+預測IC!$C23:W23)-1</f>
        <v>0.37107758777646538</v>
      </c>
      <c r="X23" s="13">
        <f t="array" ref="X23">PRODUCT(1+預測IC!$C23:X23)-1</f>
        <v>0.63782895894390323</v>
      </c>
      <c r="Y23" s="13">
        <f t="array" ref="Y23">PRODUCT(1+預測IC!$C23:Y23)-1</f>
        <v>0.5265311109533497</v>
      </c>
      <c r="Z23" s="13">
        <f t="array" ref="Z23">PRODUCT(1+預測IC!$C23:Z23)-1</f>
        <v>0.58919826612020665</v>
      </c>
      <c r="AA23" s="13">
        <f t="array" ref="AA23">PRODUCT(1+預測IC!$C23:AA23)-1</f>
        <v>0.59969697386357268</v>
      </c>
      <c r="AB23" s="13">
        <f t="array" ref="AB23">PRODUCT(1+預測IC!$C23:AB23)-1</f>
        <v>0.52331464275553485</v>
      </c>
      <c r="AC23" s="13">
        <f t="array" ref="AC23">PRODUCT(1+預測IC!$C23:AC23)-1</f>
        <v>0.16684606817627623</v>
      </c>
      <c r="AD23" s="13">
        <f t="array" ref="AD23">PRODUCT(1+預測IC!$C23:AD23)-1</f>
        <v>0.14933065811486945</v>
      </c>
      <c r="AE23" s="13">
        <f t="array" ref="AE23">PRODUCT(1+預測IC!$C23:AE23)-1</f>
        <v>-0.10549548741038495</v>
      </c>
      <c r="AF23" s="13">
        <f t="array" ref="AF23">PRODUCT(1+預測IC!$C23:AF23)-1</f>
        <v>-0.16534343898116199</v>
      </c>
      <c r="AG23" s="13">
        <f t="array" ref="AG23">PRODUCT(1+預測IC!$C23:AG23)-1</f>
        <v>-0.16705907554233623</v>
      </c>
      <c r="AH23" s="13">
        <f t="array" ref="AH23">PRODUCT(1+預測IC!$C23:AH23)-1</f>
        <v>-9.694911811652962E-2</v>
      </c>
      <c r="AI23" s="13">
        <f t="array" ref="AI23">PRODUCT(1+預測IC!$C23:AI23)-1</f>
        <v>9.1925779931161911E-2</v>
      </c>
      <c r="AJ23" s="13">
        <f t="array" ref="AJ23">PRODUCT(1+預測IC!$C23:AJ23)-1</f>
        <v>0.11768103330239832</v>
      </c>
      <c r="AK23" s="13">
        <f t="array" ref="AK23">PRODUCT(1+預測IC!$C23:AK23)-1</f>
        <v>0.13842519328049074</v>
      </c>
      <c r="AL23" s="13">
        <f t="array" ref="AL23">PRODUCT(1+預測IC!$C23:AL23)-1</f>
        <v>0.28805036677488904</v>
      </c>
      <c r="AM23" s="13">
        <f t="array" ref="AM23">PRODUCT(1+預測IC!$C23:AM23)-1</f>
        <v>0.2980578599372592</v>
      </c>
      <c r="AN23" s="13">
        <f t="array" ref="AN23">PRODUCT(1+預測IC!$C23:AN23)-1</f>
        <v>0.61259636001633733</v>
      </c>
      <c r="AO23" s="13">
        <f t="array" ref="AO23">PRODUCT(1+預測IC!$C23:AO23)-1</f>
        <v>0.60399001033886579</v>
      </c>
      <c r="AP23" s="13">
        <f t="array" ref="AP23">PRODUCT(1+預測IC!$C23:AP23)-1</f>
        <v>0.33890419529519766</v>
      </c>
      <c r="AQ23" s="13">
        <f t="array" ref="AQ23">PRODUCT(1+預測IC!$C23:AQ23)-1</f>
        <v>0.45863569259583103</v>
      </c>
      <c r="AR23" s="13">
        <f t="array" ref="AR23">PRODUCT(1+預測IC!$C23:AR23)-1</f>
        <v>0.94982257421730232</v>
      </c>
      <c r="AS23" s="13">
        <f t="array" ref="AS23">PRODUCT(1+預測IC!$C23:AS23)-1</f>
        <v>0.92114675200352991</v>
      </c>
      <c r="AT23" s="13">
        <f t="array" ref="AT23">PRODUCT(1+預測IC!$C23:AT23)-1</f>
        <v>0.84155801879833114</v>
      </c>
      <c r="AU23" s="13">
        <f t="array" ref="AU23">PRODUCT(1+預測IC!$C23:AU23)-1</f>
        <v>0.90259742822756794</v>
      </c>
      <c r="AV23" s="13">
        <f t="array" ref="AV23">PRODUCT(1+預測IC!$C23:AV23)-1</f>
        <v>0.85001154894884734</v>
      </c>
      <c r="AW23" s="13">
        <f t="array" ref="AW23">PRODUCT(1+預測IC!$C23:AW23)-1</f>
        <v>0.75376116489168177</v>
      </c>
      <c r="AX23" s="13">
        <f t="array" ref="AX23">PRODUCT(1+預測IC!$C23:AX23)-1</f>
        <v>0.86799941341156117</v>
      </c>
      <c r="AY23" s="13">
        <f t="array" ref="AY23">PRODUCT(1+預測IC!$C23:AY23)-1</f>
        <v>1.1859963897644836</v>
      </c>
      <c r="AZ23" s="13">
        <f t="array" ref="AZ23">PRODUCT(1+預測IC!$C23:AZ23)-1</f>
        <v>1.0466312122913397</v>
      </c>
      <c r="BA23" s="13">
        <f t="array" ref="BA23">PRODUCT(1+預測IC!$C23:BA23)-1</f>
        <v>1.0663746135013845</v>
      </c>
      <c r="BB23" s="13">
        <f t="array" ref="BB23">PRODUCT(1+預測IC!$C23:BB23)-1</f>
        <v>0.96088725551884013</v>
      </c>
      <c r="BC23" s="13">
        <f t="array" ref="BC23">PRODUCT(1+預測IC!$C23:BC23)-1</f>
        <v>0.37099697561532929</v>
      </c>
      <c r="BD23" s="13">
        <f t="array" ref="BD23">PRODUCT(1+預測IC!$C23:BD23)-1</f>
        <v>0.50100982713624864</v>
      </c>
      <c r="BE23" s="13">
        <f t="array" ref="BE23">PRODUCT(1+預測IC!$C23:BE23)-1</f>
        <v>0.39379155081807204</v>
      </c>
      <c r="BF23" s="13">
        <f t="array" ref="BF23">PRODUCT(1+預測IC!$C23:BF23)-1</f>
        <v>0.36194760835164042</v>
      </c>
      <c r="BG23" s="13">
        <f t="array" ref="BG23">PRODUCT(1+預測IC!$C23:BG23)-1</f>
        <v>0.46376881524490754</v>
      </c>
      <c r="BH23" s="13">
        <f t="array" ref="BH23">PRODUCT(1+預測IC!$C23:BH23)-1</f>
        <v>0.16591530893516193</v>
      </c>
      <c r="BI23" s="13">
        <f t="array" ref="BI23">PRODUCT(1+預測IC!$C23:BI23)-1</f>
        <v>0.38873580794051077</v>
      </c>
      <c r="BJ23" s="13">
        <f t="array" ref="BJ23">PRODUCT(1+預測IC!$C23:BJ23)-1</f>
        <v>0.53316893599760706</v>
      </c>
      <c r="BK23" s="13">
        <f t="array" ref="BK23">PRODUCT(1+預測IC!$C23:BK23)-1</f>
        <v>0.53628756771154795</v>
      </c>
      <c r="BL23" s="13">
        <f t="array" ref="BL23">PRODUCT(1+預測IC!$C23:BL23)-1</f>
        <v>0.76601524798728637</v>
      </c>
      <c r="BM23" s="13">
        <f t="array" ref="BM23">PRODUCT(1+預測IC!$C23:BM23)-1</f>
        <v>1.1001112254781074</v>
      </c>
      <c r="BN23" s="13">
        <f t="array" ref="BN23">PRODUCT(1+預測IC!$C23:BN23)-1</f>
        <v>1.0855213941822104</v>
      </c>
      <c r="BO23" s="13">
        <f t="array" ref="BO23">PRODUCT(1+預測IC!$C23:BO23)-1</f>
        <v>1.16169494161475</v>
      </c>
      <c r="BP23" s="13">
        <f t="array" ref="BP23">PRODUCT(1+預測IC!$C23:BP23)-1</f>
        <v>1.3741169197208514</v>
      </c>
      <c r="BQ23" s="13">
        <f t="array" ref="BQ23">PRODUCT(1+預測IC!$C23:BQ23)-1</f>
        <v>1.545167061548697</v>
      </c>
      <c r="BR23" s="13">
        <f t="array" ref="BR23">PRODUCT(1+預測IC!$C23:BR23)-1</f>
        <v>1.5905838407744612</v>
      </c>
      <c r="BS23" s="13">
        <f t="array" ref="BS23">PRODUCT(1+預測IC!$C23:BS23)-1</f>
        <v>1.4007578029908068</v>
      </c>
      <c r="BT23" s="13">
        <f t="array" ref="BT23">PRODUCT(1+預測IC!$C23:BT23)-1</f>
        <v>1.7456261957058352</v>
      </c>
      <c r="BU23" s="13">
        <f t="array" ref="BU23">PRODUCT(1+預測IC!$C23:BU23)-1</f>
        <v>2.3103678313798865</v>
      </c>
      <c r="BV23" s="13">
        <f t="array" ref="BV23">PRODUCT(1+預測IC!$C23:BV23)-1</f>
        <v>2.6859872195843528</v>
      </c>
      <c r="BW23" s="13">
        <f t="array" ref="BW23">PRODUCT(1+預測IC!$C23:BW23)-1</f>
        <v>1.9408563027209986</v>
      </c>
      <c r="BX23" s="13">
        <f t="array" ref="BX23">PRODUCT(1+預測IC!$C23:BX23)-1</f>
        <v>1.9167026978061039</v>
      </c>
      <c r="BY23" s="13">
        <f t="array" ref="BY23">PRODUCT(1+預測IC!$C23:BY23)-1</f>
        <v>1.8869357263915205</v>
      </c>
      <c r="BZ23" s="13">
        <f t="array" ref="BZ23">PRODUCT(1+預測IC!$C23:BZ23)-1</f>
        <v>1.9090778375689492</v>
      </c>
      <c r="CA23" s="13">
        <f t="array" ref="CA23">PRODUCT(1+預測IC!$C23:CA23)-1</f>
        <v>2.5094402308361601</v>
      </c>
      <c r="CB23" s="13">
        <f t="array" ref="CB23">PRODUCT(1+預測IC!$C23:CB23)-1</f>
        <v>1.7457361920531445</v>
      </c>
      <c r="CC23" s="13">
        <f t="array" ref="CC23">PRODUCT(1+預測IC!$C23:CC23)-1</f>
        <v>2.3634132372826349</v>
      </c>
      <c r="CD23" s="13">
        <f t="array" ref="CD23">PRODUCT(1+預測IC!$C23:CD23)-1</f>
        <v>3.0081003633547727</v>
      </c>
      <c r="CE23" s="13">
        <f t="array" ref="CE23">PRODUCT(1+預測IC!$C23:CE23)-1</f>
        <v>2.5406572344777683</v>
      </c>
      <c r="CF23" s="13">
        <f t="array" ref="CF23">PRODUCT(1+預測IC!$C23:CF23)-1</f>
        <v>3.0970180896188682</v>
      </c>
      <c r="CG23" s="13">
        <f t="array" ref="CG23">PRODUCT(1+預測IC!$C23:CG23)-1</f>
        <v>1.4858911768653185</v>
      </c>
      <c r="CH23" s="13">
        <f t="array" ref="CH23">PRODUCT(1+預測IC!$C23:CH23)-1</f>
        <v>1.9338399393415595</v>
      </c>
      <c r="CI23" s="13">
        <f t="array" ref="CI23">PRODUCT(1+預測IC!$C23:CI23)-1</f>
        <v>1.024644652192479</v>
      </c>
      <c r="CJ23" s="13">
        <f t="array" ref="CJ23">PRODUCT(1+預測IC!$C23:CJ23)-1</f>
        <v>0.98440409557118036</v>
      </c>
      <c r="CK23" s="13">
        <f t="array" ref="CK23">PRODUCT(1+預測IC!$C23:CK23)-1</f>
        <v>1.175139053563341</v>
      </c>
      <c r="CL23" s="13">
        <f t="array" ref="CL23">PRODUCT(1+預測IC!$C23:CL23)-1</f>
        <v>0.28624452524169608</v>
      </c>
      <c r="CM23" s="13">
        <f t="array" ref="CM23">PRODUCT(1+預測IC!$C23:CM23)-1</f>
        <v>0.78367766043737808</v>
      </c>
      <c r="CN23" s="13">
        <f t="array" ref="CN23">PRODUCT(1+預測IC!$C23:CN23)-1</f>
        <v>0.68913350789166161</v>
      </c>
      <c r="CO23" s="13">
        <f t="array" ref="CO23">PRODUCT(1+預測IC!$C23:CO23)-1</f>
        <v>-0.84615927290064852</v>
      </c>
      <c r="CP23" s="13">
        <f t="array" ref="CP23">PRODUCT(1+預測IC!$C23:CP23)-1</f>
        <v>-0.79825930978229565</v>
      </c>
      <c r="CQ23" s="13">
        <f t="array" ref="CQ23">PRODUCT(1+預測IC!$C23:CQ23)-1</f>
        <v>-0.80011204473646946</v>
      </c>
      <c r="CR23" s="13">
        <f t="array" ref="CR23">PRODUCT(1+預測IC!$C23:CR23)-1</f>
        <v>-0.79779378344512653</v>
      </c>
      <c r="CS23" s="13">
        <f t="array" ref="CS23">PRODUCT(1+預測IC!$C23:CS23)-1</f>
        <v>-0.80527020037742436</v>
      </c>
      <c r="CT23" s="13">
        <f t="array" ref="CT23">PRODUCT(1+預測IC!$C23:CT23)-1</f>
        <v>-0.79637834277973429</v>
      </c>
      <c r="CU23" s="13">
        <f t="array" ref="CU23">PRODUCT(1+預測IC!$C23:CU23)-1</f>
        <v>-0.80066592169429096</v>
      </c>
      <c r="CV23" s="13">
        <f t="array" ref="CV23">PRODUCT(1+預測IC!$C23:CV23)-1</f>
        <v>-0.80510013567240579</v>
      </c>
      <c r="CW23" s="13">
        <f t="array" ref="CW23">PRODUCT(1+預測IC!$C23:CW23)-1</f>
        <v>-0.78543447979364089</v>
      </c>
      <c r="CX23" s="13">
        <f t="array" ref="CX23">PRODUCT(1+預測IC!$C23:CX23)-1</f>
        <v>-0.80447008778310658</v>
      </c>
      <c r="CY23" s="13">
        <f t="array" ref="CY23">PRODUCT(1+預測IC!$C23:CY23)-1</f>
        <v>-0.80015933156021135</v>
      </c>
      <c r="CZ23" s="13">
        <f t="array" ref="CZ23">PRODUCT(1+預測IC!$C23:CZ23)-1</f>
        <v>-0.76378857094052299</v>
      </c>
      <c r="DA23" s="13">
        <f t="array" ref="DA23">PRODUCT(1+預測IC!$C23:DA23)-1</f>
        <v>-0.77110690561376072</v>
      </c>
      <c r="DB23" s="13">
        <f t="array" ref="DB23">PRODUCT(1+預測IC!$C23:DB23)-1</f>
        <v>-0.77475893084046532</v>
      </c>
      <c r="DC23" s="13">
        <f t="array" ref="DC23">PRODUCT(1+預測IC!$C23:DC23)-1</f>
        <v>-0.74791233832432069</v>
      </c>
      <c r="DD23" s="13">
        <f t="array" ref="DD23">PRODUCT(1+預測IC!$C23:DD23)-1</f>
        <v>-0.69411404716399627</v>
      </c>
      <c r="DE23" s="13">
        <f t="array" ref="DE23">PRODUCT(1+預測IC!$C23:DE23)-1</f>
        <v>-0.69698791480632472</v>
      </c>
      <c r="DF23" s="13">
        <f t="array" ref="DF23">PRODUCT(1+預測IC!$C23:DF23)-1</f>
        <v>-0.67821870172911636</v>
      </c>
      <c r="DG23" s="13">
        <f t="array" ref="DG23">PRODUCT(1+預測IC!$C23:DG23)-1</f>
        <v>-0.66590412762322782</v>
      </c>
      <c r="DH23" s="13">
        <f t="array" ref="DH23">PRODUCT(1+預測IC!$C23:DH23)-1</f>
        <v>-0.64739072360320915</v>
      </c>
      <c r="DI23" s="13">
        <f t="array" ref="DI23">PRODUCT(1+預測IC!$C23:DI23)-1</f>
        <v>-0.62853332163265896</v>
      </c>
      <c r="DJ23" s="13">
        <f t="array" ref="DJ23">PRODUCT(1+預測IC!$C23:DJ23)-1</f>
        <v>-0.6608724707537178</v>
      </c>
      <c r="DK23" s="13">
        <f t="array" ref="DK23">PRODUCT(1+預測IC!$C23:DK23)-1</f>
        <v>-0.56665157847957004</v>
      </c>
      <c r="DL23" s="13">
        <f t="array" ref="DL23">PRODUCT(1+預測IC!$C23:DL23)-1</f>
        <v>-0.47300452543890004</v>
      </c>
      <c r="DM23" s="13">
        <f t="array" ref="DM23">PRODUCT(1+預測IC!$C23:DM23)-1</f>
        <v>-0.48327951689754378</v>
      </c>
      <c r="DN23" s="13">
        <f t="array" ref="DN23">PRODUCT(1+預測IC!$C23:DN23)-1</f>
        <v>-0.47992228261889214</v>
      </c>
      <c r="DO23" s="13">
        <f t="array" ref="DO23">PRODUCT(1+預測IC!$C23:DO23)-1</f>
        <v>-0.39458205193090967</v>
      </c>
      <c r="DP23" s="13">
        <f t="array" ref="DP23">PRODUCT(1+預測IC!$C23:DP23)-1</f>
        <v>-0.36607399073828195</v>
      </c>
      <c r="DQ23" s="13">
        <f t="array" ref="DQ23">PRODUCT(1+預測IC!$C23:DQ23)-1</f>
        <v>-0.47397516848422994</v>
      </c>
      <c r="DR23" s="13">
        <f t="array" ref="DR23">PRODUCT(1+預測IC!$C23:DR23)-1</f>
        <v>-0.52125743792659163</v>
      </c>
      <c r="DS23" s="13">
        <f t="array" ref="DS23">PRODUCT(1+預測IC!$C23:DS23)-1</f>
        <v>-0.65918153128539458</v>
      </c>
      <c r="DT23" s="13">
        <f t="array" ref="DT23">PRODUCT(1+預測IC!$C23:DT23)-1</f>
        <v>-0.70142776064430024</v>
      </c>
      <c r="DU23" s="13">
        <f t="array" ref="DU23">PRODUCT(1+預測IC!$C23:DU23)-1</f>
        <v>-0.69119055896151194</v>
      </c>
      <c r="DV23" s="13">
        <f t="array" ref="DV23">PRODUCT(1+預測IC!$C23:DV23)-1</f>
        <v>-0.6058752780184935</v>
      </c>
      <c r="DW23" s="13">
        <f t="array" ref="DW23">PRODUCT(1+預測IC!$C23:DW23)-1</f>
        <v>-0.55021374011584268</v>
      </c>
      <c r="DX23" s="13">
        <f t="array" ref="DX23">PRODUCT(1+預測IC!$C23:DX23)-1</f>
        <v>-0.69121867691213013</v>
      </c>
      <c r="DY23" s="13">
        <f t="array" ref="DY23">PRODUCT(1+預測IC!$C23:DY23)-1</f>
        <v>-0.63876388499891568</v>
      </c>
      <c r="DZ23" s="13">
        <f t="array" ref="DZ23">PRODUCT(1+預測IC!$C23:DZ23)-1</f>
        <v>-0.67592533458599124</v>
      </c>
      <c r="EA23" s="13">
        <f t="array" ref="EA23">PRODUCT(1+預測IC!$C23:EA23)-1</f>
        <v>-0.683524531475037</v>
      </c>
      <c r="EB23" s="13">
        <f t="array" ref="EB23">PRODUCT(1+預測IC!$C23:EB23)-1</f>
        <v>-0.70338445570902586</v>
      </c>
      <c r="EC23" s="13">
        <f t="array" ref="EC23">PRODUCT(1+預測IC!$C23:EC23)-1</f>
        <v>-0.71423593260852014</v>
      </c>
      <c r="ED23" s="13">
        <f t="array" ref="ED23">PRODUCT(1+預測IC!$C23:ED23)-1</f>
        <v>-0.74036217097761425</v>
      </c>
      <c r="EE23" s="13">
        <f t="array" ref="EE23">PRODUCT(1+預測IC!$C23:EE23)-1</f>
        <v>-0.72503037961058436</v>
      </c>
      <c r="EF23" s="13">
        <f t="array" ref="EF23">PRODUCT(1+預測IC!$C23:EF23)-1</f>
        <v>-0.73816905461627447</v>
      </c>
    </row>
    <row r="24" spans="1:136">
      <c r="A24" s="17">
        <v>1</v>
      </c>
      <c r="B24" s="17" t="s">
        <v>196</v>
      </c>
      <c r="C24" s="13">
        <f t="array" ref="C24">PRODUCT(1+預測IC!$C24:C24)-1</f>
        <v>0.16299313693108508</v>
      </c>
      <c r="D24" s="13">
        <f t="array" ref="D24">PRODUCT(1+預測IC!$C24:D24)-1</f>
        <v>0.28000187643772168</v>
      </c>
      <c r="E24" s="13">
        <f t="array" ref="E24">PRODUCT(1+預測IC!$C24:E24)-1</f>
        <v>0.37139443303269459</v>
      </c>
      <c r="F24" s="13">
        <f t="array" ref="F24">PRODUCT(1+預測IC!$C24:F24)-1</f>
        <v>0.47469609009531544</v>
      </c>
      <c r="G24" s="13">
        <f t="array" ref="G24">PRODUCT(1+預測IC!$C24:G24)-1</f>
        <v>0.80762351339814575</v>
      </c>
      <c r="H24" s="13">
        <f t="array" ref="H24">PRODUCT(1+預測IC!$C24:H24)-1</f>
        <v>0.87243766209454976</v>
      </c>
      <c r="I24" s="13">
        <f t="array" ref="I24">PRODUCT(1+預測IC!$C24:I24)-1</f>
        <v>0.90413803171381035</v>
      </c>
      <c r="J24" s="13">
        <f t="array" ref="J24">PRODUCT(1+預測IC!$C24:J24)-1</f>
        <v>0.68428435043410207</v>
      </c>
      <c r="K24" s="13">
        <f t="array" ref="K24">PRODUCT(1+預測IC!$C24:K24)-1</f>
        <v>0.64804650380560913</v>
      </c>
      <c r="L24" s="13">
        <f t="array" ref="L24">PRODUCT(1+預測IC!$C24:L24)-1</f>
        <v>0.80563806748897049</v>
      </c>
      <c r="M24" s="13">
        <f t="array" ref="M24">PRODUCT(1+預測IC!$C24:M24)-1</f>
        <v>0.41239537532281756</v>
      </c>
      <c r="N24" s="13">
        <f t="array" ref="N24">PRODUCT(1+預測IC!$C24:N24)-1</f>
        <v>2.9109679909208923</v>
      </c>
      <c r="O24" s="13">
        <f t="array" ref="O24">PRODUCT(1+預測IC!$C24:O24)-1</f>
        <v>1.9555967300987365</v>
      </c>
      <c r="P24" s="13">
        <f t="array" ref="P24">PRODUCT(1+預測IC!$C24:P24)-1</f>
        <v>1.9607276460221876</v>
      </c>
      <c r="Q24" s="13">
        <f t="array" ref="Q24">PRODUCT(1+預測IC!$C24:Q24)-1</f>
        <v>1.9523191795074846</v>
      </c>
      <c r="R24" s="13">
        <f t="array" ref="R24">PRODUCT(1+預測IC!$C24:R24)-1</f>
        <v>1.8701649936993299</v>
      </c>
      <c r="S24" s="13">
        <f t="array" ref="S24">PRODUCT(1+預測IC!$C24:S24)-1</f>
        <v>1.8384496705189521</v>
      </c>
      <c r="T24" s="13">
        <f t="array" ref="T24">PRODUCT(1+預測IC!$C24:T24)-1</f>
        <v>1.0214870863501875</v>
      </c>
      <c r="U24" s="13">
        <f t="array" ref="U24">PRODUCT(1+預測IC!$C24:U24)-1</f>
        <v>1.5993352344446476</v>
      </c>
      <c r="V24" s="13">
        <f t="array" ref="V24">PRODUCT(1+預測IC!$C24:V24)-1</f>
        <v>1.3428328335096498</v>
      </c>
      <c r="W24" s="13">
        <f t="array" ref="W24">PRODUCT(1+預測IC!$C24:W24)-1</f>
        <v>0.95729157676163479</v>
      </c>
      <c r="X24" s="13">
        <f t="array" ref="X24">PRODUCT(1+預測IC!$C24:X24)-1</f>
        <v>0.95553197163412618</v>
      </c>
      <c r="Y24" s="13">
        <f t="array" ref="Y24">PRODUCT(1+預測IC!$C24:Y24)-1</f>
        <v>0.72024432033907981</v>
      </c>
      <c r="Z24" s="13">
        <f t="array" ref="Z24">PRODUCT(1+預測IC!$C24:Z24)-1</f>
        <v>0.67827896014440814</v>
      </c>
      <c r="AA24" s="13">
        <f t="array" ref="AA24">PRODUCT(1+預測IC!$C24:AA24)-1</f>
        <v>0.7010158945344469</v>
      </c>
      <c r="AB24" s="13">
        <f t="array" ref="AB24">PRODUCT(1+預測IC!$C24:AB24)-1</f>
        <v>0.3876054169823695</v>
      </c>
      <c r="AC24" s="13">
        <f t="array" ref="AC24">PRODUCT(1+預測IC!$C24:AC24)-1</f>
        <v>4.6018591483819593E-2</v>
      </c>
      <c r="AD24" s="13">
        <f t="array" ref="AD24">PRODUCT(1+預測IC!$C24:AD24)-1</f>
        <v>3.7836802582537743E-2</v>
      </c>
      <c r="AE24" s="13">
        <f t="array" ref="AE24">PRODUCT(1+預測IC!$C24:AE24)-1</f>
        <v>-0.14406589164290617</v>
      </c>
      <c r="AF24" s="13">
        <f t="array" ref="AF24">PRODUCT(1+預測IC!$C24:AF24)-1</f>
        <v>-0.1633432482204441</v>
      </c>
      <c r="AG24" s="13">
        <f t="array" ref="AG24">PRODUCT(1+預測IC!$C24:AG24)-1</f>
        <v>-7.474046155023728E-2</v>
      </c>
      <c r="AH24" s="13">
        <f t="array" ref="AH24">PRODUCT(1+預測IC!$C24:AH24)-1</f>
        <v>-2.2280688342594335E-2</v>
      </c>
      <c r="AI24" s="13">
        <f t="array" ref="AI24">PRODUCT(1+預測IC!$C24:AI24)-1</f>
        <v>0.28121707406622765</v>
      </c>
      <c r="AJ24" s="13">
        <f t="array" ref="AJ24">PRODUCT(1+預測IC!$C24:AJ24)-1</f>
        <v>0.39067785478907568</v>
      </c>
      <c r="AK24" s="13">
        <f t="array" ref="AK24">PRODUCT(1+預測IC!$C24:AK24)-1</f>
        <v>0.39268043089997207</v>
      </c>
      <c r="AL24" s="13">
        <f t="array" ref="AL24">PRODUCT(1+預測IC!$C24:AL24)-1</f>
        <v>0.31653293282058415</v>
      </c>
      <c r="AM24" s="13">
        <f t="array" ref="AM24">PRODUCT(1+預測IC!$C24:AM24)-1</f>
        <v>0.29162507576516017</v>
      </c>
      <c r="AN24" s="13">
        <f t="array" ref="AN24">PRODUCT(1+預測IC!$C24:AN24)-1</f>
        <v>0.57731893544208313</v>
      </c>
      <c r="AO24" s="13">
        <f t="array" ref="AO24">PRODUCT(1+預測IC!$C24:AO24)-1</f>
        <v>0.68156412027543389</v>
      </c>
      <c r="AP24" s="13">
        <f t="array" ref="AP24">PRODUCT(1+預測IC!$C24:AP24)-1</f>
        <v>0.40497204595192926</v>
      </c>
      <c r="AQ24" s="13">
        <f t="array" ref="AQ24">PRODUCT(1+預測IC!$C24:AQ24)-1</f>
        <v>0.47111387679208283</v>
      </c>
      <c r="AR24" s="13">
        <f t="array" ref="AR24">PRODUCT(1+預測IC!$C24:AR24)-1</f>
        <v>0.4852943209494931</v>
      </c>
      <c r="AS24" s="13">
        <f t="array" ref="AS24">PRODUCT(1+預測IC!$C24:AS24)-1</f>
        <v>0.44377131814940163</v>
      </c>
      <c r="AT24" s="13">
        <f t="array" ref="AT24">PRODUCT(1+預測IC!$C24:AT24)-1</f>
        <v>0.48774744828938532</v>
      </c>
      <c r="AU24" s="13">
        <f t="array" ref="AU24">PRODUCT(1+預測IC!$C24:AU24)-1</f>
        <v>0.55335014790037707</v>
      </c>
      <c r="AV24" s="13">
        <f t="array" ref="AV24">PRODUCT(1+預測IC!$C24:AV24)-1</f>
        <v>0.41797265008105589</v>
      </c>
      <c r="AW24" s="13">
        <f t="array" ref="AW24">PRODUCT(1+預測IC!$C24:AW24)-1</f>
        <v>0.42504484753485339</v>
      </c>
      <c r="AX24" s="13">
        <f t="array" ref="AX24">PRODUCT(1+預測IC!$C24:AX24)-1</f>
        <v>0.38862355132155768</v>
      </c>
      <c r="AY24" s="13">
        <f t="array" ref="AY24">PRODUCT(1+預測IC!$C24:AY24)-1</f>
        <v>0.62208907123007617</v>
      </c>
      <c r="AZ24" s="13">
        <f t="array" ref="AZ24">PRODUCT(1+預測IC!$C24:AZ24)-1</f>
        <v>0.68351283747555791</v>
      </c>
      <c r="BA24" s="13">
        <f t="array" ref="BA24">PRODUCT(1+預測IC!$C24:BA24)-1</f>
        <v>0.5929487154225197</v>
      </c>
      <c r="BB24" s="13">
        <f t="array" ref="BB24">PRODUCT(1+預測IC!$C24:BB24)-1</f>
        <v>0.45570179385337517</v>
      </c>
      <c r="BC24" s="13">
        <f t="array" ref="BC24">PRODUCT(1+預測IC!$C24:BC24)-1</f>
        <v>-0.71354119718708098</v>
      </c>
      <c r="BD24" s="13">
        <f t="array" ref="BD24">PRODUCT(1+預測IC!$C24:BD24)-1</f>
        <v>-0.66037581287394587</v>
      </c>
      <c r="BE24" s="13">
        <f t="array" ref="BE24">PRODUCT(1+預測IC!$C24:BE24)-1</f>
        <v>-0.67602038166744438</v>
      </c>
      <c r="BF24" s="13">
        <f t="array" ref="BF24">PRODUCT(1+預測IC!$C24:BF24)-1</f>
        <v>-0.64762313526630089</v>
      </c>
      <c r="BG24" s="13">
        <f t="array" ref="BG24">PRODUCT(1+預測IC!$C24:BG24)-1</f>
        <v>-0.63816676175222975</v>
      </c>
      <c r="BH24" s="13">
        <f t="array" ref="BH24">PRODUCT(1+預測IC!$C24:BH24)-1</f>
        <v>-0.77792678109813762</v>
      </c>
      <c r="BI24" s="13">
        <f t="array" ref="BI24">PRODUCT(1+預測IC!$C24:BI24)-1</f>
        <v>-0.72826474567301624</v>
      </c>
      <c r="BJ24" s="13">
        <f t="array" ref="BJ24">PRODUCT(1+預測IC!$C24:BJ24)-1</f>
        <v>-0.72735489023979571</v>
      </c>
      <c r="BK24" s="13">
        <f t="array" ref="BK24">PRODUCT(1+預測IC!$C24:BK24)-1</f>
        <v>-0.7262578898551777</v>
      </c>
      <c r="BL24" s="13">
        <f t="array" ref="BL24">PRODUCT(1+預測IC!$C24:BL24)-1</f>
        <v>-0.63943666677363309</v>
      </c>
      <c r="BM24" s="13">
        <f t="array" ref="BM24">PRODUCT(1+預測IC!$C24:BM24)-1</f>
        <v>-0.63529991675837194</v>
      </c>
      <c r="BN24" s="13">
        <f t="array" ref="BN24">PRODUCT(1+預測IC!$C24:BN24)-1</f>
        <v>-0.6328019612171405</v>
      </c>
      <c r="BO24" s="13">
        <f t="array" ref="BO24">PRODUCT(1+預測IC!$C24:BO24)-1</f>
        <v>-0.69196112381637254</v>
      </c>
      <c r="BP24" s="13">
        <f t="array" ref="BP24">PRODUCT(1+預測IC!$C24:BP24)-1</f>
        <v>-0.6539641646053731</v>
      </c>
      <c r="BQ24" s="13">
        <f t="array" ref="BQ24">PRODUCT(1+預測IC!$C24:BQ24)-1</f>
        <v>-0.67616915728172633</v>
      </c>
      <c r="BR24" s="13">
        <f t="array" ref="BR24">PRODUCT(1+預測IC!$C24:BR24)-1</f>
        <v>-0.66245290579501714</v>
      </c>
      <c r="BS24" s="13">
        <f t="array" ref="BS24">PRODUCT(1+預測IC!$C24:BS24)-1</f>
        <v>-0.66288655844876998</v>
      </c>
      <c r="BT24" s="13">
        <f t="array" ref="BT24">PRODUCT(1+預測IC!$C24:BT24)-1</f>
        <v>-0.6236901439503858</v>
      </c>
      <c r="BU24" s="13">
        <f t="array" ref="BU24">PRODUCT(1+預測IC!$C24:BU24)-1</f>
        <v>-0.53776858209577116</v>
      </c>
      <c r="BV24" s="13">
        <f t="array" ref="BV24">PRODUCT(1+預測IC!$C24:BV24)-1</f>
        <v>-0.48797310610649858</v>
      </c>
      <c r="BW24" s="13">
        <f t="array" ref="BW24">PRODUCT(1+預測IC!$C24:BW24)-1</f>
        <v>-0.5196347415355913</v>
      </c>
      <c r="BX24" s="13">
        <f t="array" ref="BX24">PRODUCT(1+預測IC!$C24:BX24)-1</f>
        <v>-0.58350413306238758</v>
      </c>
      <c r="BY24" s="13">
        <f t="array" ref="BY24">PRODUCT(1+預測IC!$C24:BY24)-1</f>
        <v>-0.53779551543985571</v>
      </c>
      <c r="BZ24" s="13">
        <f t="array" ref="BZ24">PRODUCT(1+預測IC!$C24:BZ24)-1</f>
        <v>-0.4181340565706112</v>
      </c>
      <c r="CA24" s="13">
        <f t="array" ref="CA24">PRODUCT(1+預測IC!$C24:CA24)-1</f>
        <v>-0.35993116998125629</v>
      </c>
      <c r="CB24" s="13">
        <f t="array" ref="CB24">PRODUCT(1+預測IC!$C24:CB24)-1</f>
        <v>-0.22630913734641689</v>
      </c>
      <c r="CC24" s="13">
        <f t="array" ref="CC24">PRODUCT(1+預測IC!$C24:CC24)-1</f>
        <v>0.11400227969145815</v>
      </c>
      <c r="CD24" s="13">
        <f t="array" ref="CD24">PRODUCT(1+預測IC!$C24:CD24)-1</f>
        <v>0.27475983883212729</v>
      </c>
      <c r="CE24" s="13">
        <f t="array" ref="CE24">PRODUCT(1+預測IC!$C24:CE24)-1</f>
        <v>6.9054719153960331E-3</v>
      </c>
      <c r="CF24" s="13">
        <f t="array" ref="CF24">PRODUCT(1+預測IC!$C24:CF24)-1</f>
        <v>0.23015792480081343</v>
      </c>
      <c r="CG24" s="13">
        <f t="array" ref="CG24">PRODUCT(1+預測IC!$C24:CG24)-1</f>
        <v>-0.16818932828246758</v>
      </c>
      <c r="CH24" s="13">
        <f t="array" ref="CH24">PRODUCT(1+預測IC!$C24:CH24)-1</f>
        <v>0.12650230797836648</v>
      </c>
      <c r="CI24" s="13">
        <f t="array" ref="CI24">PRODUCT(1+預測IC!$C24:CI24)-1</f>
        <v>0.49650404206704968</v>
      </c>
      <c r="CJ24" s="13">
        <f t="array" ref="CJ24">PRODUCT(1+預測IC!$C24:CJ24)-1</f>
        <v>0.51612243998663021</v>
      </c>
      <c r="CK24" s="13">
        <f t="array" ref="CK24">PRODUCT(1+預測IC!$C24:CK24)-1</f>
        <v>0.65792549205088724</v>
      </c>
      <c r="CL24" s="13">
        <f t="array" ref="CL24">PRODUCT(1+預測IC!$C24:CL24)-1</f>
        <v>0.89294527288339443</v>
      </c>
      <c r="CM24" s="13">
        <f t="array" ref="CM24">PRODUCT(1+預測IC!$C24:CM24)-1</f>
        <v>1.9332835947181195</v>
      </c>
      <c r="CN24" s="13">
        <f t="array" ref="CN24">PRODUCT(1+預測IC!$C24:CN24)-1</f>
        <v>1.6172552385540095</v>
      </c>
      <c r="CO24" s="13">
        <f t="array" ref="CO24">PRODUCT(1+預測IC!$C24:CO24)-1</f>
        <v>-0.41544446567632232</v>
      </c>
      <c r="CP24" s="13">
        <f t="array" ref="CP24">PRODUCT(1+預測IC!$C24:CP24)-1</f>
        <v>-0.32171437335507713</v>
      </c>
      <c r="CQ24" s="13">
        <f t="array" ref="CQ24">PRODUCT(1+預測IC!$C24:CQ24)-1</f>
        <v>-0.24392371176307559</v>
      </c>
      <c r="CR24" s="13">
        <f t="array" ref="CR24">PRODUCT(1+預測IC!$C24:CR24)-1</f>
        <v>-0.1977389139993585</v>
      </c>
      <c r="CS24" s="13">
        <f t="array" ref="CS24">PRODUCT(1+預測IC!$C24:CS24)-1</f>
        <v>-0.26664931670508873</v>
      </c>
      <c r="CT24" s="13">
        <f t="array" ref="CT24">PRODUCT(1+預測IC!$C24:CT24)-1</f>
        <v>-0.19594037119757834</v>
      </c>
      <c r="CU24" s="13">
        <f t="array" ref="CU24">PRODUCT(1+預測IC!$C24:CU24)-1</f>
        <v>-0.25443679278930864</v>
      </c>
      <c r="CV24" s="13">
        <f t="array" ref="CV24">PRODUCT(1+預測IC!$C24:CV24)-1</f>
        <v>-0.24320559319227764</v>
      </c>
      <c r="CW24" s="13">
        <f t="array" ref="CW24">PRODUCT(1+預測IC!$C24:CW24)-1</f>
        <v>-0.11067790137296341</v>
      </c>
      <c r="CX24" s="13">
        <f t="array" ref="CX24">PRODUCT(1+預測IC!$C24:CX24)-1</f>
        <v>-6.1580924004644433E-2</v>
      </c>
      <c r="CY24" s="13">
        <f t="array" ref="CY24">PRODUCT(1+預測IC!$C24:CY24)-1</f>
        <v>-0.13671723467173635</v>
      </c>
      <c r="CZ24" s="13">
        <f t="array" ref="CZ24">PRODUCT(1+預測IC!$C24:CZ24)-1</f>
        <v>-3.9851186179949316E-2</v>
      </c>
      <c r="DA24" s="13">
        <f t="array" ref="DA24">PRODUCT(1+預測IC!$C24:DA24)-1</f>
        <v>-1.6316782577779132E-2</v>
      </c>
      <c r="DB24" s="13">
        <f t="array" ref="DB24">PRODUCT(1+預測IC!$C24:DB24)-1</f>
        <v>-0.20858816579453798</v>
      </c>
      <c r="DC24" s="13">
        <f t="array" ref="DC24">PRODUCT(1+預測IC!$C24:DC24)-1</f>
        <v>-5.7289408365175154E-2</v>
      </c>
      <c r="DD24" s="13">
        <f t="array" ref="DD24">PRODUCT(1+預測IC!$C24:DD24)-1</f>
        <v>8.7304843817153754E-2</v>
      </c>
      <c r="DE24" s="13">
        <f t="array" ref="DE24">PRODUCT(1+預測IC!$C24:DE24)-1</f>
        <v>-0.10412904523876865</v>
      </c>
      <c r="DF24" s="13">
        <f t="array" ref="DF24">PRODUCT(1+預測IC!$C24:DF24)-1</f>
        <v>-0.19789535723637031</v>
      </c>
      <c r="DG24" s="13">
        <f t="array" ref="DG24">PRODUCT(1+預測IC!$C24:DG24)-1</f>
        <v>-0.15048629327081697</v>
      </c>
      <c r="DH24" s="13">
        <f t="array" ref="DH24">PRODUCT(1+預測IC!$C24:DH24)-1</f>
        <v>-0.14976715862469858</v>
      </c>
      <c r="DI24" s="13">
        <f t="array" ref="DI24">PRODUCT(1+預測IC!$C24:DI24)-1</f>
        <v>-2.9139984050188694E-2</v>
      </c>
      <c r="DJ24" s="13">
        <f t="array" ref="DJ24">PRODUCT(1+預測IC!$C24:DJ24)-1</f>
        <v>-0.15776787856235752</v>
      </c>
      <c r="DK24" s="13">
        <f t="array" ref="DK24">PRODUCT(1+預測IC!$C24:DK24)-1</f>
        <v>0.12817768415454056</v>
      </c>
      <c r="DL24" s="13">
        <f t="array" ref="DL24">PRODUCT(1+預測IC!$C24:DL24)-1</f>
        <v>0.3685973422848281</v>
      </c>
      <c r="DM24" s="13">
        <f t="array" ref="DM24">PRODUCT(1+預測IC!$C24:DM24)-1</f>
        <v>0.17502358122810446</v>
      </c>
      <c r="DN24" s="13">
        <f t="array" ref="DN24">PRODUCT(1+預測IC!$C24:DN24)-1</f>
        <v>0.44919720420411058</v>
      </c>
      <c r="DO24" s="13">
        <f t="array" ref="DO24">PRODUCT(1+預測IC!$C24:DO24)-1</f>
        <v>0.71793749692476827</v>
      </c>
      <c r="DP24" s="13">
        <f t="array" ref="DP24">PRODUCT(1+預測IC!$C24:DP24)-1</f>
        <v>0.91442389321892237</v>
      </c>
      <c r="DQ24" s="13">
        <f t="array" ref="DQ24">PRODUCT(1+預測IC!$C24:DQ24)-1</f>
        <v>0.65984887475581666</v>
      </c>
      <c r="DR24" s="13">
        <f t="array" ref="DR24">PRODUCT(1+預測IC!$C24:DR24)-1</f>
        <v>0.62579602903347342</v>
      </c>
      <c r="DS24" s="13">
        <f t="array" ref="DS24">PRODUCT(1+預測IC!$C24:DS24)-1</f>
        <v>0.27419887438961354</v>
      </c>
      <c r="DT24" s="13">
        <f t="array" ref="DT24">PRODUCT(1+預測IC!$C24:DT24)-1</f>
        <v>0.22531695349727499</v>
      </c>
      <c r="DU24" s="13">
        <f t="array" ref="DU24">PRODUCT(1+預測IC!$C24:DU24)-1</f>
        <v>0.16694458487008035</v>
      </c>
      <c r="DV24" s="13">
        <f t="array" ref="DV24">PRODUCT(1+預測IC!$C24:DV24)-1</f>
        <v>0.35158404014517974</v>
      </c>
      <c r="DW24" s="13">
        <f t="array" ref="DW24">PRODUCT(1+預測IC!$C24:DW24)-1</f>
        <v>0.49871354549895108</v>
      </c>
      <c r="DX24" s="13">
        <f t="array" ref="DX24">PRODUCT(1+預測IC!$C24:DX24)-1</f>
        <v>3.1724704191939734E-2</v>
      </c>
      <c r="DY24" s="13">
        <f t="array" ref="DY24">PRODUCT(1+預測IC!$C24:DY24)-1</f>
        <v>0.38643608028874232</v>
      </c>
      <c r="DZ24" s="13">
        <f t="array" ref="DZ24">PRODUCT(1+預測IC!$C24:DZ24)-1</f>
        <v>0.31646378486238769</v>
      </c>
      <c r="EA24" s="13">
        <f t="array" ref="EA24">PRODUCT(1+預測IC!$C24:EA24)-1</f>
        <v>0.41829347270038242</v>
      </c>
      <c r="EB24" s="13">
        <f t="array" ref="EB24">PRODUCT(1+預測IC!$C24:EB24)-1</f>
        <v>0.37633726505321441</v>
      </c>
      <c r="EC24" s="13">
        <f t="array" ref="EC24">PRODUCT(1+預測IC!$C24:EC24)-1</f>
        <v>0.35664199058924462</v>
      </c>
      <c r="ED24" s="13">
        <f t="array" ref="ED24">PRODUCT(1+預測IC!$C24:ED24)-1</f>
        <v>0.2804355499266129</v>
      </c>
      <c r="EE24" s="13">
        <f t="array" ref="EE24">PRODUCT(1+預測IC!$C24:EE24)-1</f>
        <v>0.42567463627528834</v>
      </c>
      <c r="EF24" s="13">
        <f t="array" ref="EF24">PRODUCT(1+預測IC!$C24:EF24)-1</f>
        <v>0.52158928834975793</v>
      </c>
    </row>
    <row r="25" spans="1:136">
      <c r="A25" s="2" t="s">
        <v>144</v>
      </c>
      <c r="B25" s="2" t="s">
        <v>145</v>
      </c>
      <c r="C25" s="13">
        <f t="array" ref="C25">PRODUCT(1+預測IC!$C26:C26)-1</f>
        <v>-1.7446770539390366E-2</v>
      </c>
      <c r="D25" s="13">
        <f t="array" ref="D25">PRODUCT(1+預測IC!$C26:D26)-1</f>
        <v>2.893123339404724E-3</v>
      </c>
      <c r="E25" s="13">
        <f t="array" ref="E25">PRODUCT(1+預測IC!$C26:E26)-1</f>
        <v>2.6944635852046872E-2</v>
      </c>
      <c r="F25" s="13">
        <f t="array" ref="F25">PRODUCT(1+預測IC!$C26:F26)-1</f>
        <v>2.0210365301730038E-2</v>
      </c>
      <c r="G25" s="13">
        <f t="array" ref="G25">PRODUCT(1+預測IC!$C26:G26)-1</f>
        <v>5.269909680859941E-2</v>
      </c>
      <c r="H25" s="13">
        <f t="array" ref="H25">PRODUCT(1+預測IC!$C26:H26)-1</f>
        <v>8.8857766197530053E-2</v>
      </c>
      <c r="I25" s="13">
        <f t="array" ref="I25">PRODUCT(1+預測IC!$C26:I26)-1</f>
        <v>7.9869318529145472E-2</v>
      </c>
      <c r="J25" s="13">
        <f t="array" ref="J25">PRODUCT(1+預測IC!$C26:J26)-1</f>
        <v>9.3738646464063713E-2</v>
      </c>
      <c r="K25" s="13">
        <f t="array" ref="K25">PRODUCT(1+預測IC!$C26:K26)-1</f>
        <v>3.7937714394164157E-2</v>
      </c>
      <c r="L25" s="13">
        <f t="array" ref="L25">PRODUCT(1+預測IC!$C26:L26)-1</f>
        <v>3.8844812525307137E-2</v>
      </c>
      <c r="M25" s="13">
        <f t="array" ref="M25">PRODUCT(1+預測IC!$C26:M26)-1</f>
        <v>6.3142951706360639E-2</v>
      </c>
      <c r="N25" s="13">
        <f t="array" ref="N25">PRODUCT(1+預測IC!$C26:N26)-1</f>
        <v>7.6952085951054405E-2</v>
      </c>
      <c r="O25" s="13">
        <f t="array" ref="O25">PRODUCT(1+預測IC!$C26:O26)-1</f>
        <v>8.3257197491512391E-2</v>
      </c>
      <c r="P25" s="13">
        <f t="array" ref="P25">PRODUCT(1+預測IC!$C26:P26)-1</f>
        <v>0.11295275081672607</v>
      </c>
      <c r="Q25" s="13">
        <f t="array" ref="Q25">PRODUCT(1+預測IC!$C26:Q26)-1</f>
        <v>0.10882042835093308</v>
      </c>
      <c r="R25" s="13">
        <f t="array" ref="R25">PRODUCT(1+預測IC!$C26:R26)-1</f>
        <v>0.13551706985268064</v>
      </c>
      <c r="S25" s="13">
        <f t="array" ref="S25">PRODUCT(1+預測IC!$C26:S26)-1</f>
        <v>0.12167508804368476</v>
      </c>
      <c r="T25" s="13">
        <f t="array" ref="T25">PRODUCT(1+預測IC!$C26:T26)-1</f>
        <v>7.7088976461827885E-2</v>
      </c>
      <c r="U25" s="13">
        <f t="array" ref="U25">PRODUCT(1+預測IC!$C26:U26)-1</f>
        <v>-1.7059521199481731E-3</v>
      </c>
      <c r="V25" s="13">
        <f t="array" ref="V25">PRODUCT(1+預測IC!$C26:V26)-1</f>
        <v>-5.9866792867339091E-2</v>
      </c>
      <c r="W25" s="13">
        <f t="array" ref="W25">PRODUCT(1+預測IC!$C26:W26)-1</f>
        <v>-5.9140260213613516E-2</v>
      </c>
      <c r="X25" s="13">
        <f t="array" ref="X25">PRODUCT(1+預測IC!$C26:X26)-1</f>
        <v>-1.7185893241652206E-2</v>
      </c>
      <c r="Y25" s="13">
        <f t="array" ref="Y25">PRODUCT(1+預測IC!$C26:Y26)-1</f>
        <v>-4.4409529547694393E-2</v>
      </c>
      <c r="Z25" s="13">
        <f t="array" ref="Z25">PRODUCT(1+預測IC!$C26:Z26)-1</f>
        <v>-4.2407561826578566E-2</v>
      </c>
      <c r="AA25" s="13">
        <f t="array" ref="AA25">PRODUCT(1+預測IC!$C26:AA26)-1</f>
        <v>-6.481575250614946E-2</v>
      </c>
      <c r="AB25" s="13">
        <f t="array" ref="AB25">PRODUCT(1+預測IC!$C26:AB26)-1</f>
        <v>-3.4768870774049443E-2</v>
      </c>
      <c r="AC25" s="13">
        <f t="array" ref="AC25">PRODUCT(1+預測IC!$C26:AC26)-1</f>
        <v>2.7817794451217015E-3</v>
      </c>
      <c r="AD25" s="13">
        <f t="array" ref="AD25">PRODUCT(1+預測IC!$C26:AD26)-1</f>
        <v>-4.0202844765013457E-2</v>
      </c>
      <c r="AE25" s="13">
        <f t="array" ref="AE25">PRODUCT(1+預測IC!$C26:AE26)-1</f>
        <v>-2.2305320482664204E-2</v>
      </c>
      <c r="AF25" s="13">
        <f t="array" ref="AF25">PRODUCT(1+預測IC!$C26:AF26)-1</f>
        <v>-7.4152570234460313E-3</v>
      </c>
      <c r="AG25" s="13">
        <f t="array" ref="AG25">PRODUCT(1+預測IC!$C26:AG26)-1</f>
        <v>2.8334274381314417E-2</v>
      </c>
      <c r="AH25" s="13">
        <f t="array" ref="AH25">PRODUCT(1+預測IC!$C26:AH26)-1</f>
        <v>3.7953941892352683E-2</v>
      </c>
      <c r="AI25" s="13">
        <f t="array" ref="AI25">PRODUCT(1+預測IC!$C26:AI26)-1</f>
        <v>4.9110131735873752E-2</v>
      </c>
      <c r="AJ25" s="13">
        <f t="array" ref="AJ25">PRODUCT(1+預測IC!$C26:AJ26)-1</f>
        <v>6.3123886850196875E-2</v>
      </c>
      <c r="AK25" s="13">
        <f t="array" ref="AK25">PRODUCT(1+預測IC!$C26:AK26)-1</f>
        <v>5.7454515782098925E-2</v>
      </c>
      <c r="AL25" s="13">
        <f t="array" ref="AL25">PRODUCT(1+預測IC!$C26:AL26)-1</f>
        <v>5.8917118987427575E-2</v>
      </c>
      <c r="AM25" s="13">
        <f t="array" ref="AM25">PRODUCT(1+預測IC!$C26:AM26)-1</f>
        <v>8.0938283596681648E-2</v>
      </c>
      <c r="AN25" s="13">
        <f t="array" ref="AN25">PRODUCT(1+預測IC!$C26:AN26)-1</f>
        <v>0.11500697453770203</v>
      </c>
      <c r="AO25" s="13">
        <f t="array" ref="AO25">PRODUCT(1+預測IC!$C26:AO26)-1</f>
        <v>0.12196653200545171</v>
      </c>
      <c r="AP25" s="13">
        <f t="array" ref="AP25">PRODUCT(1+預測IC!$C26:AP26)-1</f>
        <v>0.12886130991117528</v>
      </c>
      <c r="AQ25" s="13">
        <f t="array" ref="AQ25">PRODUCT(1+預測IC!$C26:AQ26)-1</f>
        <v>0.14799139743631429</v>
      </c>
      <c r="AR25" s="13">
        <f t="array" ref="AR25">PRODUCT(1+預測IC!$C26:AR26)-1</f>
        <v>0.18780698843660248</v>
      </c>
      <c r="AS25" s="13">
        <f t="array" ref="AS25">PRODUCT(1+預測IC!$C26:AS26)-1</f>
        <v>0.19148751365039929</v>
      </c>
      <c r="AT25" s="13">
        <f t="array" ref="AT25">PRODUCT(1+預測IC!$C26:AT26)-1</f>
        <v>0.20945675046088996</v>
      </c>
      <c r="AU25" s="13">
        <f t="array" ref="AU25">PRODUCT(1+預測IC!$C26:AU26)-1</f>
        <v>0.18617324550329584</v>
      </c>
      <c r="AV25" s="13">
        <f t="array" ref="AV25">PRODUCT(1+預測IC!$C26:AV26)-1</f>
        <v>0.23209180697664689</v>
      </c>
      <c r="AW25" s="13">
        <f t="array" ref="AW25">PRODUCT(1+預測IC!$C26:AW26)-1</f>
        <v>0.20516203655681697</v>
      </c>
      <c r="AX25" s="13">
        <f t="array" ref="AX25">PRODUCT(1+預測IC!$C26:AX26)-1</f>
        <v>0.21453132863303215</v>
      </c>
      <c r="AY25" s="13">
        <f t="array" ref="AY25">PRODUCT(1+預測IC!$C26:AY26)-1</f>
        <v>0.2660241129922889</v>
      </c>
      <c r="AZ25" s="13">
        <f t="array" ref="AZ25">PRODUCT(1+預測IC!$C26:AZ26)-1</f>
        <v>0.23271631642995261</v>
      </c>
      <c r="BA25" s="13">
        <f t="array" ref="BA25">PRODUCT(1+預測IC!$C26:BA26)-1</f>
        <v>0.24451556797958407</v>
      </c>
      <c r="BB25" s="13">
        <f t="array" ref="BB25">PRODUCT(1+預測IC!$C26:BB26)-1</f>
        <v>0.21433638745422812</v>
      </c>
      <c r="BC25" s="13">
        <f t="array" ref="BC25">PRODUCT(1+預測IC!$C26:BC26)-1</f>
        <v>0.23882150637103883</v>
      </c>
      <c r="BD25" s="13">
        <f t="array" ref="BD25">PRODUCT(1+預測IC!$C26:BD26)-1</f>
        <v>0.23447943849994912</v>
      </c>
      <c r="BE25" s="13">
        <f t="array" ref="BE25">PRODUCT(1+預測IC!$C26:BE26)-1</f>
        <v>0.25935658802508499</v>
      </c>
      <c r="BF25" s="13">
        <f t="array" ref="BF25">PRODUCT(1+預測IC!$C26:BF26)-1</f>
        <v>0.26008869763716325</v>
      </c>
      <c r="BG25" s="13">
        <f t="array" ref="BG25">PRODUCT(1+預測IC!$C26:BG26)-1</f>
        <v>0.2535114114609236</v>
      </c>
      <c r="BH25" s="13">
        <f t="array" ref="BH25">PRODUCT(1+預測IC!$C26:BH26)-1</f>
        <v>0.10826483627727623</v>
      </c>
      <c r="BI25" s="13">
        <f t="array" ref="BI25">PRODUCT(1+預測IC!$C26:BI26)-1</f>
        <v>0.11793469710078752</v>
      </c>
      <c r="BJ25" s="13">
        <f t="array" ref="BJ25">PRODUCT(1+預測IC!$C26:BJ26)-1</f>
        <v>9.9625988810205346E-2</v>
      </c>
      <c r="BK25" s="13">
        <f t="array" ref="BK25">PRODUCT(1+預測IC!$C26:BK26)-1</f>
        <v>0.12254260303831388</v>
      </c>
      <c r="BL25" s="13">
        <f t="array" ref="BL25">PRODUCT(1+預測IC!$C26:BL26)-1</f>
        <v>0.17302993558173996</v>
      </c>
      <c r="BM25" s="13">
        <f t="array" ref="BM25">PRODUCT(1+預測IC!$C26:BM26)-1</f>
        <v>0.20112905370185397</v>
      </c>
      <c r="BN25" s="13">
        <f t="array" ref="BN25">PRODUCT(1+預測IC!$C26:BN26)-1</f>
        <v>0.23745011694095197</v>
      </c>
      <c r="BO25" s="13">
        <f t="array" ref="BO25">PRODUCT(1+預測IC!$C26:BO26)-1</f>
        <v>0.18334151222801376</v>
      </c>
      <c r="BP25" s="13">
        <f t="array" ref="BP25">PRODUCT(1+預測IC!$C26:BP26)-1</f>
        <v>0.20924423024871497</v>
      </c>
      <c r="BQ25" s="13">
        <f t="array" ref="BQ25">PRODUCT(1+預測IC!$C26:BQ26)-1</f>
        <v>0.21967690051673561</v>
      </c>
      <c r="BR25" s="13">
        <f t="array" ref="BR25">PRODUCT(1+預測IC!$C26:BR26)-1</f>
        <v>0.1962676978767699</v>
      </c>
      <c r="BS25" s="13">
        <f t="array" ref="BS25">PRODUCT(1+預測IC!$C26:BS26)-1</f>
        <v>0.21987619627534571</v>
      </c>
      <c r="BT25" s="13">
        <f t="array" ref="BT25">PRODUCT(1+預測IC!$C26:BT26)-1</f>
        <v>0.27805738326883356</v>
      </c>
      <c r="BU25" s="13">
        <f t="array" ref="BU25">PRODUCT(1+預測IC!$C26:BU26)-1</f>
        <v>0.29269729646247922</v>
      </c>
      <c r="BV25" s="13">
        <f t="array" ref="BV25">PRODUCT(1+預測IC!$C26:BV26)-1</f>
        <v>0.34857881761669129</v>
      </c>
      <c r="BW25" s="13">
        <f t="array" ref="BW25">PRODUCT(1+預測IC!$C26:BW26)-1</f>
        <v>0.2909305384219143</v>
      </c>
      <c r="BX25" s="13">
        <f t="array" ref="BX25">PRODUCT(1+預測IC!$C26:BX26)-1</f>
        <v>0.26793739709811137</v>
      </c>
      <c r="BY25" s="13">
        <f t="array" ref="BY25">PRODUCT(1+預測IC!$C26:BY26)-1</f>
        <v>7.628473289061688E-2</v>
      </c>
      <c r="BZ25" s="13">
        <f t="array" ref="BZ25">PRODUCT(1+預測IC!$C26:BZ26)-1</f>
        <v>0.20998513144491437</v>
      </c>
      <c r="CA25" s="13">
        <f t="array" ref="CA25">PRODUCT(1+預測IC!$C26:CA26)-1</f>
        <v>0.20447092205281336</v>
      </c>
      <c r="CB25" s="13">
        <f t="array" ref="CB25">PRODUCT(1+預測IC!$C26:CB26)-1</f>
        <v>0.27699361006036605</v>
      </c>
      <c r="CC25" s="13">
        <f t="array" ref="CC25">PRODUCT(1+預測IC!$C26:CC26)-1</f>
        <v>0.38680488733361829</v>
      </c>
      <c r="CD25" s="13">
        <f t="array" ref="CD25">PRODUCT(1+預測IC!$C26:CD26)-1</f>
        <v>0.37874965946081551</v>
      </c>
      <c r="CE25" s="13">
        <f t="array" ref="CE25">PRODUCT(1+預測IC!$C26:CE26)-1</f>
        <v>0.37042015435709108</v>
      </c>
      <c r="CF25" s="13">
        <f t="array" ref="CF25">PRODUCT(1+預測IC!$C26:CF26)-1</f>
        <v>0.37378086910184649</v>
      </c>
      <c r="CG25" s="13">
        <f t="array" ref="CG25">PRODUCT(1+預測IC!$C26:CG26)-1</f>
        <v>0.49692143719092186</v>
      </c>
      <c r="CH25" s="13">
        <f t="array" ref="CH25">PRODUCT(1+預測IC!$C26:CH26)-1</f>
        <v>0.603191980394987</v>
      </c>
      <c r="CI25" s="13">
        <f t="array" ref="CI25">PRODUCT(1+預測IC!$C26:CI26)-1</f>
        <v>0.64675173719730239</v>
      </c>
      <c r="CJ25" s="13">
        <f t="array" ref="CJ25">PRODUCT(1+預測IC!$C26:CJ26)-1</f>
        <v>0.73315421285472704</v>
      </c>
      <c r="CK25" s="13">
        <f t="array" ref="CK25">PRODUCT(1+預測IC!$C26:CK26)-1</f>
        <v>0.7842487445659152</v>
      </c>
      <c r="CL25" s="13">
        <f t="array" ref="CL25">PRODUCT(1+預測IC!$C26:CL26)-1</f>
        <v>0.90348131155309508</v>
      </c>
      <c r="CM25" s="13">
        <f t="array" ref="CM25">PRODUCT(1+預測IC!$C26:CM26)-1</f>
        <v>0.8487139113221478</v>
      </c>
      <c r="CN25" s="13">
        <f t="array" ref="CN25">PRODUCT(1+預測IC!$C26:CN26)-1</f>
        <v>0.92166881344527685</v>
      </c>
      <c r="CO25" s="13">
        <f t="array" ref="CO25">PRODUCT(1+預測IC!$C26:CO26)-1</f>
        <v>0.86588067898046694</v>
      </c>
      <c r="CP25" s="13">
        <f t="array" ref="CP25">PRODUCT(1+預測IC!$C26:CP26)-1</f>
        <v>0.89197293519067467</v>
      </c>
      <c r="CQ25" s="13">
        <f t="array" ref="CQ25">PRODUCT(1+預測IC!$C26:CQ26)-1</f>
        <v>0.83090579105751727</v>
      </c>
      <c r="CR25" s="13">
        <f t="array" ref="CR25">PRODUCT(1+預測IC!$C26:CR26)-1</f>
        <v>0.83658814745105547</v>
      </c>
      <c r="CS25" s="13">
        <f t="array" ref="CS25">PRODUCT(1+預測IC!$C26:CS26)-1</f>
        <v>0.88358984642415717</v>
      </c>
      <c r="CT25" s="13">
        <f t="array" ref="CT25">PRODUCT(1+預測IC!$C26:CT26)-1</f>
        <v>0.9672059526983301</v>
      </c>
      <c r="CU25" s="13">
        <f t="array" ref="CU25">PRODUCT(1+預測IC!$C26:CU26)-1</f>
        <v>0.90752297284093331</v>
      </c>
      <c r="CV25" s="13">
        <f t="array" ref="CV25">PRODUCT(1+預測IC!$C26:CV26)-1</f>
        <v>0.90512335385454468</v>
      </c>
      <c r="CW25" s="13">
        <f t="array" ref="CW25">PRODUCT(1+預測IC!$C26:CW26)-1</f>
        <v>0.90957440110152876</v>
      </c>
      <c r="CX25" s="13">
        <f t="array" ref="CX25">PRODUCT(1+預測IC!$C26:CX26)-1</f>
        <v>0.78685723504233995</v>
      </c>
      <c r="CY25" s="13">
        <f t="array" ref="CY25">PRODUCT(1+預測IC!$C26:CY26)-1</f>
        <v>0.80992516787144164</v>
      </c>
      <c r="CZ25" s="13">
        <f t="array" ref="CZ25">PRODUCT(1+預測IC!$C26:CZ26)-1</f>
        <v>0.58282101623526672</v>
      </c>
      <c r="DA25" s="13">
        <f t="array" ref="DA25">PRODUCT(1+預測IC!$C26:DA26)-1</f>
        <v>0.60132527488651344</v>
      </c>
      <c r="DB25" s="13">
        <f t="array" ref="DB25">PRODUCT(1+預測IC!$C26:DB26)-1</f>
        <v>0.61147422419279152</v>
      </c>
      <c r="DC25" s="13">
        <f t="array" ref="DC25">PRODUCT(1+預測IC!$C26:DC26)-1</f>
        <v>0.42243966588262949</v>
      </c>
      <c r="DD25" s="13">
        <f t="array" ref="DD25">PRODUCT(1+預測IC!$C26:DD26)-1</f>
        <v>0.37121637307647259</v>
      </c>
      <c r="DE25" s="13">
        <f t="array" ref="DE25">PRODUCT(1+預測IC!$C26:DE26)-1</f>
        <v>0.5616938276257708</v>
      </c>
      <c r="DF25" s="13">
        <f t="array" ref="DF25">PRODUCT(1+預測IC!$C26:DF26)-1</f>
        <v>0.48182332962932128</v>
      </c>
      <c r="DG25" s="13">
        <f t="array" ref="DG25">PRODUCT(1+預測IC!$C26:DG26)-1</f>
        <v>0.59552577817978314</v>
      </c>
      <c r="DH25" s="13">
        <f t="array" ref="DH25">PRODUCT(1+預測IC!$C26:DH26)-1</f>
        <v>0.62027043996328524</v>
      </c>
      <c r="DI25" s="13">
        <f t="array" ref="DI25">PRODUCT(1+預測IC!$C26:DI26)-1</f>
        <v>0.65789923395288952</v>
      </c>
      <c r="DJ25" s="13">
        <f t="array" ref="DJ25">PRODUCT(1+預測IC!$C26:DJ26)-1</f>
        <v>0.62743885630809859</v>
      </c>
      <c r="DK25" s="13">
        <f t="array" ref="DK25">PRODUCT(1+預測IC!$C26:DK26)-1</f>
        <v>0.72866394865424411</v>
      </c>
      <c r="DL25" s="13">
        <f t="array" ref="DL25">PRODUCT(1+預測IC!$C26:DL26)-1</f>
        <v>0.76340716304992284</v>
      </c>
      <c r="DM25" s="13">
        <f t="array" ref="DM25">PRODUCT(1+預測IC!$C26:DM26)-1</f>
        <v>0.78721129009524526</v>
      </c>
      <c r="DN25" s="13">
        <f t="array" ref="DN25">PRODUCT(1+預測IC!$C26:DN26)-1</f>
        <v>0.73314419395664854</v>
      </c>
      <c r="DO25" s="13">
        <f t="array" ref="DO25">PRODUCT(1+預測IC!$C26:DO26)-1</f>
        <v>0.7036411650845571</v>
      </c>
      <c r="DP25" s="13">
        <f t="array" ref="DP25">PRODUCT(1+預測IC!$C26:DP26)-1</f>
        <v>0.666521339911188</v>
      </c>
      <c r="DQ25" s="13">
        <f t="array" ref="DQ25">PRODUCT(1+預測IC!$C26:DQ26)-1</f>
        <v>0.80941825308633253</v>
      </c>
      <c r="DR25" s="13">
        <f t="array" ref="DR25">PRODUCT(1+預測IC!$C26:DR26)-1</f>
        <v>0.86027510799998974</v>
      </c>
      <c r="DS25" s="13">
        <f t="array" ref="DS25">PRODUCT(1+預測IC!$C26:DS26)-1</f>
        <v>0.85599059714061299</v>
      </c>
      <c r="DT25" s="13">
        <f t="array" ref="DT25">PRODUCT(1+預測IC!$C26:DT26)-1</f>
        <v>0.9645125910761998</v>
      </c>
      <c r="DU25" s="13">
        <f t="array" ref="DU25">PRODUCT(1+預測IC!$C26:DU26)-1</f>
        <v>1.0974294483812512</v>
      </c>
      <c r="DV25" s="13">
        <f t="array" ref="DV25">PRODUCT(1+預測IC!$C26:DV26)-1</f>
        <v>1.1079601605760616</v>
      </c>
      <c r="DW25" s="13">
        <f t="array" ref="DW25">PRODUCT(1+預測IC!$C26:DW26)-1</f>
        <v>1.1868319851241949</v>
      </c>
      <c r="DX25" s="13">
        <f t="array" ref="DX25">PRODUCT(1+預測IC!$C26:DX26)-1</f>
        <v>1.3707686184169408</v>
      </c>
      <c r="DY25" s="13">
        <f t="array" ref="DY25">PRODUCT(1+預測IC!$C26:DY26)-1</f>
        <v>1.2834475238077694</v>
      </c>
      <c r="DZ25" s="13">
        <f t="array" ref="DZ25">PRODUCT(1+預測IC!$C26:DZ26)-1</f>
        <v>1.2905072649494538</v>
      </c>
      <c r="EA25" s="13">
        <f t="array" ref="EA25">PRODUCT(1+預測IC!$C26:EA26)-1</f>
        <v>1.2860233033025419</v>
      </c>
      <c r="EB25" s="13">
        <f t="array" ref="EB25">PRODUCT(1+預測IC!$C26:EB26)-1</f>
        <v>1.3465094307246845</v>
      </c>
      <c r="EC25" s="13">
        <f t="array" ref="EC25">PRODUCT(1+預測IC!$C26:EC26)-1</f>
        <v>1.2884273650883467</v>
      </c>
      <c r="ED25" s="13">
        <f t="array" ref="ED25">PRODUCT(1+預測IC!$C26:ED26)-1</f>
        <v>1.3664981882262612</v>
      </c>
      <c r="EE25" s="13">
        <f t="array" ref="EE25">PRODUCT(1+預測IC!$C26:EE26)-1</f>
        <v>1.4163413115117764</v>
      </c>
      <c r="EF25" s="13">
        <f t="array" ref="EF25">PRODUCT(1+預測IC!$C26:EF26)-1</f>
        <v>1.367344209826507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預測IC</vt:lpstr>
      <vt:lpstr>夏普比率</vt:lpstr>
      <vt:lpstr>勝率</vt:lpstr>
      <vt:lpstr>累積報酬</vt:lpstr>
      <vt:lpstr>預測累積畫圖</vt:lpstr>
      <vt:lpstr>OLS樣本外R2</vt:lpstr>
      <vt:lpstr>NN3樣本外R2</vt:lpstr>
      <vt:lpstr>NN3再投資累積報酬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歆璇 陳</dc:creator>
  <cp:lastModifiedBy>陳祥瑋</cp:lastModifiedBy>
  <dcterms:created xsi:type="dcterms:W3CDTF">2025-03-25T04:23:55Z</dcterms:created>
  <dcterms:modified xsi:type="dcterms:W3CDTF">2025-06-02T11:44:50Z</dcterms:modified>
</cp:coreProperties>
</file>